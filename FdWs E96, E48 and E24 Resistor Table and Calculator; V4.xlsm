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dW\Electronics\"/>
    </mc:Choice>
  </mc:AlternateContent>
  <bookViews>
    <workbookView xWindow="0" yWindow="0" windowWidth="28800" windowHeight="12885" firstSheet="1" activeTab="1"/>
  </bookViews>
  <sheets>
    <sheet name="Macro1" sheetId="3" state="hidden" r:id="rId1"/>
    <sheet name="Show" sheetId="4" r:id="rId2"/>
    <sheet name="Calc" sheetId="2" r:id="rId3"/>
    <sheet name="Tables" sheetId="5" r:id="rId4"/>
  </sheets>
  <functionGroups builtInGroupCount="18"/>
  <definedNames>
    <definedName name="_xlnm._FilterDatabase" localSheetId="1" hidden="1">Show!$A$6:$D$747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A5" i="2"/>
  <c r="D5" i="2" l="1"/>
  <c r="C5" i="2"/>
  <c r="O3" i="5"/>
  <c r="O4" i="5"/>
  <c r="O5" i="5"/>
  <c r="O6" i="5"/>
  <c r="J3" i="5" s="1"/>
  <c r="J4" i="5" s="1"/>
  <c r="O7" i="5"/>
  <c r="L3" i="5" s="1"/>
  <c r="L4" i="5" s="1"/>
  <c r="O2" i="5"/>
  <c r="A3" i="5" s="1"/>
  <c r="M2" i="5"/>
  <c r="K2" i="5"/>
  <c r="I2" i="5"/>
  <c r="Q8" i="5"/>
  <c r="P8" i="5"/>
  <c r="B5" i="2" s="1"/>
  <c r="N8" i="5"/>
  <c r="S8" i="5"/>
  <c r="R8" i="5"/>
  <c r="T2" i="5" l="1"/>
  <c r="T6" i="5"/>
  <c r="T10" i="5"/>
  <c r="T14" i="5"/>
  <c r="T18" i="5"/>
  <c r="T22" i="5"/>
  <c r="T26" i="5"/>
  <c r="T30" i="5"/>
  <c r="T34" i="5"/>
  <c r="T38" i="5"/>
  <c r="T42" i="5"/>
  <c r="T46" i="5"/>
  <c r="T50" i="5"/>
  <c r="T54" i="5"/>
  <c r="T58" i="5"/>
  <c r="T62" i="5"/>
  <c r="T66" i="5"/>
  <c r="T70" i="5"/>
  <c r="T74" i="5"/>
  <c r="T78" i="5"/>
  <c r="T82" i="5"/>
  <c r="T86" i="5"/>
  <c r="T90" i="5"/>
  <c r="T94" i="5"/>
  <c r="T3" i="5"/>
  <c r="T7" i="5"/>
  <c r="T11" i="5"/>
  <c r="T15" i="5"/>
  <c r="T19" i="5"/>
  <c r="T23" i="5"/>
  <c r="T27" i="5"/>
  <c r="T31" i="5"/>
  <c r="T35" i="5"/>
  <c r="T39" i="5"/>
  <c r="T43" i="5"/>
  <c r="T47" i="5"/>
  <c r="T51" i="5"/>
  <c r="T55" i="5"/>
  <c r="T59" i="5"/>
  <c r="T63" i="5"/>
  <c r="T67" i="5"/>
  <c r="T71" i="5"/>
  <c r="T75" i="5"/>
  <c r="T79" i="5"/>
  <c r="T83" i="5"/>
  <c r="T87" i="5"/>
  <c r="T91" i="5"/>
  <c r="T95" i="5"/>
  <c r="T4" i="5"/>
  <c r="T8" i="5"/>
  <c r="T12" i="5"/>
  <c r="T16" i="5"/>
  <c r="T20" i="5"/>
  <c r="T24" i="5"/>
  <c r="T28" i="5"/>
  <c r="T32" i="5"/>
  <c r="T36" i="5"/>
  <c r="T40" i="5"/>
  <c r="T44" i="5"/>
  <c r="T48" i="5"/>
  <c r="T52" i="5"/>
  <c r="T56" i="5"/>
  <c r="T60" i="5"/>
  <c r="T64" i="5"/>
  <c r="T68" i="5"/>
  <c r="T72" i="5"/>
  <c r="T76" i="5"/>
  <c r="T80" i="5"/>
  <c r="T84" i="5"/>
  <c r="T88" i="5"/>
  <c r="T92" i="5"/>
  <c r="T96" i="5"/>
  <c r="T5" i="5"/>
  <c r="T9" i="5"/>
  <c r="T13" i="5"/>
  <c r="T17" i="5"/>
  <c r="T21" i="5"/>
  <c r="T25" i="5"/>
  <c r="T29" i="5"/>
  <c r="T33" i="5"/>
  <c r="T37" i="5"/>
  <c r="T41" i="5"/>
  <c r="T45" i="5"/>
  <c r="T49" i="5"/>
  <c r="T53" i="5"/>
  <c r="T57" i="5"/>
  <c r="T73" i="5"/>
  <c r="T89" i="5"/>
  <c r="T61" i="5"/>
  <c r="T77" i="5"/>
  <c r="T93" i="5"/>
  <c r="T65" i="5"/>
  <c r="T81" i="5"/>
  <c r="T97" i="5"/>
  <c r="T69" i="5"/>
  <c r="T85" i="5"/>
  <c r="B3" i="2"/>
  <c r="U1" i="5"/>
  <c r="O8" i="5"/>
  <c r="O9" i="5" s="1"/>
  <c r="F5" i="2" s="1"/>
  <c r="M3" i="5"/>
  <c r="G3" i="5"/>
  <c r="G4" i="5" s="1"/>
  <c r="L5" i="5"/>
  <c r="M5" i="5" s="1"/>
  <c r="M4" i="5"/>
  <c r="J5" i="5"/>
  <c r="K4" i="5"/>
  <c r="K3" i="5"/>
  <c r="F2" i="5"/>
  <c r="B2" i="5"/>
  <c r="D2" i="5"/>
  <c r="E3" i="5"/>
  <c r="C3" i="5"/>
  <c r="D3" i="5" s="1"/>
  <c r="B3" i="5"/>
  <c r="U2" i="5"/>
  <c r="U4" i="5"/>
  <c r="U3" i="5"/>
  <c r="N1" i="2" l="1"/>
  <c r="B1" i="4"/>
  <c r="N8" i="2"/>
  <c r="N6" i="2"/>
  <c r="I3" i="5"/>
  <c r="G5" i="5"/>
  <c r="I4" i="5"/>
  <c r="J6" i="5"/>
  <c r="K5" i="5"/>
  <c r="L6" i="5"/>
  <c r="M6" i="5" s="1"/>
  <c r="F3" i="5"/>
  <c r="E4" i="5"/>
  <c r="C4" i="5"/>
  <c r="C5" i="5" s="1"/>
  <c r="D5" i="5" s="1"/>
  <c r="A4" i="5"/>
  <c r="B4" i="5" s="1"/>
  <c r="U8" i="5"/>
  <c r="U5" i="5"/>
  <c r="U6" i="5"/>
  <c r="U7" i="5"/>
  <c r="N12" i="2" l="1"/>
  <c r="N108" i="2" s="1"/>
  <c r="N9" i="2"/>
  <c r="N105" i="2" s="1"/>
  <c r="N11" i="2"/>
  <c r="N107" i="2" s="1"/>
  <c r="N10" i="2"/>
  <c r="N7" i="2"/>
  <c r="N104" i="2"/>
  <c r="N102" i="2"/>
  <c r="K6" i="5"/>
  <c r="J7" i="5"/>
  <c r="K7" i="5" s="1"/>
  <c r="L7" i="5"/>
  <c r="I5" i="5"/>
  <c r="G6" i="5"/>
  <c r="D4" i="5"/>
  <c r="F4" i="5"/>
  <c r="E5" i="5"/>
  <c r="C6" i="5"/>
  <c r="D6" i="5" s="1"/>
  <c r="A5" i="5"/>
  <c r="B5" i="5" s="1"/>
  <c r="U9" i="5"/>
  <c r="U11" i="5"/>
  <c r="U10" i="5"/>
  <c r="U12" i="5"/>
  <c r="N14" i="2" l="1"/>
  <c r="N110" i="2" s="1"/>
  <c r="N206" i="2" s="1"/>
  <c r="N15" i="2"/>
  <c r="N111" i="2" s="1"/>
  <c r="N13" i="2"/>
  <c r="N16" i="2"/>
  <c r="N112" i="2" s="1"/>
  <c r="N106" i="2"/>
  <c r="N103" i="2"/>
  <c r="N198" i="2"/>
  <c r="N203" i="2"/>
  <c r="N201" i="2"/>
  <c r="N204" i="2"/>
  <c r="N200" i="2"/>
  <c r="L8" i="5"/>
  <c r="M8" i="5" s="1"/>
  <c r="M7" i="5"/>
  <c r="I6" i="5"/>
  <c r="G7" i="5"/>
  <c r="J8" i="5"/>
  <c r="K8" i="5" s="1"/>
  <c r="C7" i="5"/>
  <c r="D7" i="5" s="1"/>
  <c r="E6" i="5"/>
  <c r="F5" i="5"/>
  <c r="A6" i="5"/>
  <c r="B6" i="5" s="1"/>
  <c r="U14" i="5"/>
  <c r="U13" i="5"/>
  <c r="U15" i="5"/>
  <c r="U16" i="5"/>
  <c r="N17" i="2" l="1"/>
  <c r="N18" i="2"/>
  <c r="N114" i="2" s="1"/>
  <c r="N210" i="2" s="1"/>
  <c r="N20" i="2"/>
  <c r="N116" i="2" s="1"/>
  <c r="N212" i="2" s="1"/>
  <c r="N19" i="2"/>
  <c r="N115" i="2" s="1"/>
  <c r="N211" i="2" s="1"/>
  <c r="N109" i="2"/>
  <c r="N208" i="2"/>
  <c r="N199" i="2"/>
  <c r="N202" i="2"/>
  <c r="N207" i="2"/>
  <c r="N302" i="2"/>
  <c r="N299" i="2"/>
  <c r="N296" i="2"/>
  <c r="N300" i="2"/>
  <c r="N297" i="2"/>
  <c r="N294" i="2"/>
  <c r="G8" i="5"/>
  <c r="I7" i="5"/>
  <c r="C8" i="5"/>
  <c r="D8" i="5" s="1"/>
  <c r="J9" i="5"/>
  <c r="K9" i="5" s="1"/>
  <c r="E7" i="5"/>
  <c r="F6" i="5"/>
  <c r="A7" i="5"/>
  <c r="B7" i="5" s="1"/>
  <c r="U19" i="5"/>
  <c r="U20" i="5"/>
  <c r="U17" i="5"/>
  <c r="U18" i="5"/>
  <c r="N22" i="2" l="1"/>
  <c r="N118" i="2" s="1"/>
  <c r="N214" i="2" s="1"/>
  <c r="N21" i="2"/>
  <c r="N23" i="2"/>
  <c r="N119" i="2" s="1"/>
  <c r="N215" i="2" s="1"/>
  <c r="N24" i="2"/>
  <c r="N120" i="2" s="1"/>
  <c r="N216" i="2" s="1"/>
  <c r="N205" i="2"/>
  <c r="N113" i="2"/>
  <c r="N295" i="2"/>
  <c r="N304" i="2"/>
  <c r="N303" i="2"/>
  <c r="N298" i="2"/>
  <c r="N393" i="2"/>
  <c r="N392" i="2"/>
  <c r="N307" i="2"/>
  <c r="N390" i="2"/>
  <c r="N308" i="2"/>
  <c r="N396" i="2"/>
  <c r="N395" i="2"/>
  <c r="N306" i="2"/>
  <c r="N398" i="2"/>
  <c r="J10" i="5"/>
  <c r="K10" i="5" s="1"/>
  <c r="C9" i="5"/>
  <c r="D9" i="5" s="1"/>
  <c r="G9" i="5"/>
  <c r="I8" i="5"/>
  <c r="F7" i="5"/>
  <c r="E8" i="5"/>
  <c r="A8" i="5"/>
  <c r="B8" i="5" s="1"/>
  <c r="D1" i="4"/>
  <c r="C1" i="4"/>
  <c r="U23" i="5"/>
  <c r="U24" i="5"/>
  <c r="U22" i="5"/>
  <c r="U21" i="5"/>
  <c r="N25" i="2" l="1"/>
  <c r="N26" i="2"/>
  <c r="N122" i="2" s="1"/>
  <c r="N218" i="2" s="1"/>
  <c r="N28" i="2"/>
  <c r="N124" i="2" s="1"/>
  <c r="N220" i="2" s="1"/>
  <c r="N27" i="2"/>
  <c r="N123" i="2" s="1"/>
  <c r="N219" i="2" s="1"/>
  <c r="N209" i="2"/>
  <c r="N117" i="2"/>
  <c r="N301" i="2"/>
  <c r="N391" i="2"/>
  <c r="N400" i="2"/>
  <c r="N394" i="2"/>
  <c r="N399" i="2"/>
  <c r="N310" i="2"/>
  <c r="N404" i="2"/>
  <c r="N311" i="2"/>
  <c r="N492" i="2"/>
  <c r="N312" i="2"/>
  <c r="N489" i="2"/>
  <c r="N494" i="2"/>
  <c r="N402" i="2"/>
  <c r="N491" i="2"/>
  <c r="N486" i="2"/>
  <c r="N403" i="2"/>
  <c r="N488" i="2"/>
  <c r="G10" i="5"/>
  <c r="I9" i="5"/>
  <c r="C10" i="5"/>
  <c r="D10" i="5" s="1"/>
  <c r="J11" i="5"/>
  <c r="E9" i="5"/>
  <c r="F8" i="5"/>
  <c r="A9" i="5"/>
  <c r="B9" i="5" s="1"/>
  <c r="A1" i="4"/>
  <c r="U27" i="5"/>
  <c r="U28" i="5"/>
  <c r="U26" i="5"/>
  <c r="U25" i="5"/>
  <c r="N32" i="2" l="1"/>
  <c r="N128" i="2" s="1"/>
  <c r="N224" i="2" s="1"/>
  <c r="N31" i="2"/>
  <c r="N127" i="2" s="1"/>
  <c r="N223" i="2" s="1"/>
  <c r="N30" i="2"/>
  <c r="N29" i="2"/>
  <c r="N305" i="2"/>
  <c r="N397" i="2"/>
  <c r="N121" i="2"/>
  <c r="N213" i="2"/>
  <c r="N495" i="2"/>
  <c r="N487" i="2"/>
  <c r="N496" i="2"/>
  <c r="N490" i="2"/>
  <c r="N582" i="2"/>
  <c r="N315" i="2"/>
  <c r="N587" i="2"/>
  <c r="N314" i="2"/>
  <c r="N408" i="2"/>
  <c r="N500" i="2"/>
  <c r="N584" i="2"/>
  <c r="N499" i="2"/>
  <c r="N498" i="2"/>
  <c r="N590" i="2"/>
  <c r="N585" i="2"/>
  <c r="N316" i="2"/>
  <c r="N588" i="2"/>
  <c r="N407" i="2"/>
  <c r="N406" i="2"/>
  <c r="J12" i="5"/>
  <c r="K11" i="5"/>
  <c r="C11" i="5"/>
  <c r="D11" i="5" s="1"/>
  <c r="G11" i="5"/>
  <c r="I10" i="5"/>
  <c r="E10" i="5"/>
  <c r="F9" i="5"/>
  <c r="A10" i="5"/>
  <c r="B10" i="5" s="1"/>
  <c r="U29" i="5"/>
  <c r="U31" i="5"/>
  <c r="U32" i="5"/>
  <c r="U30" i="5"/>
  <c r="C12" i="5" l="1"/>
  <c r="D12" i="5" s="1"/>
  <c r="N33" i="2"/>
  <c r="N34" i="2"/>
  <c r="N36" i="2"/>
  <c r="N132" i="2" s="1"/>
  <c r="N228" i="2" s="1"/>
  <c r="N35" i="2"/>
  <c r="N131" i="2" s="1"/>
  <c r="N227" i="2" s="1"/>
  <c r="N401" i="2"/>
  <c r="N126" i="2"/>
  <c r="N222" i="2" s="1"/>
  <c r="N318" i="2" s="1"/>
  <c r="N217" i="2"/>
  <c r="N125" i="2"/>
  <c r="N309" i="2"/>
  <c r="N493" i="2"/>
  <c r="N583" i="2"/>
  <c r="N591" i="2"/>
  <c r="N592" i="2"/>
  <c r="N586" i="2"/>
  <c r="N319" i="2"/>
  <c r="N503" i="2"/>
  <c r="N680" i="2"/>
  <c r="N502" i="2"/>
  <c r="N596" i="2"/>
  <c r="N410" i="2"/>
  <c r="N320" i="2"/>
  <c r="N411" i="2"/>
  <c r="N678" i="2"/>
  <c r="N684" i="2"/>
  <c r="N412" i="2"/>
  <c r="N681" i="2"/>
  <c r="N686" i="2"/>
  <c r="N594" i="2"/>
  <c r="N595" i="2"/>
  <c r="N504" i="2"/>
  <c r="N683" i="2"/>
  <c r="G12" i="5"/>
  <c r="I12" i="5" s="1"/>
  <c r="I11" i="5"/>
  <c r="J13" i="5"/>
  <c r="K13" i="5" s="1"/>
  <c r="K12" i="5"/>
  <c r="F10" i="5"/>
  <c r="E11" i="5"/>
  <c r="A11" i="5"/>
  <c r="B11" i="5" s="1"/>
  <c r="C13" i="5"/>
  <c r="D13" i="5" s="1"/>
  <c r="U35" i="5"/>
  <c r="U36" i="5"/>
  <c r="U33" i="5"/>
  <c r="U34" i="5"/>
  <c r="N40" i="2" l="1"/>
  <c r="N136" i="2" s="1"/>
  <c r="N232" i="2" s="1"/>
  <c r="N37" i="2"/>
  <c r="N39" i="2"/>
  <c r="N135" i="2" s="1"/>
  <c r="N231" i="2" s="1"/>
  <c r="N38" i="2"/>
  <c r="N134" i="2" s="1"/>
  <c r="N230" i="2" s="1"/>
  <c r="N497" i="2"/>
  <c r="N130" i="2"/>
  <c r="N226" i="2" s="1"/>
  <c r="N322" i="2" s="1"/>
  <c r="N589" i="2"/>
  <c r="N405" i="2"/>
  <c r="N313" i="2"/>
  <c r="N129" i="2"/>
  <c r="N221" i="2"/>
  <c r="N688" i="2"/>
  <c r="N679" i="2"/>
  <c r="N687" i="2"/>
  <c r="N682" i="2"/>
  <c r="N323" i="2"/>
  <c r="N600" i="2"/>
  <c r="N507" i="2"/>
  <c r="N692" i="2"/>
  <c r="N691" i="2"/>
  <c r="N774" i="2"/>
  <c r="N506" i="2"/>
  <c r="N599" i="2"/>
  <c r="N324" i="2"/>
  <c r="N690" i="2"/>
  <c r="N508" i="2"/>
  <c r="N416" i="2"/>
  <c r="N414" i="2"/>
  <c r="N598" i="2"/>
  <c r="N415" i="2"/>
  <c r="J14" i="5"/>
  <c r="K14" i="5" s="1"/>
  <c r="G13" i="5"/>
  <c r="I13" i="5" s="1"/>
  <c r="E12" i="5"/>
  <c r="F11" i="5"/>
  <c r="C14" i="5"/>
  <c r="D14" i="5" s="1"/>
  <c r="A12" i="5"/>
  <c r="B12" i="5" s="1"/>
  <c r="U39" i="5"/>
  <c r="U38" i="5"/>
  <c r="U40" i="5"/>
  <c r="U37" i="5"/>
  <c r="N42" i="2" l="1"/>
  <c r="N41" i="2"/>
  <c r="N44" i="2"/>
  <c r="N140" i="2" s="1"/>
  <c r="N236" i="2" s="1"/>
  <c r="N43" i="2"/>
  <c r="N139" i="2" s="1"/>
  <c r="N235" i="2" s="1"/>
  <c r="N409" i="2"/>
  <c r="N593" i="2"/>
  <c r="N317" i="2"/>
  <c r="N685" i="2"/>
  <c r="N133" i="2"/>
  <c r="N225" i="2"/>
  <c r="N501" i="2"/>
  <c r="N328" i="2"/>
  <c r="N510" i="2"/>
  <c r="N604" i="2"/>
  <c r="N327" i="2"/>
  <c r="N326" i="2"/>
  <c r="N512" i="2"/>
  <c r="N420" i="2"/>
  <c r="N602" i="2"/>
  <c r="N419" i="2"/>
  <c r="N511" i="2"/>
  <c r="N694" i="2"/>
  <c r="N418" i="2"/>
  <c r="N695" i="2"/>
  <c r="N603" i="2"/>
  <c r="N696" i="2"/>
  <c r="G14" i="5"/>
  <c r="I14" i="5" s="1"/>
  <c r="E13" i="5"/>
  <c r="F12" i="5"/>
  <c r="A13" i="5"/>
  <c r="B13" i="5" s="1"/>
  <c r="C15" i="5"/>
  <c r="D15" i="5" s="1"/>
  <c r="U43" i="5"/>
  <c r="U44" i="5"/>
  <c r="U41" i="5"/>
  <c r="U42" i="5"/>
  <c r="N47" i="2" l="1"/>
  <c r="N143" i="2" s="1"/>
  <c r="N239" i="2" s="1"/>
  <c r="N45" i="2"/>
  <c r="N48" i="2"/>
  <c r="N46" i="2"/>
  <c r="N142" i="2" s="1"/>
  <c r="N238" i="2" s="1"/>
  <c r="N321" i="2"/>
  <c r="N229" i="2"/>
  <c r="N137" i="2"/>
  <c r="N597" i="2"/>
  <c r="N413" i="2"/>
  <c r="N505" i="2"/>
  <c r="N689" i="2"/>
  <c r="N138" i="2"/>
  <c r="N234" i="2" s="1"/>
  <c r="N330" i="2" s="1"/>
  <c r="N699" i="2"/>
  <c r="N514" i="2"/>
  <c r="N515" i="2"/>
  <c r="N332" i="2"/>
  <c r="N516" i="2"/>
  <c r="N423" i="2"/>
  <c r="N331" i="2"/>
  <c r="N607" i="2"/>
  <c r="N698" i="2"/>
  <c r="N606" i="2"/>
  <c r="N608" i="2"/>
  <c r="N422" i="2"/>
  <c r="N700" i="2"/>
  <c r="N424" i="2"/>
  <c r="G15" i="5"/>
  <c r="I15" i="5" s="1"/>
  <c r="E14" i="5"/>
  <c r="F13" i="5"/>
  <c r="C16" i="5"/>
  <c r="D16" i="5" s="1"/>
  <c r="A14" i="5"/>
  <c r="B14" i="5" s="1"/>
  <c r="U46" i="5"/>
  <c r="U48" i="5"/>
  <c r="U47" i="5"/>
  <c r="U45" i="5"/>
  <c r="N49" i="2" l="1"/>
  <c r="N50" i="2"/>
  <c r="N51" i="2"/>
  <c r="N52" i="2"/>
  <c r="N144" i="2"/>
  <c r="N509" i="2"/>
  <c r="N233" i="2"/>
  <c r="N141" i="2"/>
  <c r="N601" i="2"/>
  <c r="N417" i="2"/>
  <c r="N693" i="2"/>
  <c r="N325" i="2"/>
  <c r="N520" i="2"/>
  <c r="N611" i="2"/>
  <c r="N518" i="2"/>
  <c r="N704" i="2"/>
  <c r="N612" i="2"/>
  <c r="N335" i="2"/>
  <c r="N426" i="2"/>
  <c r="N334" i="2"/>
  <c r="N702" i="2"/>
  <c r="N703" i="2"/>
  <c r="N427" i="2"/>
  <c r="N519" i="2"/>
  <c r="N428" i="2"/>
  <c r="N610" i="2"/>
  <c r="G16" i="5"/>
  <c r="I16" i="5" s="1"/>
  <c r="E15" i="5"/>
  <c r="F14" i="5"/>
  <c r="A15" i="5"/>
  <c r="B15" i="5" s="1"/>
  <c r="C17" i="5"/>
  <c r="D17" i="5" s="1"/>
  <c r="U52" i="5"/>
  <c r="U50" i="5"/>
  <c r="U51" i="5"/>
  <c r="U49" i="5"/>
  <c r="N54" i="2" l="1"/>
  <c r="N53" i="2"/>
  <c r="N56" i="2"/>
  <c r="N55" i="2"/>
  <c r="N513" i="2"/>
  <c r="N329" i="2"/>
  <c r="N147" i="2"/>
  <c r="N237" i="2"/>
  <c r="N146" i="2"/>
  <c r="N240" i="2"/>
  <c r="N145" i="2"/>
  <c r="N421" i="2"/>
  <c r="N697" i="2"/>
  <c r="N605" i="2"/>
  <c r="N148" i="2"/>
  <c r="N524" i="2"/>
  <c r="N522" i="2"/>
  <c r="N708" i="2"/>
  <c r="N707" i="2"/>
  <c r="N706" i="2"/>
  <c r="N615" i="2"/>
  <c r="N523" i="2"/>
  <c r="N430" i="2"/>
  <c r="N431" i="2"/>
  <c r="N614" i="2"/>
  <c r="N616" i="2"/>
  <c r="G17" i="5"/>
  <c r="I17" i="5" s="1"/>
  <c r="E16" i="5"/>
  <c r="F15" i="5"/>
  <c r="C18" i="5"/>
  <c r="D18" i="5" s="1"/>
  <c r="A16" i="5"/>
  <c r="B16" i="5" s="1"/>
  <c r="U54" i="5"/>
  <c r="U56" i="5"/>
  <c r="U55" i="5"/>
  <c r="U53" i="5"/>
  <c r="N60" i="2" l="1"/>
  <c r="N57" i="2"/>
  <c r="N58" i="2"/>
  <c r="N59" i="2"/>
  <c r="N241" i="2"/>
  <c r="N425" i="2"/>
  <c r="N152" i="2"/>
  <c r="N244" i="2"/>
  <c r="N517" i="2"/>
  <c r="N242" i="2"/>
  <c r="N149" i="2"/>
  <c r="N243" i="2"/>
  <c r="N701" i="2"/>
  <c r="N336" i="2"/>
  <c r="N333" i="2"/>
  <c r="N609" i="2"/>
  <c r="N151" i="2"/>
  <c r="N150" i="2"/>
  <c r="N712" i="2"/>
  <c r="N710" i="2"/>
  <c r="N527" i="2"/>
  <c r="N619" i="2"/>
  <c r="N620" i="2"/>
  <c r="N526" i="2"/>
  <c r="N711" i="2"/>
  <c r="N618" i="2"/>
  <c r="G18" i="5"/>
  <c r="I18" i="5" s="1"/>
  <c r="E17" i="5"/>
  <c r="F16" i="5"/>
  <c r="A17" i="5"/>
  <c r="B17" i="5" s="1"/>
  <c r="C19" i="5"/>
  <c r="D19" i="5" s="1"/>
  <c r="U60" i="5"/>
  <c r="U59" i="5"/>
  <c r="U57" i="5"/>
  <c r="U58" i="5"/>
  <c r="N63" i="2" l="1"/>
  <c r="N62" i="2"/>
  <c r="N61" i="2"/>
  <c r="N64" i="2"/>
  <c r="N245" i="2"/>
  <c r="N154" i="2"/>
  <c r="N613" i="2"/>
  <c r="N153" i="2"/>
  <c r="N339" i="2"/>
  <c r="N247" i="2"/>
  <c r="N429" i="2"/>
  <c r="N521" i="2"/>
  <c r="N340" i="2"/>
  <c r="N432" i="2"/>
  <c r="N248" i="2"/>
  <c r="N337" i="2"/>
  <c r="N246" i="2"/>
  <c r="N705" i="2"/>
  <c r="N338" i="2"/>
  <c r="N155" i="2"/>
  <c r="N156" i="2"/>
  <c r="N715" i="2"/>
  <c r="N714" i="2"/>
  <c r="N622" i="2"/>
  <c r="N716" i="2"/>
  <c r="N623" i="2"/>
  <c r="G19" i="5"/>
  <c r="E18" i="5"/>
  <c r="F17" i="5"/>
  <c r="C20" i="5"/>
  <c r="D20" i="5" s="1"/>
  <c r="A18" i="5"/>
  <c r="B18" i="5" s="1"/>
  <c r="U61" i="5"/>
  <c r="U63" i="5"/>
  <c r="U64" i="5"/>
  <c r="U62" i="5"/>
  <c r="N68" i="2" l="1"/>
  <c r="N67" i="2"/>
  <c r="N66" i="2"/>
  <c r="N65" i="2"/>
  <c r="N251" i="2"/>
  <c r="N249" i="2"/>
  <c r="N617" i="2"/>
  <c r="N525" i="2"/>
  <c r="N341" i="2"/>
  <c r="N252" i="2"/>
  <c r="N434" i="2"/>
  <c r="N342" i="2"/>
  <c r="N436" i="2"/>
  <c r="N709" i="2"/>
  <c r="N158" i="2"/>
  <c r="N433" i="2"/>
  <c r="N343" i="2"/>
  <c r="N250" i="2"/>
  <c r="N157" i="2"/>
  <c r="N344" i="2"/>
  <c r="N528" i="2"/>
  <c r="N435" i="2"/>
  <c r="N160" i="2"/>
  <c r="N159" i="2"/>
  <c r="N719" i="2"/>
  <c r="N718" i="2"/>
  <c r="G20" i="5"/>
  <c r="I19" i="5"/>
  <c r="E19" i="5"/>
  <c r="F18" i="5"/>
  <c r="A19" i="5"/>
  <c r="B19" i="5" s="1"/>
  <c r="C21" i="5"/>
  <c r="D21" i="5" s="1"/>
  <c r="U67" i="5"/>
  <c r="U66" i="5"/>
  <c r="U68" i="5"/>
  <c r="U65" i="5"/>
  <c r="N69" i="2" l="1"/>
  <c r="N72" i="2"/>
  <c r="N70" i="2"/>
  <c r="N71" i="2"/>
  <c r="N438" i="2"/>
  <c r="N624" i="2"/>
  <c r="N529" i="2"/>
  <c r="N345" i="2"/>
  <c r="N256" i="2"/>
  <c r="N253" i="2"/>
  <c r="N346" i="2"/>
  <c r="N254" i="2"/>
  <c r="N437" i="2"/>
  <c r="N621" i="2"/>
  <c r="N713" i="2"/>
  <c r="N162" i="2"/>
  <c r="N255" i="2"/>
  <c r="N532" i="2"/>
  <c r="N530" i="2"/>
  <c r="N348" i="2"/>
  <c r="N163" i="2"/>
  <c r="N531" i="2"/>
  <c r="N440" i="2"/>
  <c r="N439" i="2"/>
  <c r="N347" i="2"/>
  <c r="N161" i="2"/>
  <c r="N164" i="2"/>
  <c r="G21" i="5"/>
  <c r="I20" i="5"/>
  <c r="E20" i="5"/>
  <c r="F19" i="5"/>
  <c r="C22" i="5"/>
  <c r="D22" i="5" s="1"/>
  <c r="A20" i="5"/>
  <c r="B20" i="5" s="1"/>
  <c r="U71" i="5"/>
  <c r="U70" i="5"/>
  <c r="U72" i="5"/>
  <c r="U69" i="5"/>
  <c r="N73" i="2" l="1"/>
  <c r="N76" i="2"/>
  <c r="N74" i="2"/>
  <c r="N75" i="2"/>
  <c r="N441" i="2"/>
  <c r="N166" i="2"/>
  <c r="N443" i="2"/>
  <c r="N627" i="2"/>
  <c r="N168" i="2"/>
  <c r="N720" i="2"/>
  <c r="N165" i="2"/>
  <c r="N352" i="2"/>
  <c r="N257" i="2"/>
  <c r="N536" i="2"/>
  <c r="N626" i="2"/>
  <c r="N350" i="2"/>
  <c r="N442" i="2"/>
  <c r="N349" i="2"/>
  <c r="N534" i="2"/>
  <c r="N260" i="2"/>
  <c r="N535" i="2"/>
  <c r="N258" i="2"/>
  <c r="N625" i="2"/>
  <c r="N259" i="2"/>
  <c r="N444" i="2"/>
  <c r="N628" i="2"/>
  <c r="N351" i="2"/>
  <c r="N717" i="2"/>
  <c r="N533" i="2"/>
  <c r="N167" i="2"/>
  <c r="G22" i="5"/>
  <c r="I21" i="5"/>
  <c r="E21" i="5"/>
  <c r="F20" i="5"/>
  <c r="A21" i="5"/>
  <c r="B21" i="5" s="1"/>
  <c r="C23" i="5"/>
  <c r="D23" i="5" s="1"/>
  <c r="U74" i="5"/>
  <c r="U73" i="5"/>
  <c r="U75" i="5"/>
  <c r="U76" i="5"/>
  <c r="N80" i="2" l="1"/>
  <c r="N79" i="2"/>
  <c r="N77" i="2"/>
  <c r="N78" i="2"/>
  <c r="N355" i="2"/>
  <c r="N631" i="2"/>
  <c r="N170" i="2"/>
  <c r="N629" i="2"/>
  <c r="N724" i="2"/>
  <c r="N721" i="2"/>
  <c r="N445" i="2"/>
  <c r="N722" i="2"/>
  <c r="N263" i="2"/>
  <c r="N448" i="2"/>
  <c r="N540" i="2"/>
  <c r="N356" i="2"/>
  <c r="N353" i="2"/>
  <c r="N172" i="2"/>
  <c r="N446" i="2"/>
  <c r="N264" i="2"/>
  <c r="N262" i="2"/>
  <c r="N537" i="2"/>
  <c r="N447" i="2"/>
  <c r="N354" i="2"/>
  <c r="N630" i="2"/>
  <c r="N538" i="2"/>
  <c r="N632" i="2"/>
  <c r="N261" i="2"/>
  <c r="N723" i="2"/>
  <c r="N539" i="2"/>
  <c r="N171" i="2"/>
  <c r="N169" i="2"/>
  <c r="G23" i="5"/>
  <c r="I22" i="5"/>
  <c r="F21" i="5"/>
  <c r="E22" i="5"/>
  <c r="C24" i="5"/>
  <c r="D24" i="5" s="1"/>
  <c r="A22" i="5"/>
  <c r="B22" i="5" s="1"/>
  <c r="U78" i="5"/>
  <c r="U79" i="5"/>
  <c r="U77" i="5"/>
  <c r="U80" i="5"/>
  <c r="N81" i="2" l="1"/>
  <c r="N84" i="2"/>
  <c r="N83" i="2"/>
  <c r="N82" i="2"/>
  <c r="N265" i="2"/>
  <c r="N357" i="2"/>
  <c r="N726" i="2"/>
  <c r="N543" i="2"/>
  <c r="N633" i="2"/>
  <c r="N268" i="2"/>
  <c r="N636" i="2"/>
  <c r="N541" i="2"/>
  <c r="N727" i="2"/>
  <c r="N358" i="2"/>
  <c r="N544" i="2"/>
  <c r="N266" i="2"/>
  <c r="N450" i="2"/>
  <c r="N449" i="2"/>
  <c r="N452" i="2"/>
  <c r="N725" i="2"/>
  <c r="N451" i="2"/>
  <c r="N175" i="2"/>
  <c r="N267" i="2"/>
  <c r="N728" i="2"/>
  <c r="N634" i="2"/>
  <c r="N173" i="2"/>
  <c r="N635" i="2"/>
  <c r="N360" i="2"/>
  <c r="N542" i="2"/>
  <c r="N359" i="2"/>
  <c r="N174" i="2"/>
  <c r="N176" i="2"/>
  <c r="G24" i="5"/>
  <c r="I24" i="5" s="1"/>
  <c r="I23" i="5"/>
  <c r="E23" i="5"/>
  <c r="F22" i="5"/>
  <c r="A23" i="5"/>
  <c r="B23" i="5" s="1"/>
  <c r="C25" i="5"/>
  <c r="D25" i="5" s="1"/>
  <c r="U83" i="5"/>
  <c r="U82" i="5"/>
  <c r="U81" i="5"/>
  <c r="U84" i="5"/>
  <c r="N88" i="2" l="1"/>
  <c r="N85" i="2"/>
  <c r="N87" i="2"/>
  <c r="N86" i="2"/>
  <c r="N638" i="2"/>
  <c r="N548" i="2"/>
  <c r="N179" i="2"/>
  <c r="N729" i="2"/>
  <c r="N456" i="2"/>
  <c r="N545" i="2"/>
  <c r="N640" i="2"/>
  <c r="N364" i="2"/>
  <c r="N453" i="2"/>
  <c r="N455" i="2"/>
  <c r="N732" i="2"/>
  <c r="N180" i="2"/>
  <c r="N272" i="2"/>
  <c r="N269" i="2"/>
  <c r="N730" i="2"/>
  <c r="N363" i="2"/>
  <c r="N271" i="2"/>
  <c r="N362" i="2"/>
  <c r="N637" i="2"/>
  <c r="N177" i="2"/>
  <c r="N270" i="2"/>
  <c r="N547" i="2"/>
  <c r="N361" i="2"/>
  <c r="N731" i="2"/>
  <c r="N546" i="2"/>
  <c r="N454" i="2"/>
  <c r="N639" i="2"/>
  <c r="N178" i="2"/>
  <c r="G25" i="5"/>
  <c r="F23" i="5"/>
  <c r="E24" i="5"/>
  <c r="C26" i="5"/>
  <c r="D26" i="5" s="1"/>
  <c r="A24" i="5"/>
  <c r="B24" i="5" s="1"/>
  <c r="U87" i="5"/>
  <c r="U85" i="5"/>
  <c r="U88" i="5"/>
  <c r="U86" i="5"/>
  <c r="N92" i="2" l="1"/>
  <c r="N90" i="2"/>
  <c r="N91" i="2"/>
  <c r="N89" i="2"/>
  <c r="N183" i="2"/>
  <c r="N274" i="2"/>
  <c r="N459" i="2"/>
  <c r="N642" i="2"/>
  <c r="N366" i="2"/>
  <c r="N733" i="2"/>
  <c r="N458" i="2"/>
  <c r="N367" i="2"/>
  <c r="N276" i="2"/>
  <c r="N460" i="2"/>
  <c r="N644" i="2"/>
  <c r="N734" i="2"/>
  <c r="N181" i="2"/>
  <c r="N735" i="2"/>
  <c r="N551" i="2"/>
  <c r="N641" i="2"/>
  <c r="N552" i="2"/>
  <c r="N736" i="2"/>
  <c r="N550" i="2"/>
  <c r="N457" i="2"/>
  <c r="N643" i="2"/>
  <c r="N273" i="2"/>
  <c r="N365" i="2"/>
  <c r="N368" i="2"/>
  <c r="N549" i="2"/>
  <c r="N275" i="2"/>
  <c r="N182" i="2"/>
  <c r="N184" i="2"/>
  <c r="I25" i="5"/>
  <c r="G26" i="5"/>
  <c r="I26" i="5" s="1"/>
  <c r="E25" i="5"/>
  <c r="F24" i="5"/>
  <c r="A25" i="5"/>
  <c r="B25" i="5" s="1"/>
  <c r="C27" i="5"/>
  <c r="D27" i="5" s="1"/>
  <c r="U89" i="5"/>
  <c r="U92" i="5"/>
  <c r="U91" i="5"/>
  <c r="U90" i="5"/>
  <c r="N96" i="2" l="1"/>
  <c r="N95" i="2"/>
  <c r="N93" i="2"/>
  <c r="N94" i="2"/>
  <c r="N645" i="2"/>
  <c r="N369" i="2"/>
  <c r="N737" i="2"/>
  <c r="N738" i="2"/>
  <c r="N278" i="2"/>
  <c r="N553" i="2"/>
  <c r="N646" i="2"/>
  <c r="N277" i="2"/>
  <c r="N463" i="2"/>
  <c r="N554" i="2"/>
  <c r="N370" i="2"/>
  <c r="N186" i="2"/>
  <c r="N464" i="2"/>
  <c r="N648" i="2"/>
  <c r="N556" i="2"/>
  <c r="N371" i="2"/>
  <c r="N740" i="2"/>
  <c r="N462" i="2"/>
  <c r="N279" i="2"/>
  <c r="N187" i="2"/>
  <c r="N280" i="2"/>
  <c r="N461" i="2"/>
  <c r="N739" i="2"/>
  <c r="N647" i="2"/>
  <c r="N372" i="2"/>
  <c r="N555" i="2"/>
  <c r="N185" i="2"/>
  <c r="N188" i="2"/>
  <c r="F25" i="5"/>
  <c r="E26" i="5"/>
  <c r="F26" i="5" s="1"/>
  <c r="C28" i="5"/>
  <c r="D28" i="5" s="1"/>
  <c r="A26" i="5"/>
  <c r="B26" i="5" s="1"/>
  <c r="O10" i="5"/>
  <c r="U96" i="5"/>
  <c r="U93" i="5"/>
  <c r="U95" i="5"/>
  <c r="U97" i="5"/>
  <c r="U94" i="5"/>
  <c r="V2" i="5" l="1"/>
  <c r="N101" i="2"/>
  <c r="N100" i="2"/>
  <c r="N99" i="2"/>
  <c r="N98" i="2"/>
  <c r="N97" i="2"/>
  <c r="N283" i="2"/>
  <c r="N373" i="2"/>
  <c r="N559" i="2"/>
  <c r="N374" i="2"/>
  <c r="N376" i="2"/>
  <c r="N284" i="2"/>
  <c r="N557" i="2"/>
  <c r="N558" i="2"/>
  <c r="N467" i="2"/>
  <c r="N466" i="2"/>
  <c r="N465" i="2"/>
  <c r="N741" i="2"/>
  <c r="N191" i="2"/>
  <c r="N468" i="2"/>
  <c r="N744" i="2"/>
  <c r="N649" i="2"/>
  <c r="N189" i="2"/>
  <c r="N281" i="2"/>
  <c r="N651" i="2"/>
  <c r="N652" i="2"/>
  <c r="N650" i="2"/>
  <c r="N742" i="2"/>
  <c r="N743" i="2"/>
  <c r="N375" i="2"/>
  <c r="N560" i="2"/>
  <c r="N282" i="2"/>
  <c r="N190" i="2"/>
  <c r="N192" i="2"/>
  <c r="A27" i="5"/>
  <c r="B27" i="5" s="1"/>
  <c r="C29" i="5"/>
  <c r="D29" i="5" s="1"/>
  <c r="N287" i="2" l="1"/>
  <c r="N380" i="2"/>
  <c r="N379" i="2"/>
  <c r="N470" i="2"/>
  <c r="N655" i="2"/>
  <c r="N469" i="2"/>
  <c r="N193" i="2"/>
  <c r="N196" i="2"/>
  <c r="N378" i="2"/>
  <c r="N561" i="2"/>
  <c r="N563" i="2"/>
  <c r="N195" i="2"/>
  <c r="N286" i="2"/>
  <c r="N564" i="2"/>
  <c r="N562" i="2"/>
  <c r="N288" i="2"/>
  <c r="N471" i="2"/>
  <c r="N748" i="2"/>
  <c r="N377" i="2"/>
  <c r="N285" i="2"/>
  <c r="N745" i="2"/>
  <c r="N653" i="2"/>
  <c r="N472" i="2"/>
  <c r="N197" i="2"/>
  <c r="N656" i="2"/>
  <c r="N746" i="2"/>
  <c r="N747" i="2"/>
  <c r="N654" i="2"/>
  <c r="N194" i="2"/>
  <c r="C30" i="5"/>
  <c r="D30" i="5" s="1"/>
  <c r="A28" i="5"/>
  <c r="B28" i="5" s="1"/>
  <c r="N381" i="2" l="1"/>
  <c r="N660" i="2"/>
  <c r="N291" i="2"/>
  <c r="N751" i="2"/>
  <c r="N566" i="2"/>
  <c r="N290" i="2"/>
  <c r="N382" i="2"/>
  <c r="N292" i="2"/>
  <c r="N565" i="2"/>
  <c r="N383" i="2"/>
  <c r="N749" i="2"/>
  <c r="N384" i="2"/>
  <c r="N474" i="2"/>
  <c r="N476" i="2"/>
  <c r="N750" i="2"/>
  <c r="N752" i="2"/>
  <c r="N473" i="2"/>
  <c r="N658" i="2"/>
  <c r="N289" i="2"/>
  <c r="N293" i="2"/>
  <c r="N568" i="2"/>
  <c r="N567" i="2"/>
  <c r="N659" i="2"/>
  <c r="N657" i="2"/>
  <c r="N475" i="2"/>
  <c r="A29" i="5"/>
  <c r="B29" i="5" s="1"/>
  <c r="C31" i="5"/>
  <c r="D31" i="5" s="1"/>
  <c r="N386" i="2" l="1"/>
  <c r="N756" i="2"/>
  <c r="N664" i="2"/>
  <c r="N389" i="2"/>
  <c r="N385" i="2"/>
  <c r="N569" i="2"/>
  <c r="N480" i="2"/>
  <c r="N388" i="2"/>
  <c r="N387" i="2"/>
  <c r="N477" i="2"/>
  <c r="N755" i="2"/>
  <c r="N571" i="2"/>
  <c r="N753" i="2"/>
  <c r="N754" i="2"/>
  <c r="N478" i="2"/>
  <c r="N663" i="2"/>
  <c r="N572" i="2"/>
  <c r="N570" i="2"/>
  <c r="N479" i="2"/>
  <c r="N661" i="2"/>
  <c r="N662" i="2"/>
  <c r="C32" i="5"/>
  <c r="D32" i="5" s="1"/>
  <c r="A30" i="5"/>
  <c r="B30" i="5" s="1"/>
  <c r="N666" i="2" l="1"/>
  <c r="N665" i="2"/>
  <c r="N485" i="2"/>
  <c r="N667" i="2"/>
  <c r="N757" i="2"/>
  <c r="N573" i="2"/>
  <c r="N576" i="2"/>
  <c r="N481" i="2"/>
  <c r="N575" i="2"/>
  <c r="N484" i="2"/>
  <c r="N482" i="2"/>
  <c r="N758" i="2"/>
  <c r="N759" i="2"/>
  <c r="N574" i="2"/>
  <c r="N668" i="2"/>
  <c r="N483" i="2"/>
  <c r="N760" i="2"/>
  <c r="A31" i="5"/>
  <c r="B31" i="5" s="1"/>
  <c r="C33" i="5"/>
  <c r="D33" i="5" s="1"/>
  <c r="N580" i="2" l="1"/>
  <c r="N764" i="2"/>
  <c r="N578" i="2"/>
  <c r="N579" i="2"/>
  <c r="N577" i="2"/>
  <c r="N672" i="2"/>
  <c r="N669" i="2"/>
  <c r="N581" i="2"/>
  <c r="N670" i="2"/>
  <c r="N671" i="2"/>
  <c r="N763" i="2"/>
  <c r="N761" i="2"/>
  <c r="N762" i="2"/>
  <c r="C34" i="5"/>
  <c r="D34" i="5" s="1"/>
  <c r="A32" i="5"/>
  <c r="B32" i="5" s="1"/>
  <c r="N765" i="2" l="1"/>
  <c r="N768" i="2"/>
  <c r="N674" i="2"/>
  <c r="N676" i="2"/>
  <c r="N767" i="2"/>
  <c r="N766" i="2"/>
  <c r="N677" i="2"/>
  <c r="N673" i="2"/>
  <c r="N675" i="2"/>
  <c r="A33" i="5"/>
  <c r="B33" i="5" s="1"/>
  <c r="C35" i="5"/>
  <c r="D35" i="5" s="1"/>
  <c r="N772" i="2" l="1"/>
  <c r="N769" i="2"/>
  <c r="N770" i="2"/>
  <c r="N771" i="2"/>
  <c r="N773" i="2"/>
  <c r="C36" i="5"/>
  <c r="D36" i="5" s="1"/>
  <c r="A34" i="5"/>
  <c r="B34" i="5" s="1"/>
  <c r="A35" i="5" l="1"/>
  <c r="B35" i="5" s="1"/>
  <c r="C37" i="5"/>
  <c r="D37" i="5" s="1"/>
  <c r="C38" i="5" l="1"/>
  <c r="D38" i="5" s="1"/>
  <c r="A36" i="5"/>
  <c r="B36" i="5" s="1"/>
  <c r="A37" i="5" l="1"/>
  <c r="B37" i="5" s="1"/>
  <c r="C39" i="5"/>
  <c r="D39" i="5" s="1"/>
  <c r="C40" i="5" l="1"/>
  <c r="D40" i="5" s="1"/>
  <c r="A38" i="5"/>
  <c r="B38" i="5" s="1"/>
  <c r="A39" i="5" l="1"/>
  <c r="B39" i="5" s="1"/>
  <c r="C41" i="5"/>
  <c r="D41" i="5" s="1"/>
  <c r="C42" i="5" l="1"/>
  <c r="D42" i="5" s="1"/>
  <c r="A40" i="5"/>
  <c r="B40" i="5" s="1"/>
  <c r="A41" i="5" l="1"/>
  <c r="B41" i="5" s="1"/>
  <c r="C43" i="5"/>
  <c r="D43" i="5" s="1"/>
  <c r="C44" i="5" l="1"/>
  <c r="D44" i="5" s="1"/>
  <c r="A42" i="5"/>
  <c r="B42" i="5" s="1"/>
  <c r="A43" i="5" l="1"/>
  <c r="B43" i="5" s="1"/>
  <c r="C45" i="5"/>
  <c r="D45" i="5" s="1"/>
  <c r="C46" i="5" l="1"/>
  <c r="D46" i="5" s="1"/>
  <c r="A44" i="5"/>
  <c r="B44" i="5" s="1"/>
  <c r="A45" i="5" l="1"/>
  <c r="B45" i="5" s="1"/>
  <c r="C47" i="5"/>
  <c r="D47" i="5" s="1"/>
  <c r="C48" i="5" l="1"/>
  <c r="D48" i="5" s="1"/>
  <c r="A46" i="5"/>
  <c r="B46" i="5" s="1"/>
  <c r="A47" i="5" l="1"/>
  <c r="B47" i="5" s="1"/>
  <c r="C49" i="5"/>
  <c r="D49" i="5" l="1"/>
  <c r="C50" i="5"/>
  <c r="D50" i="5" s="1"/>
  <c r="A48" i="5"/>
  <c r="B48" i="5" s="1"/>
  <c r="V49" i="5" l="1"/>
  <c r="A49" i="5"/>
  <c r="B49" i="5" s="1"/>
  <c r="O53" i="2" l="1"/>
  <c r="O149" i="2" s="1"/>
  <c r="O245" i="2" s="1"/>
  <c r="O341" i="2" s="1"/>
  <c r="O437" i="2" s="1"/>
  <c r="O533" i="2" s="1"/>
  <c r="O629" i="2" s="1"/>
  <c r="O725" i="2" s="1"/>
  <c r="V50" i="5"/>
  <c r="A50" i="5"/>
  <c r="B50" i="5" s="1"/>
  <c r="O54" i="2" l="1"/>
  <c r="O150" i="2" s="1"/>
  <c r="O246" i="2" s="1"/>
  <c r="O342" i="2" s="1"/>
  <c r="O438" i="2" s="1"/>
  <c r="O534" i="2" s="1"/>
  <c r="O630" i="2" s="1"/>
  <c r="O726" i="2" s="1"/>
  <c r="V51" i="5"/>
  <c r="A51" i="5"/>
  <c r="B51" i="5" s="1"/>
  <c r="V52" i="5" l="1"/>
  <c r="O55" i="2"/>
  <c r="O151" i="2" s="1"/>
  <c r="O247" i="2" s="1"/>
  <c r="O343" i="2" s="1"/>
  <c r="O439" i="2" s="1"/>
  <c r="O535" i="2" s="1"/>
  <c r="O631" i="2" s="1"/>
  <c r="O727" i="2" s="1"/>
  <c r="A52" i="5"/>
  <c r="B52" i="5" s="1"/>
  <c r="V53" i="5" l="1"/>
  <c r="O56" i="2"/>
  <c r="O152" i="2" s="1"/>
  <c r="O248" i="2" s="1"/>
  <c r="O344" i="2" s="1"/>
  <c r="O440" i="2" s="1"/>
  <c r="O536" i="2" s="1"/>
  <c r="O632" i="2" s="1"/>
  <c r="O728" i="2" s="1"/>
  <c r="A53" i="5"/>
  <c r="B53" i="5" s="1"/>
  <c r="O57" i="2" l="1"/>
  <c r="O153" i="2" s="1"/>
  <c r="O249" i="2" s="1"/>
  <c r="O345" i="2" s="1"/>
  <c r="O441" i="2" s="1"/>
  <c r="O537" i="2" s="1"/>
  <c r="O633" i="2" s="1"/>
  <c r="O729" i="2" s="1"/>
  <c r="V54" i="5"/>
  <c r="V3" i="5"/>
  <c r="O6" i="2"/>
  <c r="O102" i="2" s="1"/>
  <c r="O198" i="2" s="1"/>
  <c r="O294" i="2" s="1"/>
  <c r="O390" i="2" s="1"/>
  <c r="O486" i="2" s="1"/>
  <c r="O582" i="2" s="1"/>
  <c r="O678" i="2" s="1"/>
  <c r="O774" i="2" s="1"/>
  <c r="A54" i="5"/>
  <c r="B54" i="5" s="1"/>
  <c r="V55" i="5" l="1"/>
  <c r="O58" i="2"/>
  <c r="O154" i="2" s="1"/>
  <c r="O250" i="2" s="1"/>
  <c r="O346" i="2" s="1"/>
  <c r="O442" i="2" s="1"/>
  <c r="O538" i="2" s="1"/>
  <c r="O634" i="2" s="1"/>
  <c r="O730" i="2" s="1"/>
  <c r="V4" i="5"/>
  <c r="O7" i="2"/>
  <c r="O103" i="2" s="1"/>
  <c r="O199" i="2" s="1"/>
  <c r="O295" i="2" s="1"/>
  <c r="O391" i="2" s="1"/>
  <c r="O487" i="2" s="1"/>
  <c r="O583" i="2" s="1"/>
  <c r="O679" i="2" s="1"/>
  <c r="A55" i="5"/>
  <c r="B55" i="5" s="1"/>
  <c r="V65" i="5" l="1"/>
  <c r="O59" i="2"/>
  <c r="O155" i="2" s="1"/>
  <c r="O251" i="2" s="1"/>
  <c r="O347" i="2" s="1"/>
  <c r="O443" i="2" s="1"/>
  <c r="O539" i="2" s="1"/>
  <c r="O635" i="2" s="1"/>
  <c r="O731" i="2" s="1"/>
  <c r="V56" i="5"/>
  <c r="V5" i="5"/>
  <c r="O8" i="2"/>
  <c r="O104" i="2" s="1"/>
  <c r="O200" i="2" s="1"/>
  <c r="O296" i="2" s="1"/>
  <c r="O392" i="2" s="1"/>
  <c r="O488" i="2" s="1"/>
  <c r="O584" i="2" s="1"/>
  <c r="O680" i="2" s="1"/>
  <c r="A56" i="5"/>
  <c r="B56" i="5" s="1"/>
  <c r="O60" i="2" l="1"/>
  <c r="O156" i="2" s="1"/>
  <c r="O252" i="2" s="1"/>
  <c r="O348" i="2" s="1"/>
  <c r="O444" i="2" s="1"/>
  <c r="O540" i="2" s="1"/>
  <c r="O636" i="2" s="1"/>
  <c r="O732" i="2" s="1"/>
  <c r="V57" i="5"/>
  <c r="V66" i="5"/>
  <c r="O69" i="2"/>
  <c r="O165" i="2" s="1"/>
  <c r="O261" i="2" s="1"/>
  <c r="O357" i="2" s="1"/>
  <c r="O453" i="2" s="1"/>
  <c r="O549" i="2" s="1"/>
  <c r="O645" i="2" s="1"/>
  <c r="O741" i="2" s="1"/>
  <c r="O9" i="2"/>
  <c r="O105" i="2" s="1"/>
  <c r="O201" i="2" s="1"/>
  <c r="O297" i="2" s="1"/>
  <c r="O393" i="2" s="1"/>
  <c r="O489" i="2" s="1"/>
  <c r="O585" i="2" s="1"/>
  <c r="O681" i="2" s="1"/>
  <c r="V6" i="5"/>
  <c r="A57" i="5"/>
  <c r="B57" i="5" s="1"/>
  <c r="O61" i="2" l="1"/>
  <c r="O157" i="2" s="1"/>
  <c r="O253" i="2" s="1"/>
  <c r="O349" i="2" s="1"/>
  <c r="O445" i="2" s="1"/>
  <c r="O541" i="2" s="1"/>
  <c r="O637" i="2" s="1"/>
  <c r="O733" i="2" s="1"/>
  <c r="V58" i="5"/>
  <c r="O70" i="2"/>
  <c r="O166" i="2" s="1"/>
  <c r="O262" i="2" s="1"/>
  <c r="O358" i="2" s="1"/>
  <c r="O454" i="2" s="1"/>
  <c r="O550" i="2" s="1"/>
  <c r="O646" i="2" s="1"/>
  <c r="O742" i="2" s="1"/>
  <c r="V67" i="5"/>
  <c r="O10" i="2"/>
  <c r="O106" i="2" s="1"/>
  <c r="O202" i="2" s="1"/>
  <c r="O298" i="2" s="1"/>
  <c r="O394" i="2" s="1"/>
  <c r="O490" i="2" s="1"/>
  <c r="O586" i="2" s="1"/>
  <c r="O682" i="2" s="1"/>
  <c r="V7" i="5"/>
  <c r="A58" i="5"/>
  <c r="B58" i="5" s="1"/>
  <c r="O62" i="2" l="1"/>
  <c r="O158" i="2" s="1"/>
  <c r="O254" i="2" s="1"/>
  <c r="O350" i="2" s="1"/>
  <c r="O446" i="2" s="1"/>
  <c r="O542" i="2" s="1"/>
  <c r="O638" i="2" s="1"/>
  <c r="O734" i="2" s="1"/>
  <c r="V59" i="5"/>
  <c r="O71" i="2"/>
  <c r="O167" i="2" s="1"/>
  <c r="O263" i="2" s="1"/>
  <c r="O359" i="2" s="1"/>
  <c r="O455" i="2" s="1"/>
  <c r="O551" i="2" s="1"/>
  <c r="O647" i="2" s="1"/>
  <c r="O743" i="2" s="1"/>
  <c r="V68" i="5"/>
  <c r="O11" i="2"/>
  <c r="O107" i="2" s="1"/>
  <c r="O203" i="2" s="1"/>
  <c r="O299" i="2" s="1"/>
  <c r="O395" i="2" s="1"/>
  <c r="O491" i="2" s="1"/>
  <c r="O587" i="2" s="1"/>
  <c r="O683" i="2" s="1"/>
  <c r="V8" i="5"/>
  <c r="A59" i="5"/>
  <c r="B59" i="5" s="1"/>
  <c r="O63" i="2" l="1"/>
  <c r="O159" i="2" s="1"/>
  <c r="O255" i="2" s="1"/>
  <c r="O351" i="2" s="1"/>
  <c r="O447" i="2" s="1"/>
  <c r="O543" i="2" s="1"/>
  <c r="O639" i="2" s="1"/>
  <c r="O735" i="2" s="1"/>
  <c r="V60" i="5"/>
  <c r="V81" i="5"/>
  <c r="O72" i="2"/>
  <c r="O168" i="2" s="1"/>
  <c r="O264" i="2" s="1"/>
  <c r="O360" i="2" s="1"/>
  <c r="O456" i="2" s="1"/>
  <c r="O552" i="2" s="1"/>
  <c r="O648" i="2" s="1"/>
  <c r="O744" i="2" s="1"/>
  <c r="V69" i="5"/>
  <c r="O12" i="2"/>
  <c r="V9" i="5"/>
  <c r="A60" i="5"/>
  <c r="B60" i="5" s="1"/>
  <c r="O64" i="2" l="1"/>
  <c r="O160" i="2" s="1"/>
  <c r="O256" i="2" s="1"/>
  <c r="O352" i="2" s="1"/>
  <c r="O448" i="2" s="1"/>
  <c r="O544" i="2" s="1"/>
  <c r="O640" i="2" s="1"/>
  <c r="O736" i="2" s="1"/>
  <c r="V61" i="5"/>
  <c r="O73" i="2"/>
  <c r="O169" i="2" s="1"/>
  <c r="O265" i="2" s="1"/>
  <c r="O361" i="2" s="1"/>
  <c r="O457" i="2" s="1"/>
  <c r="O553" i="2" s="1"/>
  <c r="O649" i="2" s="1"/>
  <c r="O745" i="2" s="1"/>
  <c r="V70" i="5"/>
  <c r="O85" i="2"/>
  <c r="O181" i="2" s="1"/>
  <c r="O277" i="2" s="1"/>
  <c r="O373" i="2" s="1"/>
  <c r="O469" i="2" s="1"/>
  <c r="O565" i="2" s="1"/>
  <c r="O661" i="2" s="1"/>
  <c r="O757" i="2" s="1"/>
  <c r="V82" i="5"/>
  <c r="O13" i="2"/>
  <c r="O109" i="2" s="1"/>
  <c r="O205" i="2" s="1"/>
  <c r="O301" i="2" s="1"/>
  <c r="O397" i="2" s="1"/>
  <c r="O493" i="2" s="1"/>
  <c r="O589" i="2" s="1"/>
  <c r="O685" i="2" s="1"/>
  <c r="V10" i="5"/>
  <c r="O108" i="2"/>
  <c r="A61" i="5"/>
  <c r="B61" i="5" s="1"/>
  <c r="O65" i="2" l="1"/>
  <c r="O161" i="2" s="1"/>
  <c r="O257" i="2" s="1"/>
  <c r="O353" i="2" s="1"/>
  <c r="O449" i="2" s="1"/>
  <c r="O545" i="2" s="1"/>
  <c r="O641" i="2" s="1"/>
  <c r="O737" i="2" s="1"/>
  <c r="V62" i="5"/>
  <c r="O86" i="2"/>
  <c r="O182" i="2" s="1"/>
  <c r="O278" i="2" s="1"/>
  <c r="O374" i="2" s="1"/>
  <c r="O470" i="2" s="1"/>
  <c r="O566" i="2" s="1"/>
  <c r="O662" i="2" s="1"/>
  <c r="O758" i="2" s="1"/>
  <c r="V83" i="5"/>
  <c r="V71" i="5"/>
  <c r="O74" i="2"/>
  <c r="O170" i="2" s="1"/>
  <c r="O266" i="2" s="1"/>
  <c r="O362" i="2" s="1"/>
  <c r="O458" i="2" s="1"/>
  <c r="O554" i="2" s="1"/>
  <c r="O650" i="2" s="1"/>
  <c r="O746" i="2" s="1"/>
  <c r="O14" i="2"/>
  <c r="O110" i="2" s="1"/>
  <c r="O206" i="2" s="1"/>
  <c r="O302" i="2" s="1"/>
  <c r="O398" i="2" s="1"/>
  <c r="O494" i="2" s="1"/>
  <c r="O590" i="2" s="1"/>
  <c r="O686" i="2" s="1"/>
  <c r="V11" i="5"/>
  <c r="O204" i="2"/>
  <c r="O300" i="2" s="1"/>
  <c r="O396" i="2" s="1"/>
  <c r="O492" i="2" s="1"/>
  <c r="O588" i="2" s="1"/>
  <c r="O684" i="2" s="1"/>
  <c r="A62" i="5"/>
  <c r="B62" i="5" s="1"/>
  <c r="O66" i="2" l="1"/>
  <c r="O162" i="2" s="1"/>
  <c r="O258" i="2" s="1"/>
  <c r="O354" i="2" s="1"/>
  <c r="O450" i="2" s="1"/>
  <c r="O546" i="2" s="1"/>
  <c r="O642" i="2" s="1"/>
  <c r="O738" i="2" s="1"/>
  <c r="V63" i="5"/>
  <c r="O75" i="2"/>
  <c r="O171" i="2" s="1"/>
  <c r="O267" i="2" s="1"/>
  <c r="O363" i="2" s="1"/>
  <c r="O459" i="2" s="1"/>
  <c r="O555" i="2" s="1"/>
  <c r="O651" i="2" s="1"/>
  <c r="O747" i="2" s="1"/>
  <c r="V72" i="5"/>
  <c r="O87" i="2"/>
  <c r="O183" i="2" s="1"/>
  <c r="O279" i="2" s="1"/>
  <c r="O375" i="2" s="1"/>
  <c r="O471" i="2" s="1"/>
  <c r="O567" i="2" s="1"/>
  <c r="O663" i="2" s="1"/>
  <c r="O759" i="2" s="1"/>
  <c r="V84" i="5"/>
  <c r="O15" i="2"/>
  <c r="O111" i="2" s="1"/>
  <c r="O207" i="2" s="1"/>
  <c r="O303" i="2" s="1"/>
  <c r="O399" i="2" s="1"/>
  <c r="O495" i="2" s="1"/>
  <c r="O591" i="2" s="1"/>
  <c r="O687" i="2" s="1"/>
  <c r="V12" i="5"/>
  <c r="A63" i="5"/>
  <c r="B63" i="5" s="1"/>
  <c r="V64" i="5" l="1"/>
  <c r="O68" i="2" s="1"/>
  <c r="O164" i="2" s="1"/>
  <c r="O260" i="2" s="1"/>
  <c r="O356" i="2" s="1"/>
  <c r="O452" i="2" s="1"/>
  <c r="O548" i="2" s="1"/>
  <c r="O644" i="2" s="1"/>
  <c r="O740" i="2" s="1"/>
  <c r="O67" i="2"/>
  <c r="O163" i="2" s="1"/>
  <c r="O259" i="2" s="1"/>
  <c r="O355" i="2" s="1"/>
  <c r="O451" i="2" s="1"/>
  <c r="O547" i="2" s="1"/>
  <c r="O643" i="2" s="1"/>
  <c r="O739" i="2" s="1"/>
  <c r="O88" i="2"/>
  <c r="O184" i="2" s="1"/>
  <c r="O280" i="2" s="1"/>
  <c r="O376" i="2" s="1"/>
  <c r="O472" i="2" s="1"/>
  <c r="O568" i="2" s="1"/>
  <c r="O664" i="2" s="1"/>
  <c r="O760" i="2" s="1"/>
  <c r="V85" i="5"/>
  <c r="V97" i="5"/>
  <c r="O101" i="2" s="1"/>
  <c r="O197" i="2" s="1"/>
  <c r="O293" i="2" s="1"/>
  <c r="O389" i="2" s="1"/>
  <c r="O485" i="2" s="1"/>
  <c r="O581" i="2" s="1"/>
  <c r="O677" i="2" s="1"/>
  <c r="O773" i="2" s="1"/>
  <c r="O76" i="2"/>
  <c r="O172" i="2" s="1"/>
  <c r="O268" i="2" s="1"/>
  <c r="O364" i="2" s="1"/>
  <c r="O460" i="2" s="1"/>
  <c r="O556" i="2" s="1"/>
  <c r="O652" i="2" s="1"/>
  <c r="O748" i="2" s="1"/>
  <c r="V73" i="5"/>
  <c r="V13" i="5"/>
  <c r="O16" i="2"/>
  <c r="O112" i="2" s="1"/>
  <c r="O208" i="2" s="1"/>
  <c r="O304" i="2" s="1"/>
  <c r="O400" i="2" s="1"/>
  <c r="O496" i="2" s="1"/>
  <c r="O592" i="2" s="1"/>
  <c r="O688" i="2" s="1"/>
  <c r="A64" i="5"/>
  <c r="B64" i="5" s="1"/>
  <c r="O77" i="2" l="1"/>
  <c r="O173" i="2" s="1"/>
  <c r="O269" i="2" s="1"/>
  <c r="O365" i="2" s="1"/>
  <c r="O461" i="2" s="1"/>
  <c r="O557" i="2" s="1"/>
  <c r="O653" i="2" s="1"/>
  <c r="O749" i="2" s="1"/>
  <c r="V74" i="5"/>
  <c r="V86" i="5"/>
  <c r="O89" i="2"/>
  <c r="O185" i="2" s="1"/>
  <c r="O281" i="2" s="1"/>
  <c r="O377" i="2" s="1"/>
  <c r="O473" i="2" s="1"/>
  <c r="O569" i="2" s="1"/>
  <c r="O665" i="2" s="1"/>
  <c r="O761" i="2" s="1"/>
  <c r="O17" i="2"/>
  <c r="O113" i="2" s="1"/>
  <c r="O209" i="2" s="1"/>
  <c r="O305" i="2" s="1"/>
  <c r="O401" i="2" s="1"/>
  <c r="O497" i="2" s="1"/>
  <c r="O593" i="2" s="1"/>
  <c r="O689" i="2" s="1"/>
  <c r="V14" i="5"/>
  <c r="A65" i="5"/>
  <c r="B65" i="5" s="1"/>
  <c r="O78" i="2" l="1"/>
  <c r="O174" i="2" s="1"/>
  <c r="O270" i="2" s="1"/>
  <c r="O366" i="2" s="1"/>
  <c r="O462" i="2" s="1"/>
  <c r="O558" i="2" s="1"/>
  <c r="O654" i="2" s="1"/>
  <c r="O750" i="2" s="1"/>
  <c r="V75" i="5"/>
  <c r="O90" i="2"/>
  <c r="O186" i="2" s="1"/>
  <c r="V87" i="5"/>
  <c r="O18" i="2"/>
  <c r="O114" i="2" s="1"/>
  <c r="O210" i="2" s="1"/>
  <c r="O306" i="2" s="1"/>
  <c r="O402" i="2" s="1"/>
  <c r="O498" i="2" s="1"/>
  <c r="O594" i="2" s="1"/>
  <c r="O690" i="2" s="1"/>
  <c r="V15" i="5"/>
  <c r="A66" i="5"/>
  <c r="B66" i="5" s="1"/>
  <c r="O79" i="2" l="1"/>
  <c r="O175" i="2" s="1"/>
  <c r="O271" i="2" s="1"/>
  <c r="O367" i="2" s="1"/>
  <c r="O463" i="2" s="1"/>
  <c r="O559" i="2" s="1"/>
  <c r="O655" i="2" s="1"/>
  <c r="O751" i="2" s="1"/>
  <c r="V76" i="5"/>
  <c r="V88" i="5"/>
  <c r="O91" i="2"/>
  <c r="O187" i="2" s="1"/>
  <c r="O283" i="2" s="1"/>
  <c r="O379" i="2" s="1"/>
  <c r="O475" i="2" s="1"/>
  <c r="O571" i="2" s="1"/>
  <c r="O667" i="2" s="1"/>
  <c r="O763" i="2" s="1"/>
  <c r="O282" i="2"/>
  <c r="O378" i="2" s="1"/>
  <c r="O474" i="2" s="1"/>
  <c r="O570" i="2" s="1"/>
  <c r="O666" i="2" s="1"/>
  <c r="O762" i="2" s="1"/>
  <c r="V16" i="5"/>
  <c r="O19" i="2"/>
  <c r="O115" i="2" s="1"/>
  <c r="O211" i="2" s="1"/>
  <c r="O307" i="2" s="1"/>
  <c r="O403" i="2" s="1"/>
  <c r="O499" i="2" s="1"/>
  <c r="O595" i="2" s="1"/>
  <c r="O691" i="2" s="1"/>
  <c r="A67" i="5"/>
  <c r="B67" i="5" s="1"/>
  <c r="O80" i="2" l="1"/>
  <c r="O176" i="2" s="1"/>
  <c r="O272" i="2" s="1"/>
  <c r="O368" i="2" s="1"/>
  <c r="O464" i="2" s="1"/>
  <c r="O560" i="2" s="1"/>
  <c r="O656" i="2" s="1"/>
  <c r="O752" i="2" s="1"/>
  <c r="V77" i="5"/>
  <c r="V89" i="5"/>
  <c r="O92" i="2"/>
  <c r="O188" i="2" s="1"/>
  <c r="O284" i="2" s="1"/>
  <c r="O380" i="2" s="1"/>
  <c r="O476" i="2" s="1"/>
  <c r="O572" i="2" s="1"/>
  <c r="O668" i="2" s="1"/>
  <c r="O764" i="2" s="1"/>
  <c r="O20" i="2"/>
  <c r="O116" i="2" s="1"/>
  <c r="O212" i="2" s="1"/>
  <c r="O308" i="2" s="1"/>
  <c r="O404" i="2" s="1"/>
  <c r="O500" i="2" s="1"/>
  <c r="O596" i="2" s="1"/>
  <c r="O692" i="2" s="1"/>
  <c r="V17" i="5"/>
  <c r="A68" i="5"/>
  <c r="B68" i="5" s="1"/>
  <c r="O81" i="2" l="1"/>
  <c r="O177" i="2" s="1"/>
  <c r="O273" i="2" s="1"/>
  <c r="O369" i="2" s="1"/>
  <c r="O465" i="2" s="1"/>
  <c r="O561" i="2" s="1"/>
  <c r="O657" i="2" s="1"/>
  <c r="O753" i="2" s="1"/>
  <c r="V78" i="5"/>
  <c r="O93" i="2"/>
  <c r="O189" i="2" s="1"/>
  <c r="V90" i="5"/>
  <c r="O21" i="2"/>
  <c r="O117" i="2" s="1"/>
  <c r="O213" i="2" s="1"/>
  <c r="O309" i="2" s="1"/>
  <c r="O405" i="2" s="1"/>
  <c r="O501" i="2" s="1"/>
  <c r="O597" i="2" s="1"/>
  <c r="O693" i="2" s="1"/>
  <c r="V18" i="5"/>
  <c r="O285" i="2"/>
  <c r="O381" i="2" s="1"/>
  <c r="O477" i="2" s="1"/>
  <c r="O573" i="2" s="1"/>
  <c r="O669" i="2" s="1"/>
  <c r="O765" i="2" s="1"/>
  <c r="A69" i="5"/>
  <c r="B69" i="5" s="1"/>
  <c r="V79" i="5" l="1"/>
  <c r="O82" i="2"/>
  <c r="O178" i="2" s="1"/>
  <c r="O274" i="2" s="1"/>
  <c r="O370" i="2" s="1"/>
  <c r="O466" i="2" s="1"/>
  <c r="O562" i="2" s="1"/>
  <c r="O658" i="2" s="1"/>
  <c r="O754" i="2" s="1"/>
  <c r="V91" i="5"/>
  <c r="O94" i="2"/>
  <c r="O190" i="2" s="1"/>
  <c r="O286" i="2" s="1"/>
  <c r="O382" i="2" s="1"/>
  <c r="O478" i="2" s="1"/>
  <c r="O574" i="2" s="1"/>
  <c r="O670" i="2" s="1"/>
  <c r="O766" i="2" s="1"/>
  <c r="O22" i="2"/>
  <c r="O118" i="2" s="1"/>
  <c r="O214" i="2" s="1"/>
  <c r="O310" i="2" s="1"/>
  <c r="O406" i="2" s="1"/>
  <c r="O502" i="2" s="1"/>
  <c r="O598" i="2" s="1"/>
  <c r="O694" i="2" s="1"/>
  <c r="V19" i="5"/>
  <c r="A70" i="5"/>
  <c r="B70" i="5" s="1"/>
  <c r="V80" i="5" l="1"/>
  <c r="O84" i="2" s="1"/>
  <c r="O180" i="2" s="1"/>
  <c r="O276" i="2" s="1"/>
  <c r="O372" i="2" s="1"/>
  <c r="O468" i="2" s="1"/>
  <c r="O564" i="2" s="1"/>
  <c r="O660" i="2" s="1"/>
  <c r="O756" i="2" s="1"/>
  <c r="O83" i="2"/>
  <c r="O179" i="2" s="1"/>
  <c r="O275" i="2" s="1"/>
  <c r="O371" i="2" s="1"/>
  <c r="O467" i="2" s="1"/>
  <c r="O563" i="2" s="1"/>
  <c r="O659" i="2" s="1"/>
  <c r="O755" i="2" s="1"/>
  <c r="V92" i="5"/>
  <c r="O95" i="2"/>
  <c r="O191" i="2" s="1"/>
  <c r="O287" i="2" s="1"/>
  <c r="O383" i="2" s="1"/>
  <c r="O479" i="2" s="1"/>
  <c r="O575" i="2" s="1"/>
  <c r="O671" i="2" s="1"/>
  <c r="O767" i="2" s="1"/>
  <c r="O23" i="2"/>
  <c r="O119" i="2" s="1"/>
  <c r="O215" i="2" s="1"/>
  <c r="O311" i="2" s="1"/>
  <c r="O407" i="2" s="1"/>
  <c r="O503" i="2" s="1"/>
  <c r="O599" i="2" s="1"/>
  <c r="O695" i="2" s="1"/>
  <c r="V20" i="5"/>
  <c r="A71" i="5"/>
  <c r="B71" i="5" s="1"/>
  <c r="O96" i="2" l="1"/>
  <c r="V93" i="5"/>
  <c r="O192" i="2"/>
  <c r="O288" i="2" s="1"/>
  <c r="O384" i="2" s="1"/>
  <c r="O480" i="2" s="1"/>
  <c r="O576" i="2" s="1"/>
  <c r="O672" i="2" s="1"/>
  <c r="O768" i="2" s="1"/>
  <c r="V33" i="5"/>
  <c r="V21" i="5"/>
  <c r="O24" i="2"/>
  <c r="A72" i="5"/>
  <c r="B72" i="5" s="1"/>
  <c r="O97" i="2" l="1"/>
  <c r="O193" i="2" s="1"/>
  <c r="O289" i="2" s="1"/>
  <c r="O385" i="2" s="1"/>
  <c r="O481" i="2" s="1"/>
  <c r="O577" i="2" s="1"/>
  <c r="O673" i="2" s="1"/>
  <c r="O769" i="2" s="1"/>
  <c r="V94" i="5"/>
  <c r="O120" i="2"/>
  <c r="O216" i="2" s="1"/>
  <c r="O312" i="2" s="1"/>
  <c r="O408" i="2" s="1"/>
  <c r="O504" i="2" s="1"/>
  <c r="O600" i="2" s="1"/>
  <c r="O696" i="2" s="1"/>
  <c r="O25" i="2"/>
  <c r="O121" i="2" s="1"/>
  <c r="O217" i="2" s="1"/>
  <c r="V22" i="5"/>
  <c r="O37" i="2"/>
  <c r="O133" i="2" s="1"/>
  <c r="O229" i="2" s="1"/>
  <c r="O325" i="2" s="1"/>
  <c r="O421" i="2" s="1"/>
  <c r="O517" i="2" s="1"/>
  <c r="O613" i="2" s="1"/>
  <c r="O709" i="2" s="1"/>
  <c r="V34" i="5"/>
  <c r="A73" i="5"/>
  <c r="B73" i="5" s="1"/>
  <c r="V95" i="5" l="1"/>
  <c r="O98" i="2"/>
  <c r="O194" i="2" s="1"/>
  <c r="O290" i="2" s="1"/>
  <c r="O386" i="2" s="1"/>
  <c r="O482" i="2" s="1"/>
  <c r="O578" i="2" s="1"/>
  <c r="O674" i="2" s="1"/>
  <c r="O770" i="2" s="1"/>
  <c r="O26" i="2"/>
  <c r="O122" i="2" s="1"/>
  <c r="O218" i="2" s="1"/>
  <c r="V23" i="5"/>
  <c r="O313" i="2"/>
  <c r="O409" i="2" s="1"/>
  <c r="O505" i="2" s="1"/>
  <c r="O601" i="2" s="1"/>
  <c r="O697" i="2" s="1"/>
  <c r="V35" i="5"/>
  <c r="O38" i="2"/>
  <c r="O134" i="2" s="1"/>
  <c r="O230" i="2" s="1"/>
  <c r="O326" i="2" s="1"/>
  <c r="O422" i="2" s="1"/>
  <c r="O518" i="2" s="1"/>
  <c r="O614" i="2" s="1"/>
  <c r="O710" i="2" s="1"/>
  <c r="A74" i="5"/>
  <c r="B74" i="5" s="1"/>
  <c r="V96" i="5" l="1"/>
  <c r="O100" i="2" s="1"/>
  <c r="O196" i="2" s="1"/>
  <c r="O292" i="2" s="1"/>
  <c r="O388" i="2" s="1"/>
  <c r="O484" i="2" s="1"/>
  <c r="O580" i="2" s="1"/>
  <c r="O676" i="2" s="1"/>
  <c r="O772" i="2" s="1"/>
  <c r="O99" i="2"/>
  <c r="O195" i="2" s="1"/>
  <c r="O291" i="2" s="1"/>
  <c r="O387" i="2" s="1"/>
  <c r="O483" i="2" s="1"/>
  <c r="O579" i="2" s="1"/>
  <c r="O675" i="2" s="1"/>
  <c r="O771" i="2" s="1"/>
  <c r="O27" i="2"/>
  <c r="O123" i="2" s="1"/>
  <c r="O219" i="2" s="1"/>
  <c r="O315" i="2" s="1"/>
  <c r="V24" i="5"/>
  <c r="O314" i="2"/>
  <c r="O410" i="2" s="1"/>
  <c r="O506" i="2" s="1"/>
  <c r="O602" i="2" s="1"/>
  <c r="O698" i="2" s="1"/>
  <c r="O39" i="2"/>
  <c r="O135" i="2" s="1"/>
  <c r="O231" i="2" s="1"/>
  <c r="O327" i="2" s="1"/>
  <c r="O423" i="2" s="1"/>
  <c r="O519" i="2" s="1"/>
  <c r="O615" i="2" s="1"/>
  <c r="O711" i="2" s="1"/>
  <c r="V36" i="5"/>
  <c r="A75" i="5"/>
  <c r="B75" i="5" s="1"/>
  <c r="O411" i="2" l="1"/>
  <c r="O507" i="2" s="1"/>
  <c r="O603" i="2" s="1"/>
  <c r="O699" i="2" s="1"/>
  <c r="O40" i="2"/>
  <c r="O136" i="2" s="1"/>
  <c r="O232" i="2" s="1"/>
  <c r="O328" i="2" s="1"/>
  <c r="O424" i="2" s="1"/>
  <c r="O520" i="2" s="1"/>
  <c r="O616" i="2" s="1"/>
  <c r="O712" i="2" s="1"/>
  <c r="V37" i="5"/>
  <c r="V25" i="5"/>
  <c r="O28" i="2"/>
  <c r="O124" i="2" s="1"/>
  <c r="O220" i="2" s="1"/>
  <c r="O316" i="2" s="1"/>
  <c r="O412" i="2" s="1"/>
  <c r="O508" i="2" s="1"/>
  <c r="O604" i="2" s="1"/>
  <c r="O700" i="2" s="1"/>
  <c r="A76" i="5"/>
  <c r="B76" i="5" s="1"/>
  <c r="O29" i="2" l="1"/>
  <c r="O125" i="2" s="1"/>
  <c r="O221" i="2" s="1"/>
  <c r="O317" i="2" s="1"/>
  <c r="O413" i="2" s="1"/>
  <c r="O509" i="2" s="1"/>
  <c r="O605" i="2" s="1"/>
  <c r="O701" i="2" s="1"/>
  <c r="V26" i="5"/>
  <c r="O41" i="2"/>
  <c r="O137" i="2" s="1"/>
  <c r="O233" i="2" s="1"/>
  <c r="O329" i="2" s="1"/>
  <c r="O425" i="2" s="1"/>
  <c r="O521" i="2" s="1"/>
  <c r="O617" i="2" s="1"/>
  <c r="O713" i="2" s="1"/>
  <c r="V38" i="5"/>
  <c r="A77" i="5"/>
  <c r="B77" i="5" s="1"/>
  <c r="V27" i="5" l="1"/>
  <c r="O30" i="2"/>
  <c r="O126" i="2" s="1"/>
  <c r="O222" i="2" s="1"/>
  <c r="O318" i="2" s="1"/>
  <c r="O414" i="2" s="1"/>
  <c r="O510" i="2" s="1"/>
  <c r="O606" i="2" s="1"/>
  <c r="O702" i="2" s="1"/>
  <c r="O42" i="2"/>
  <c r="O138" i="2" s="1"/>
  <c r="O234" i="2" s="1"/>
  <c r="O330" i="2" s="1"/>
  <c r="O426" i="2" s="1"/>
  <c r="O522" i="2" s="1"/>
  <c r="O618" i="2" s="1"/>
  <c r="O714" i="2" s="1"/>
  <c r="V39" i="5"/>
  <c r="A78" i="5"/>
  <c r="B78" i="5" s="1"/>
  <c r="O31" i="2" l="1"/>
  <c r="O127" i="2" s="1"/>
  <c r="O223" i="2" s="1"/>
  <c r="O319" i="2" s="1"/>
  <c r="O415" i="2" s="1"/>
  <c r="O511" i="2" s="1"/>
  <c r="O607" i="2" s="1"/>
  <c r="O703" i="2" s="1"/>
  <c r="V28" i="5"/>
  <c r="V40" i="5"/>
  <c r="O43" i="2"/>
  <c r="O139" i="2" s="1"/>
  <c r="O235" i="2" s="1"/>
  <c r="A79" i="5"/>
  <c r="B79" i="5" s="1"/>
  <c r="O32" i="2" l="1"/>
  <c r="O128" i="2" s="1"/>
  <c r="O224" i="2" s="1"/>
  <c r="V29" i="5"/>
  <c r="O331" i="2"/>
  <c r="O427" i="2" s="1"/>
  <c r="O523" i="2" s="1"/>
  <c r="O619" i="2" s="1"/>
  <c r="O715" i="2" s="1"/>
  <c r="O320" i="2"/>
  <c r="O416" i="2" s="1"/>
  <c r="O512" i="2" s="1"/>
  <c r="O608" i="2" s="1"/>
  <c r="O704" i="2" s="1"/>
  <c r="O44" i="2"/>
  <c r="O140" i="2" s="1"/>
  <c r="O236" i="2" s="1"/>
  <c r="V41" i="5"/>
  <c r="A80" i="5"/>
  <c r="B80" i="5" s="1"/>
  <c r="O33" i="2" l="1"/>
  <c r="O129" i="2" s="1"/>
  <c r="O225" i="2" s="1"/>
  <c r="O321" i="2" s="1"/>
  <c r="O417" i="2" s="1"/>
  <c r="O513" i="2" s="1"/>
  <c r="O609" i="2" s="1"/>
  <c r="O705" i="2" s="1"/>
  <c r="V30" i="5"/>
  <c r="O45" i="2"/>
  <c r="O141" i="2" s="1"/>
  <c r="O237" i="2" s="1"/>
  <c r="O333" i="2" s="1"/>
  <c r="V42" i="5"/>
  <c r="O332" i="2"/>
  <c r="O428" i="2" s="1"/>
  <c r="O524" i="2" s="1"/>
  <c r="O620" i="2" s="1"/>
  <c r="O716" i="2" s="1"/>
  <c r="A81" i="5"/>
  <c r="B81" i="5" s="1"/>
  <c r="O34" i="2" l="1"/>
  <c r="O130" i="2" s="1"/>
  <c r="O226" i="2" s="1"/>
  <c r="O322" i="2" s="1"/>
  <c r="O418" i="2" s="1"/>
  <c r="O514" i="2" s="1"/>
  <c r="O610" i="2" s="1"/>
  <c r="O706" i="2" s="1"/>
  <c r="V31" i="5"/>
  <c r="O429" i="2"/>
  <c r="O525" i="2" s="1"/>
  <c r="O621" i="2" s="1"/>
  <c r="O717" i="2" s="1"/>
  <c r="O46" i="2"/>
  <c r="O142" i="2" s="1"/>
  <c r="O238" i="2" s="1"/>
  <c r="V43" i="5"/>
  <c r="A82" i="5"/>
  <c r="B82" i="5" s="1"/>
  <c r="O35" i="2" l="1"/>
  <c r="O131" i="2" s="1"/>
  <c r="O227" i="2" s="1"/>
  <c r="O323" i="2" s="1"/>
  <c r="O419" i="2" s="1"/>
  <c r="O515" i="2" s="1"/>
  <c r="O611" i="2" s="1"/>
  <c r="O707" i="2" s="1"/>
  <c r="V32" i="5"/>
  <c r="O36" i="2" s="1"/>
  <c r="O132" i="2" s="1"/>
  <c r="O228" i="2" s="1"/>
  <c r="O324" i="2" s="1"/>
  <c r="O420" i="2" s="1"/>
  <c r="O516" i="2" s="1"/>
  <c r="O612" i="2" s="1"/>
  <c r="O708" i="2" s="1"/>
  <c r="O334" i="2"/>
  <c r="O430" i="2" s="1"/>
  <c r="O526" i="2" s="1"/>
  <c r="O622" i="2" s="1"/>
  <c r="O718" i="2" s="1"/>
  <c r="O47" i="2"/>
  <c r="O143" i="2" s="1"/>
  <c r="O239" i="2" s="1"/>
  <c r="V44" i="5"/>
  <c r="A83" i="5"/>
  <c r="B83" i="5" s="1"/>
  <c r="O48" i="2" l="1"/>
  <c r="A215" i="2" s="1"/>
  <c r="B215" i="2" s="1"/>
  <c r="V45" i="5"/>
  <c r="A211" i="2"/>
  <c r="B211" i="2" s="1"/>
  <c r="A199" i="2"/>
  <c r="B199" i="2" s="1"/>
  <c r="A212" i="2"/>
  <c r="B212" i="2" s="1"/>
  <c r="A209" i="2"/>
  <c r="B209" i="2" s="1"/>
  <c r="A206" i="2"/>
  <c r="B206" i="2" s="1"/>
  <c r="A198" i="2"/>
  <c r="B198" i="2" s="1"/>
  <c r="A202" i="2"/>
  <c r="B202" i="2" s="1"/>
  <c r="A203" i="2"/>
  <c r="B203" i="2" s="1"/>
  <c r="A234" i="2"/>
  <c r="B234" i="2" s="1"/>
  <c r="A225" i="2"/>
  <c r="B225" i="2" s="1"/>
  <c r="A226" i="2"/>
  <c r="B226" i="2" s="1"/>
  <c r="A236" i="2"/>
  <c r="B236" i="2" s="1"/>
  <c r="A227" i="2"/>
  <c r="B227" i="2" s="1"/>
  <c r="A229" i="2"/>
  <c r="B229" i="2" s="1"/>
  <c r="A232" i="2"/>
  <c r="B232" i="2" s="1"/>
  <c r="A233" i="2"/>
  <c r="B233" i="2" s="1"/>
  <c r="A228" i="2"/>
  <c r="B228" i="2" s="1"/>
  <c r="A230" i="2"/>
  <c r="B230" i="2" s="1"/>
  <c r="A231" i="2"/>
  <c r="B231" i="2" s="1"/>
  <c r="A235" i="2"/>
  <c r="B235" i="2" s="1"/>
  <c r="O144" i="2"/>
  <c r="F225" i="2" s="1"/>
  <c r="G225" i="2" s="1"/>
  <c r="A196" i="2"/>
  <c r="B196" i="2" s="1"/>
  <c r="A192" i="2"/>
  <c r="B192" i="2" s="1"/>
  <c r="A194" i="2"/>
  <c r="B194" i="2" s="1"/>
  <c r="A191" i="2"/>
  <c r="B191" i="2" s="1"/>
  <c r="A195" i="2"/>
  <c r="B195" i="2" s="1"/>
  <c r="A190" i="2"/>
  <c r="B190" i="2" s="1"/>
  <c r="A193" i="2"/>
  <c r="B193" i="2" s="1"/>
  <c r="F446" i="2"/>
  <c r="G446" i="2" s="1"/>
  <c r="F289" i="2"/>
  <c r="G289" i="2" s="1"/>
  <c r="F403" i="2"/>
  <c r="G403" i="2" s="1"/>
  <c r="F600" i="2"/>
  <c r="G600" i="2" s="1"/>
  <c r="F385" i="2"/>
  <c r="G385" i="2" s="1"/>
  <c r="F524" i="2"/>
  <c r="G524" i="2" s="1"/>
  <c r="F549" i="2"/>
  <c r="G549" i="2" s="1"/>
  <c r="F412" i="2"/>
  <c r="G412" i="2" s="1"/>
  <c r="F291" i="2"/>
  <c r="G291" i="2" s="1"/>
  <c r="F345" i="2"/>
  <c r="G345" i="2" s="1"/>
  <c r="F555" i="2"/>
  <c r="G555" i="2" s="1"/>
  <c r="F732" i="2"/>
  <c r="G732" i="2" s="1"/>
  <c r="F387" i="2"/>
  <c r="G387" i="2" s="1"/>
  <c r="F593" i="2"/>
  <c r="G593" i="2" s="1"/>
  <c r="F274" i="2"/>
  <c r="G274" i="2" s="1"/>
  <c r="F453" i="2"/>
  <c r="G453" i="2" s="1"/>
  <c r="F606" i="2"/>
  <c r="G606" i="2" s="1"/>
  <c r="F667" i="2"/>
  <c r="G667" i="2" s="1"/>
  <c r="F596" i="2"/>
  <c r="G596" i="2" s="1"/>
  <c r="F766" i="2"/>
  <c r="G766" i="2" s="1"/>
  <c r="F582" i="2"/>
  <c r="G582" i="2" s="1"/>
  <c r="F346" i="2"/>
  <c r="G346" i="2" s="1"/>
  <c r="F383" i="2"/>
  <c r="G383" i="2" s="1"/>
  <c r="F671" i="2"/>
  <c r="G671" i="2" s="1"/>
  <c r="A116" i="2"/>
  <c r="B116" i="2" s="1"/>
  <c r="A10" i="2"/>
  <c r="B10" i="2" s="1"/>
  <c r="A46" i="2"/>
  <c r="B46" i="2" s="1"/>
  <c r="A189" i="2"/>
  <c r="B189" i="2" s="1"/>
  <c r="F503" i="2"/>
  <c r="G503" i="2" s="1"/>
  <c r="F724" i="2"/>
  <c r="G724" i="2" s="1"/>
  <c r="F408" i="2"/>
  <c r="G408" i="2" s="1"/>
  <c r="F706" i="2"/>
  <c r="G706" i="2" s="1"/>
  <c r="F418" i="2"/>
  <c r="G418" i="2" s="1"/>
  <c r="F680" i="2"/>
  <c r="G680" i="2" s="1"/>
  <c r="F288" i="2"/>
  <c r="G288" i="2" s="1"/>
  <c r="F742" i="2"/>
  <c r="G742" i="2" s="1"/>
  <c r="F673" i="2"/>
  <c r="G673" i="2" s="1"/>
  <c r="F472" i="2"/>
  <c r="G472" i="2" s="1"/>
  <c r="F344" i="2"/>
  <c r="G344" i="2" s="1"/>
  <c r="F373" i="2"/>
  <c r="G373" i="2" s="1"/>
  <c r="A153" i="2"/>
  <c r="B153" i="2" s="1"/>
  <c r="A158" i="2"/>
  <c r="B158" i="2" s="1"/>
  <c r="A136" i="2"/>
  <c r="B136" i="2" s="1"/>
  <c r="A114" i="2"/>
  <c r="B114" i="2" s="1"/>
  <c r="A89" i="2"/>
  <c r="B89" i="2" s="1"/>
  <c r="F629" i="2"/>
  <c r="G629" i="2" s="1"/>
  <c r="F257" i="2"/>
  <c r="G257" i="2" s="1"/>
  <c r="F707" i="2"/>
  <c r="G707" i="2" s="1"/>
  <c r="F769" i="2"/>
  <c r="G769" i="2" s="1"/>
  <c r="F578" i="2"/>
  <c r="G578" i="2" s="1"/>
  <c r="F247" i="2"/>
  <c r="G247" i="2" s="1"/>
  <c r="F700" i="2"/>
  <c r="G700" i="2" s="1"/>
  <c r="F725" i="2"/>
  <c r="G725" i="2" s="1"/>
  <c r="F537" i="2"/>
  <c r="G537" i="2" s="1"/>
  <c r="F645" i="2"/>
  <c r="G645" i="2" s="1"/>
  <c r="F770" i="2"/>
  <c r="G770" i="2" s="1"/>
  <c r="F371" i="2"/>
  <c r="G371" i="2" s="1"/>
  <c r="F656" i="2"/>
  <c r="G656" i="2" s="1"/>
  <c r="A107" i="2"/>
  <c r="B107" i="2" s="1"/>
  <c r="F461" i="2"/>
  <c r="G461" i="2" s="1"/>
  <c r="F377" i="2"/>
  <c r="G377" i="2" s="1"/>
  <c r="F370" i="2"/>
  <c r="G370" i="2" s="1"/>
  <c r="F738" i="2"/>
  <c r="G738" i="2" s="1"/>
  <c r="F598" i="2"/>
  <c r="G598" i="2" s="1"/>
  <c r="F607" i="2"/>
  <c r="G607" i="2" s="1"/>
  <c r="F659" i="2"/>
  <c r="G659" i="2" s="1"/>
  <c r="F648" i="2"/>
  <c r="G648" i="2" s="1"/>
  <c r="F262" i="2"/>
  <c r="G262" i="2" s="1"/>
  <c r="F630" i="2"/>
  <c r="G630" i="2" s="1"/>
  <c r="F510" i="2"/>
  <c r="G510" i="2" s="1"/>
  <c r="F495" i="2"/>
  <c r="G495" i="2" s="1"/>
  <c r="A13" i="2"/>
  <c r="B13" i="2" s="1"/>
  <c r="F597" i="2"/>
  <c r="G597" i="2" s="1"/>
  <c r="F360" i="2"/>
  <c r="G360" i="2" s="1"/>
  <c r="F694" i="2"/>
  <c r="G694" i="2" s="1"/>
  <c r="F553" i="2"/>
  <c r="G553" i="2" s="1"/>
  <c r="F397" i="2"/>
  <c r="G397" i="2" s="1"/>
  <c r="F613" i="2"/>
  <c r="G613" i="2" s="1"/>
  <c r="F691" i="2"/>
  <c r="G691" i="2" s="1"/>
  <c r="F252" i="2"/>
  <c r="G252" i="2" s="1"/>
  <c r="F415" i="2"/>
  <c r="G415" i="2" s="1"/>
  <c r="F462" i="2"/>
  <c r="G462" i="2" s="1"/>
  <c r="F740" i="2"/>
  <c r="G740" i="2" s="1"/>
  <c r="F426" i="2"/>
  <c r="G426" i="2" s="1"/>
  <c r="F484" i="2"/>
  <c r="G484" i="2" s="1"/>
  <c r="F310" i="2"/>
  <c r="G310" i="2" s="1"/>
  <c r="F563" i="2"/>
  <c r="G563" i="2" s="1"/>
  <c r="F347" i="2"/>
  <c r="G347" i="2" s="1"/>
  <c r="F623" i="2"/>
  <c r="G623" i="2" s="1"/>
  <c r="F756" i="2"/>
  <c r="G756" i="2" s="1"/>
  <c r="F703" i="2"/>
  <c r="G703" i="2" s="1"/>
  <c r="F562" i="2"/>
  <c r="G562" i="2" s="1"/>
  <c r="F762" i="2"/>
  <c r="G762" i="2" s="1"/>
  <c r="F527" i="2"/>
  <c r="G527" i="2" s="1"/>
  <c r="F482" i="2"/>
  <c r="G482" i="2" s="1"/>
  <c r="F632" i="2"/>
  <c r="G632" i="2" s="1"/>
  <c r="F572" i="2"/>
  <c r="G572" i="2" s="1"/>
  <c r="F501" i="2"/>
  <c r="G501" i="2" s="1"/>
  <c r="F433" i="2"/>
  <c r="G433" i="2" s="1"/>
  <c r="F479" i="2"/>
  <c r="G479" i="2" s="1"/>
  <c r="F447" i="2"/>
  <c r="G447" i="2" s="1"/>
  <c r="F468" i="2"/>
  <c r="G468" i="2" s="1"/>
  <c r="F367" i="2"/>
  <c r="G367" i="2" s="1"/>
  <c r="F312" i="2"/>
  <c r="G312" i="2" s="1"/>
  <c r="A146" i="2"/>
  <c r="B146" i="2" s="1"/>
  <c r="A106" i="2"/>
  <c r="B106" i="2" s="1"/>
  <c r="A16" i="2"/>
  <c r="B16" i="2" s="1"/>
  <c r="A149" i="2"/>
  <c r="B149" i="2" s="1"/>
  <c r="F653" i="2"/>
  <c r="G653" i="2" s="1"/>
  <c r="F571" i="2"/>
  <c r="G571" i="2" s="1"/>
  <c r="F297" i="2"/>
  <c r="G297" i="2" s="1"/>
  <c r="F382" i="2"/>
  <c r="G382" i="2" s="1"/>
  <c r="F267" i="2"/>
  <c r="G267" i="2" s="1"/>
  <c r="F551" i="2"/>
  <c r="G551" i="2" s="1"/>
  <c r="F455" i="2"/>
  <c r="G455" i="2" s="1"/>
  <c r="F604" i="2"/>
  <c r="G604" i="2" s="1"/>
  <c r="F521" i="2"/>
  <c r="G521" i="2" s="1"/>
  <c r="F477" i="2"/>
  <c r="G477" i="2" s="1"/>
  <c r="F693" i="2"/>
  <c r="G693" i="2" s="1"/>
  <c r="A85" i="2"/>
  <c r="B85" i="2" s="1"/>
  <c r="A17" i="2"/>
  <c r="B17" i="2" s="1"/>
  <c r="A30" i="2"/>
  <c r="B30" i="2" s="1"/>
  <c r="A47" i="2"/>
  <c r="B47" i="2" s="1"/>
  <c r="A167" i="2"/>
  <c r="B167" i="2" s="1"/>
  <c r="F581" i="2"/>
  <c r="G581" i="2" s="1"/>
  <c r="F575" i="2"/>
  <c r="G575" i="2" s="1"/>
  <c r="F315" i="2"/>
  <c r="G315" i="2" s="1"/>
  <c r="F509" i="2"/>
  <c r="G509" i="2" s="1"/>
  <c r="F754" i="2"/>
  <c r="G754" i="2" s="1"/>
  <c r="F450" i="2"/>
  <c r="G450" i="2" s="1"/>
  <c r="F369" i="2"/>
  <c r="G369" i="2" s="1"/>
  <c r="F380" i="2"/>
  <c r="G380" i="2" s="1"/>
  <c r="F692" i="2"/>
  <c r="G692" i="2" s="1"/>
  <c r="F674" i="2"/>
  <c r="G674" i="2" s="1"/>
  <c r="F612" i="2"/>
  <c r="G612" i="2" s="1"/>
  <c r="F587" i="2"/>
  <c r="G587" i="2" s="1"/>
  <c r="F758" i="2"/>
  <c r="G758" i="2" s="1"/>
  <c r="A83" i="2"/>
  <c r="B83" i="2" s="1"/>
  <c r="A34" i="2"/>
  <c r="B34" i="2" s="1"/>
  <c r="F543" i="2"/>
  <c r="G543" i="2" s="1"/>
  <c r="F497" i="2"/>
  <c r="G497" i="2" s="1"/>
  <c r="F480" i="2"/>
  <c r="G480" i="2" s="1"/>
  <c r="F317" i="2"/>
  <c r="G317" i="2" s="1"/>
  <c r="F489" i="2"/>
  <c r="G489" i="2" s="1"/>
  <c r="F304" i="2"/>
  <c r="G304" i="2" s="1"/>
  <c r="F672" i="2"/>
  <c r="G672" i="2" s="1"/>
  <c r="F615" i="2"/>
  <c r="G615" i="2" s="1"/>
  <c r="F699" i="2"/>
  <c r="G699" i="2" s="1"/>
  <c r="F588" i="2"/>
  <c r="G588" i="2" s="1"/>
  <c r="F522" i="2"/>
  <c r="G522" i="2" s="1"/>
  <c r="F474" i="2"/>
  <c r="G474" i="2" s="1"/>
  <c r="F496" i="2"/>
  <c r="G496" i="2" s="1"/>
  <c r="A104" i="2"/>
  <c r="B104" i="2" s="1"/>
  <c r="F401" i="2"/>
  <c r="G401" i="2" s="1"/>
  <c r="F309" i="2"/>
  <c r="G309" i="2" s="1"/>
  <c r="F737" i="2"/>
  <c r="G737" i="2" s="1"/>
  <c r="F375" i="2"/>
  <c r="G375" i="2" s="1"/>
  <c r="F647" i="2"/>
  <c r="G647" i="2" s="1"/>
  <c r="F708" i="2"/>
  <c r="G708" i="2" s="1"/>
  <c r="F483" i="2"/>
  <c r="G483" i="2" s="1"/>
  <c r="F275" i="2"/>
  <c r="G275" i="2" s="1"/>
  <c r="F565" i="2"/>
  <c r="G565" i="2" s="1"/>
  <c r="F290" i="2"/>
  <c r="G290" i="2" s="1"/>
  <c r="F643" i="2"/>
  <c r="G643" i="2" s="1"/>
  <c r="F323" i="2"/>
  <c r="G323" i="2" s="1"/>
  <c r="F405" i="2"/>
  <c r="G405" i="2" s="1"/>
  <c r="F245" i="2"/>
  <c r="G245" i="2" s="1"/>
  <c r="F546" i="2"/>
  <c r="G546" i="2" s="1"/>
  <c r="F512" i="2"/>
  <c r="G512" i="2" s="1"/>
  <c r="A168" i="2"/>
  <c r="B168" i="2" s="1"/>
  <c r="A147" i="2"/>
  <c r="B147" i="2" s="1"/>
  <c r="F278" i="2"/>
  <c r="G278" i="2" s="1"/>
  <c r="F242" i="2"/>
  <c r="G242" i="2" s="1"/>
  <c r="F357" i="2"/>
  <c r="G357" i="2" s="1"/>
  <c r="F720" i="2"/>
  <c r="G720" i="2" s="1"/>
  <c r="F231" i="2"/>
  <c r="G231" i="2" s="1"/>
  <c r="F590" i="2"/>
  <c r="G590" i="2" s="1"/>
  <c r="A82" i="2"/>
  <c r="B82" i="2" s="1"/>
  <c r="A53" i="2"/>
  <c r="B53" i="2" s="1"/>
  <c r="A139" i="2"/>
  <c r="B139" i="2" s="1"/>
  <c r="F568" i="2"/>
  <c r="G568" i="2" s="1"/>
  <c r="F392" i="2"/>
  <c r="G392" i="2" s="1"/>
  <c r="F400" i="2"/>
  <c r="G400" i="2" s="1"/>
  <c r="F669" i="2"/>
  <c r="G669" i="2" s="1"/>
  <c r="F443" i="2"/>
  <c r="G443" i="2" s="1"/>
  <c r="F416" i="2"/>
  <c r="G416" i="2" s="1"/>
  <c r="F269" i="2"/>
  <c r="G269" i="2" s="1"/>
  <c r="A75" i="2"/>
  <c r="B75" i="2" s="1"/>
  <c r="F730" i="2"/>
  <c r="G730" i="2" s="1"/>
  <c r="F638" i="2"/>
  <c r="G638" i="2" s="1"/>
  <c r="F567" i="2"/>
  <c r="G567" i="2" s="1"/>
  <c r="F745" i="2"/>
  <c r="G745" i="2" s="1"/>
  <c r="F268" i="2"/>
  <c r="G268" i="2" s="1"/>
  <c r="F282" i="2"/>
  <c r="G282" i="2" s="1"/>
  <c r="A176" i="2"/>
  <c r="B176" i="2" s="1"/>
  <c r="F398" i="2"/>
  <c r="G398" i="2" s="1"/>
  <c r="F547" i="2"/>
  <c r="G547" i="2" s="1"/>
  <c r="F609" i="2"/>
  <c r="G609" i="2" s="1"/>
  <c r="F287" i="2"/>
  <c r="G287" i="2" s="1"/>
  <c r="F452" i="2"/>
  <c r="G452" i="2" s="1"/>
  <c r="F410" i="2"/>
  <c r="G410" i="2" s="1"/>
  <c r="F749" i="2"/>
  <c r="G749" i="2" s="1"/>
  <c r="F583" i="2"/>
  <c r="G583" i="2" s="1"/>
  <c r="F729" i="2"/>
  <c r="G729" i="2" s="1"/>
  <c r="F362" i="2"/>
  <c r="G362" i="2" s="1"/>
  <c r="F505" i="2"/>
  <c r="G505" i="2" s="1"/>
  <c r="F640" i="2"/>
  <c r="G640" i="2" s="1"/>
  <c r="F586" i="2"/>
  <c r="G586" i="2" s="1"/>
  <c r="F306" i="2"/>
  <c r="G306" i="2" s="1"/>
  <c r="F402" i="2"/>
  <c r="G402" i="2" s="1"/>
  <c r="F573" i="2"/>
  <c r="G573" i="2" s="1"/>
  <c r="F244" i="2"/>
  <c r="G244" i="2" s="1"/>
  <c r="F374" i="2"/>
  <c r="G374" i="2" s="1"/>
  <c r="F406" i="2"/>
  <c r="G406" i="2" s="1"/>
  <c r="A182" i="2"/>
  <c r="B182" i="2" s="1"/>
  <c r="F376" i="2"/>
  <c r="G376" i="2" s="1"/>
  <c r="F685" i="2"/>
  <c r="G685" i="2" s="1"/>
  <c r="F751" i="2"/>
  <c r="G751" i="2" s="1"/>
  <c r="F664" i="2"/>
  <c r="G664" i="2" s="1"/>
  <c r="F541" i="2"/>
  <c r="G541" i="2" s="1"/>
  <c r="F627" i="2"/>
  <c r="G627" i="2" s="1"/>
  <c r="F678" i="2"/>
  <c r="G678" i="2" s="1"/>
  <c r="F624" i="2"/>
  <c r="G624" i="2" s="1"/>
  <c r="F470" i="2"/>
  <c r="G470" i="2" s="1"/>
  <c r="F750" i="2"/>
  <c r="G750" i="2" s="1"/>
  <c r="F552" i="2"/>
  <c r="G552" i="2" s="1"/>
  <c r="F395" i="2"/>
  <c r="G395" i="2" s="1"/>
  <c r="F559" i="2"/>
  <c r="G559" i="2" s="1"/>
  <c r="F731" i="2"/>
  <c r="G731" i="2" s="1"/>
  <c r="F589" i="2"/>
  <c r="G589" i="2" s="1"/>
  <c r="F341" i="2"/>
  <c r="G341" i="2" s="1"/>
  <c r="F690" i="2"/>
  <c r="G690" i="2" s="1"/>
  <c r="F444" i="2"/>
  <c r="G444" i="2" s="1"/>
  <c r="F657" i="2"/>
  <c r="G657" i="2" s="1"/>
  <c r="F550" i="2"/>
  <c r="G550" i="2" s="1"/>
  <c r="F254" i="2"/>
  <c r="G254" i="2" s="1"/>
  <c r="F307" i="2"/>
  <c r="G307" i="2" s="1"/>
  <c r="F279" i="2"/>
  <c r="G279" i="2" s="1"/>
  <c r="F316" i="2"/>
  <c r="G316" i="2" s="1"/>
  <c r="F538" i="2"/>
  <c r="G538" i="2" s="1"/>
  <c r="F332" i="2"/>
  <c r="G332" i="2" s="1"/>
  <c r="F654" i="2"/>
  <c r="G654" i="2" s="1"/>
  <c r="F475" i="2"/>
  <c r="G475" i="2" s="1"/>
  <c r="A101" i="2"/>
  <c r="B101" i="2" s="1"/>
  <c r="F771" i="2"/>
  <c r="G771" i="2" s="1"/>
  <c r="F525" i="2"/>
  <c r="G525" i="2" s="1"/>
  <c r="F322" i="2"/>
  <c r="G322" i="2" s="1"/>
  <c r="F320" i="2"/>
  <c r="G320" i="2" s="1"/>
  <c r="F658" i="2"/>
  <c r="G658" i="2" s="1"/>
  <c r="F329" i="2"/>
  <c r="G329" i="2" s="1"/>
  <c r="F486" i="2"/>
  <c r="G486" i="2" s="1"/>
  <c r="F649" i="2"/>
  <c r="G649" i="2" s="1"/>
  <c r="F328" i="2"/>
  <c r="G328" i="2" s="1"/>
  <c r="F355" i="2"/>
  <c r="G355" i="2" s="1"/>
  <c r="F361" i="2"/>
  <c r="G361" i="2" s="1"/>
  <c r="F319" i="2"/>
  <c r="G319" i="2" s="1"/>
  <c r="F739" i="2"/>
  <c r="G739" i="2" s="1"/>
  <c r="F263" i="2"/>
  <c r="G263" i="2" s="1"/>
  <c r="F660" i="2"/>
  <c r="G660" i="2" s="1"/>
  <c r="F255" i="2"/>
  <c r="G255" i="2" s="1"/>
  <c r="F679" i="2"/>
  <c r="G679" i="2" s="1"/>
  <c r="F284" i="2"/>
  <c r="G284" i="2" s="1"/>
  <c r="F256" i="2"/>
  <c r="G256" i="2" s="1"/>
  <c r="A102" i="2"/>
  <c r="B102" i="2" s="1"/>
  <c r="F661" i="2"/>
  <c r="G661" i="2" s="1"/>
  <c r="F677" i="2"/>
  <c r="G677" i="2" s="1"/>
  <c r="F295" i="2"/>
  <c r="G295" i="2" s="1"/>
  <c r="F506" i="2"/>
  <c r="G506" i="2" s="1"/>
  <c r="F379" i="2"/>
  <c r="G379" i="2" s="1"/>
  <c r="F487" i="2"/>
  <c r="G487" i="2" s="1"/>
  <c r="F338" i="2"/>
  <c r="G338" i="2" s="1"/>
  <c r="F270" i="2"/>
  <c r="G270" i="2" s="1"/>
  <c r="F246" i="2"/>
  <c r="G246" i="2" s="1"/>
  <c r="F736" i="2"/>
  <c r="G736" i="2" s="1"/>
  <c r="F767" i="2"/>
  <c r="G767" i="2" s="1"/>
  <c r="F478" i="2"/>
  <c r="G478" i="2" s="1"/>
  <c r="F637" i="2"/>
  <c r="G637" i="2" s="1"/>
  <c r="F676" i="2"/>
  <c r="G676" i="2" s="1"/>
  <c r="A157" i="2"/>
  <c r="B157" i="2" s="1"/>
  <c r="A184" i="2"/>
  <c r="B184" i="2" s="1"/>
  <c r="F504" i="2"/>
  <c r="G504" i="2" s="1"/>
  <c r="F702" i="2"/>
  <c r="G702" i="2" s="1"/>
  <c r="F389" i="2"/>
  <c r="G389" i="2" s="1"/>
  <c r="F540" i="2"/>
  <c r="G540" i="2" s="1"/>
  <c r="F603" i="2"/>
  <c r="G603" i="2" s="1"/>
  <c r="F298" i="2"/>
  <c r="G298" i="2" s="1"/>
  <c r="A118" i="2"/>
  <c r="B118" i="2" s="1"/>
  <c r="A91" i="2"/>
  <c r="B91" i="2" s="1"/>
  <c r="A126" i="2"/>
  <c r="B126" i="2" s="1"/>
  <c r="F584" i="2"/>
  <c r="G584" i="2" s="1"/>
  <c r="F595" i="2"/>
  <c r="G595" i="2" s="1"/>
  <c r="F759" i="2"/>
  <c r="G759" i="2" s="1"/>
  <c r="F558" i="2"/>
  <c r="G558" i="2" s="1"/>
  <c r="F488" i="2"/>
  <c r="G488" i="2" s="1"/>
  <c r="F616" i="2"/>
  <c r="G616" i="2" s="1"/>
  <c r="F335" i="2"/>
  <c r="G335" i="2" s="1"/>
  <c r="F301" i="2"/>
  <c r="G301" i="2" s="1"/>
  <c r="F353" i="2"/>
  <c r="G353" i="2" s="1"/>
  <c r="F662" i="2"/>
  <c r="G662" i="2" s="1"/>
  <c r="F249" i="2"/>
  <c r="G249" i="2" s="1"/>
  <c r="F434" i="2"/>
  <c r="G434" i="2" s="1"/>
  <c r="F523" i="2"/>
  <c r="G523" i="2" s="1"/>
  <c r="A135" i="2"/>
  <c r="B135" i="2" s="1"/>
  <c r="F723" i="2"/>
  <c r="G723" i="2" s="1"/>
  <c r="F285" i="2"/>
  <c r="G285" i="2" s="1"/>
  <c r="F435" i="2"/>
  <c r="G435" i="2" s="1"/>
  <c r="F318" i="2"/>
  <c r="G318" i="2" s="1"/>
  <c r="F747" i="2"/>
  <c r="G747" i="2" s="1"/>
  <c r="F363" i="2"/>
  <c r="G363" i="2" s="1"/>
  <c r="F765" i="2"/>
  <c r="G765" i="2" s="1"/>
  <c r="F617" i="2"/>
  <c r="G617" i="2" s="1"/>
  <c r="F651" i="2"/>
  <c r="G651" i="2" s="1"/>
  <c r="F675" i="2"/>
  <c r="G675" i="2" s="1"/>
  <c r="F628" i="2"/>
  <c r="G628" i="2" s="1"/>
  <c r="F466" i="2"/>
  <c r="G466" i="2" s="1"/>
  <c r="F428" i="2"/>
  <c r="G428" i="2" s="1"/>
  <c r="F365" i="2"/>
  <c r="G365" i="2" s="1"/>
  <c r="F305" i="2"/>
  <c r="G305" i="2" s="1"/>
  <c r="F709" i="2"/>
  <c r="G709" i="2" s="1"/>
  <c r="F741" i="2"/>
  <c r="G741" i="2" s="1"/>
  <c r="F705" i="2"/>
  <c r="G705" i="2" s="1"/>
  <c r="A14" i="2"/>
  <c r="B14" i="2" s="1"/>
  <c r="F536" i="2"/>
  <c r="G536" i="2" s="1"/>
  <c r="F633" i="2"/>
  <c r="G633" i="2" s="1"/>
  <c r="F728" i="2"/>
  <c r="G728" i="2" s="1"/>
  <c r="F326" i="2"/>
  <c r="G326" i="2" s="1"/>
  <c r="F343" i="2"/>
  <c r="G343" i="2" s="1"/>
  <c r="F666" i="2"/>
  <c r="G666" i="2" s="1"/>
  <c r="F532" i="2"/>
  <c r="G532" i="2" s="1"/>
  <c r="F280" i="2"/>
  <c r="G280" i="2" s="1"/>
  <c r="F449" i="2"/>
  <c r="G449" i="2" s="1"/>
  <c r="F502" i="2"/>
  <c r="G502" i="2" s="1"/>
  <c r="F424" i="2"/>
  <c r="G424" i="2" s="1"/>
  <c r="F698" i="2"/>
  <c r="G698" i="2" s="1"/>
  <c r="A60" i="2"/>
  <c r="B60" i="2" s="1"/>
  <c r="F701" i="2"/>
  <c r="G701" i="2" s="1"/>
  <c r="F718" i="2"/>
  <c r="G718" i="2" s="1"/>
  <c r="F436" i="2"/>
  <c r="G436" i="2" s="1"/>
  <c r="F687" i="2"/>
  <c r="G687" i="2" s="1"/>
  <c r="F299" i="2"/>
  <c r="G299" i="2" s="1"/>
  <c r="F292" i="2"/>
  <c r="G292" i="2" s="1"/>
  <c r="F605" i="2"/>
  <c r="G605" i="2" s="1"/>
  <c r="F464" i="2"/>
  <c r="G464" i="2" s="1"/>
  <c r="F253" i="2"/>
  <c r="G253" i="2" s="1"/>
  <c r="F726" i="2"/>
  <c r="G726" i="2" s="1"/>
  <c r="F273" i="2"/>
  <c r="G273" i="2" s="1"/>
  <c r="F339" i="2"/>
  <c r="G339" i="2" s="1"/>
  <c r="F631" i="2"/>
  <c r="G631" i="2" s="1"/>
  <c r="F668" i="2"/>
  <c r="G668" i="2" s="1"/>
  <c r="F417" i="2"/>
  <c r="G417" i="2" s="1"/>
  <c r="F467" i="2"/>
  <c r="G467" i="2" s="1"/>
  <c r="F516" i="2"/>
  <c r="G516" i="2" s="1"/>
  <c r="F727" i="2"/>
  <c r="G727" i="2" s="1"/>
  <c r="F352" i="2"/>
  <c r="G352" i="2" s="1"/>
  <c r="F334" i="2"/>
  <c r="G334" i="2" s="1"/>
  <c r="F351" i="2"/>
  <c r="G351" i="2" s="1"/>
  <c r="F469" i="2"/>
  <c r="G469" i="2" s="1"/>
  <c r="A151" i="2"/>
  <c r="B151" i="2" s="1"/>
  <c r="A80" i="2"/>
  <c r="B80" i="2" s="1"/>
  <c r="A7" i="2"/>
  <c r="B7" i="2" s="1"/>
  <c r="F579" i="2"/>
  <c r="G579" i="2" s="1"/>
  <c r="F277" i="2"/>
  <c r="G277" i="2" s="1"/>
  <c r="F683" i="2"/>
  <c r="G683" i="2" s="1"/>
  <c r="F422" i="2"/>
  <c r="G422" i="2" s="1"/>
  <c r="F271" i="2"/>
  <c r="G271" i="2" s="1"/>
  <c r="F535" i="2"/>
  <c r="G535" i="2" s="1"/>
  <c r="A28" i="2"/>
  <c r="B28" i="2" s="1"/>
  <c r="A71" i="2"/>
  <c r="B71" i="2" s="1"/>
  <c r="A87" i="2"/>
  <c r="B87" i="2" s="1"/>
  <c r="F577" i="2"/>
  <c r="G577" i="2" s="1"/>
  <c r="F409" i="2"/>
  <c r="G409" i="2" s="1"/>
  <c r="F296" i="2"/>
  <c r="G296" i="2" s="1"/>
  <c r="F356" i="2"/>
  <c r="G356" i="2" s="1"/>
  <c r="F457" i="2"/>
  <c r="G457" i="2" s="1"/>
  <c r="F490" i="2"/>
  <c r="G490" i="2" s="1"/>
  <c r="A68" i="2"/>
  <c r="B68" i="2" s="1"/>
  <c r="F507" i="2"/>
  <c r="G507" i="2" s="1"/>
  <c r="F625" i="2"/>
  <c r="G625" i="2" s="1"/>
  <c r="F427" i="2"/>
  <c r="G427" i="2" s="1"/>
  <c r="F463" i="2"/>
  <c r="G463" i="2" s="1"/>
  <c r="F331" i="2"/>
  <c r="G331" i="2" s="1"/>
  <c r="F250" i="2"/>
  <c r="G250" i="2" s="1"/>
  <c r="A131" i="2"/>
  <c r="B131" i="2" s="1"/>
  <c r="F665" i="2"/>
  <c r="G665" i="2" s="1"/>
  <c r="F646" i="2"/>
  <c r="G646" i="2" s="1"/>
  <c r="F259" i="2"/>
  <c r="G259" i="2" s="1"/>
  <c r="F650" i="2"/>
  <c r="G650" i="2" s="1"/>
  <c r="F321" i="2"/>
  <c r="G321" i="2" s="1"/>
  <c r="F514" i="2"/>
  <c r="G514" i="2" s="1"/>
  <c r="F354" i="2"/>
  <c r="G354" i="2" s="1"/>
  <c r="F772" i="2"/>
  <c r="G772" i="2" s="1"/>
  <c r="F684" i="2"/>
  <c r="G684" i="2" s="1"/>
  <c r="F485" i="2"/>
  <c r="G485" i="2" s="1"/>
  <c r="F713" i="2"/>
  <c r="G713" i="2" s="1"/>
  <c r="F614" i="2"/>
  <c r="G614" i="2" s="1"/>
  <c r="F626" i="2"/>
  <c r="G626" i="2" s="1"/>
  <c r="A187" i="2"/>
  <c r="B187" i="2" s="1"/>
  <c r="F342" i="2"/>
  <c r="G342" i="2" s="1"/>
  <c r="A97" i="2"/>
  <c r="B97" i="2" s="1"/>
  <c r="F313" i="2"/>
  <c r="G313" i="2" s="1"/>
  <c r="F419" i="2"/>
  <c r="G419" i="2" s="1"/>
  <c r="F513" i="2"/>
  <c r="G513" i="2" s="1"/>
  <c r="F378" i="2"/>
  <c r="G378" i="2" s="1"/>
  <c r="F560" i="2"/>
  <c r="G560" i="2" s="1"/>
  <c r="F611" i="2"/>
  <c r="G611" i="2" s="1"/>
  <c r="F566" i="2"/>
  <c r="G566" i="2" s="1"/>
  <c r="F682" i="2"/>
  <c r="G682" i="2" s="1"/>
  <c r="F390" i="2"/>
  <c r="G390" i="2" s="1"/>
  <c r="F281" i="2"/>
  <c r="G281" i="2" s="1"/>
  <c r="F545" i="2"/>
  <c r="G545" i="2" s="1"/>
  <c r="F399" i="2"/>
  <c r="G399" i="2" s="1"/>
  <c r="F248" i="2"/>
  <c r="G248" i="2" s="1"/>
  <c r="F735" i="2"/>
  <c r="G735" i="2" s="1"/>
  <c r="F719" i="2"/>
  <c r="G719" i="2" s="1"/>
  <c r="F438" i="2"/>
  <c r="G438" i="2" s="1"/>
  <c r="F458" i="2"/>
  <c r="G458" i="2" s="1"/>
  <c r="F411" i="2"/>
  <c r="G411" i="2" s="1"/>
  <c r="F239" i="2"/>
  <c r="G239" i="2" s="1"/>
  <c r="F372" i="2"/>
  <c r="G372" i="2" s="1"/>
  <c r="F386" i="2"/>
  <c r="G386" i="2" s="1"/>
  <c r="F710" i="2"/>
  <c r="G710" i="2" s="1"/>
  <c r="F359" i="2"/>
  <c r="G359" i="2" s="1"/>
  <c r="F511" i="2"/>
  <c r="G511" i="2" s="1"/>
  <c r="A12" i="2"/>
  <c r="B12" i="2" s="1"/>
  <c r="F350" i="2"/>
  <c r="G350" i="2" s="1"/>
  <c r="F442" i="2"/>
  <c r="G442" i="2" s="1"/>
  <c r="F460" i="2"/>
  <c r="G460" i="2" s="1"/>
  <c r="F688" i="2"/>
  <c r="G688" i="2" s="1"/>
  <c r="F238" i="2"/>
  <c r="G238" i="2" s="1"/>
  <c r="F471" i="2"/>
  <c r="G471" i="2" s="1"/>
  <c r="F634" i="2"/>
  <c r="G634" i="2" s="1"/>
  <c r="F258" i="2"/>
  <c r="G258" i="2" s="1"/>
  <c r="F610" i="2"/>
  <c r="G610" i="2" s="1"/>
  <c r="A31" i="2"/>
  <c r="B31" i="2" s="1"/>
  <c r="F308" i="2"/>
  <c r="G308" i="2" s="1"/>
  <c r="F594" i="2"/>
  <c r="G594" i="2" s="1"/>
  <c r="F531" i="2"/>
  <c r="G531" i="2" s="1"/>
  <c r="F494" i="2"/>
  <c r="G494" i="2" s="1"/>
  <c r="F396" i="2"/>
  <c r="G396" i="2" s="1"/>
  <c r="F445" i="2"/>
  <c r="G445" i="2" s="1"/>
  <c r="F515" i="2"/>
  <c r="G515" i="2" s="1"/>
  <c r="F394" i="2"/>
  <c r="G394" i="2" s="1"/>
  <c r="F413" i="2"/>
  <c r="G413" i="2" s="1"/>
  <c r="F272" i="2"/>
  <c r="G272" i="2" s="1"/>
  <c r="F430" i="2"/>
  <c r="G430" i="2" s="1"/>
  <c r="A99" i="2"/>
  <c r="B99" i="2" s="1"/>
  <c r="A73" i="2"/>
  <c r="B73" i="2" s="1"/>
  <c r="A113" i="2"/>
  <c r="B113" i="2" s="1"/>
  <c r="A130" i="2"/>
  <c r="B130" i="2" s="1"/>
  <c r="A49" i="2"/>
  <c r="B49" i="2" s="1"/>
  <c r="A173" i="2"/>
  <c r="B173" i="2" s="1"/>
  <c r="A122" i="2"/>
  <c r="B122" i="2" s="1"/>
  <c r="A125" i="2"/>
  <c r="B125" i="2" s="1"/>
  <c r="A132" i="2"/>
  <c r="B132" i="2" s="1"/>
  <c r="A56" i="2"/>
  <c r="B56" i="2" s="1"/>
  <c r="A96" i="2"/>
  <c r="B96" i="2" s="1"/>
  <c r="A92" i="2"/>
  <c r="B92" i="2" s="1"/>
  <c r="A161" i="2"/>
  <c r="B161" i="2" s="1"/>
  <c r="A37" i="2"/>
  <c r="B37" i="2" s="1"/>
  <c r="A6" i="2"/>
  <c r="B6" i="2" s="1"/>
  <c r="A44" i="2"/>
  <c r="B44" i="2" s="1"/>
  <c r="A169" i="2"/>
  <c r="B169" i="2" s="1"/>
  <c r="A108" i="2"/>
  <c r="B108" i="2" s="1"/>
  <c r="A62" i="2"/>
  <c r="B62" i="2" s="1"/>
  <c r="A134" i="2"/>
  <c r="B134" i="2" s="1"/>
  <c r="A55" i="2"/>
  <c r="B55" i="2" s="1"/>
  <c r="A72" i="2"/>
  <c r="B72" i="2" s="1"/>
  <c r="A57" i="2"/>
  <c r="B57" i="2" s="1"/>
  <c r="A117" i="2"/>
  <c r="B117" i="2" s="1"/>
  <c r="A40" i="2"/>
  <c r="B40" i="2" s="1"/>
  <c r="A41" i="2"/>
  <c r="B41" i="2" s="1"/>
  <c r="A22" i="2"/>
  <c r="B22" i="2" s="1"/>
  <c r="A74" i="2"/>
  <c r="B74" i="2" s="1"/>
  <c r="A51" i="2"/>
  <c r="B51" i="2" s="1"/>
  <c r="A77" i="2"/>
  <c r="B77" i="2" s="1"/>
  <c r="A81" i="2"/>
  <c r="B81" i="2" s="1"/>
  <c r="A67" i="2"/>
  <c r="B67" i="2" s="1"/>
  <c r="A162" i="2"/>
  <c r="B162" i="2" s="1"/>
  <c r="A58" i="2"/>
  <c r="B58" i="2" s="1"/>
  <c r="A8" i="2"/>
  <c r="B8" i="2" s="1"/>
  <c r="A150" i="2"/>
  <c r="B150" i="2" s="1"/>
  <c r="A188" i="2"/>
  <c r="B188" i="2" s="1"/>
  <c r="A170" i="2"/>
  <c r="B170" i="2" s="1"/>
  <c r="A121" i="2"/>
  <c r="B121" i="2" s="1"/>
  <c r="A66" i="2"/>
  <c r="B66" i="2" s="1"/>
  <c r="A20" i="2"/>
  <c r="B20" i="2" s="1"/>
  <c r="F303" i="2"/>
  <c r="G303" i="2" s="1"/>
  <c r="F533" i="2"/>
  <c r="G533" i="2" s="1"/>
  <c r="F333" i="2"/>
  <c r="G333" i="2" s="1"/>
  <c r="F456" i="2"/>
  <c r="G456" i="2" s="1"/>
  <c r="A152" i="2"/>
  <c r="B152" i="2" s="1"/>
  <c r="F391" i="2"/>
  <c r="G391" i="2" s="1"/>
  <c r="A69" i="2"/>
  <c r="B69" i="2" s="1"/>
  <c r="A154" i="2"/>
  <c r="B154" i="2" s="1"/>
  <c r="F491" i="2"/>
  <c r="G491" i="2" s="1"/>
  <c r="F314" i="2"/>
  <c r="G314" i="2" s="1"/>
  <c r="F431" i="2"/>
  <c r="G431" i="2" s="1"/>
  <c r="F622" i="2"/>
  <c r="G622" i="2" s="1"/>
  <c r="F519" i="2"/>
  <c r="G519" i="2" s="1"/>
  <c r="F451" i="2"/>
  <c r="G451" i="2" s="1"/>
  <c r="A39" i="2"/>
  <c r="B39" i="2" s="1"/>
  <c r="F689" i="2"/>
  <c r="G689" i="2" s="1"/>
  <c r="F404" i="2"/>
  <c r="G404" i="2" s="1"/>
  <c r="F608" i="2"/>
  <c r="G608" i="2" s="1"/>
  <c r="F717" i="2"/>
  <c r="G717" i="2" s="1"/>
  <c r="F768" i="2"/>
  <c r="G768" i="2" s="1"/>
  <c r="F498" i="2"/>
  <c r="G498" i="2" s="1"/>
  <c r="F760" i="2"/>
  <c r="G760" i="2" s="1"/>
  <c r="F620" i="2"/>
  <c r="G620" i="2" s="1"/>
  <c r="F530" i="2"/>
  <c r="G530" i="2" s="1"/>
  <c r="F748" i="2"/>
  <c r="G748" i="2" s="1"/>
  <c r="F619" i="2"/>
  <c r="G619" i="2" s="1"/>
  <c r="F714" i="2"/>
  <c r="G714" i="2" s="1"/>
  <c r="F330" i="2"/>
  <c r="G330" i="2" s="1"/>
  <c r="F520" i="2"/>
  <c r="G520" i="2" s="1"/>
  <c r="F686" i="2"/>
  <c r="G686" i="2" s="1"/>
  <c r="F755" i="2"/>
  <c r="G755" i="2" s="1"/>
  <c r="F752" i="2"/>
  <c r="G752" i="2" s="1"/>
  <c r="F635" i="2"/>
  <c r="G635" i="2" s="1"/>
  <c r="F763" i="2"/>
  <c r="G763" i="2" s="1"/>
  <c r="F576" i="2"/>
  <c r="G576" i="2" s="1"/>
  <c r="F500" i="2"/>
  <c r="G500" i="2" s="1"/>
  <c r="F529" i="2"/>
  <c r="G529" i="2" s="1"/>
  <c r="F241" i="2"/>
  <c r="G241" i="2" s="1"/>
  <c r="F240" i="2"/>
  <c r="G240" i="2" s="1"/>
  <c r="F663" i="2"/>
  <c r="G663" i="2" s="1"/>
  <c r="F439" i="2"/>
  <c r="G439" i="2" s="1"/>
  <c r="F429" i="2"/>
  <c r="G429" i="2" s="1"/>
  <c r="F440" i="2"/>
  <c r="G440" i="2" s="1"/>
  <c r="F585" i="2"/>
  <c r="G585" i="2" s="1"/>
  <c r="F286" i="2"/>
  <c r="G286" i="2" s="1"/>
  <c r="F544" i="2"/>
  <c r="G544" i="2" s="1"/>
  <c r="F716" i="2"/>
  <c r="G716" i="2" s="1"/>
  <c r="F337" i="2"/>
  <c r="G337" i="2" s="1"/>
  <c r="F517" i="2"/>
  <c r="G517" i="2" s="1"/>
  <c r="F641" i="2"/>
  <c r="G641" i="2" s="1"/>
  <c r="F492" i="2"/>
  <c r="G492" i="2" s="1"/>
  <c r="F570" i="2"/>
  <c r="G570" i="2" s="1"/>
  <c r="F644" i="2"/>
  <c r="G644" i="2" s="1"/>
  <c r="A171" i="2"/>
  <c r="B171" i="2" s="1"/>
  <c r="A127" i="2"/>
  <c r="B127" i="2" s="1"/>
  <c r="A33" i="2"/>
  <c r="B33" i="2" s="1"/>
  <c r="A186" i="2"/>
  <c r="B186" i="2" s="1"/>
  <c r="A119" i="2"/>
  <c r="B119" i="2" s="1"/>
  <c r="A63" i="2"/>
  <c r="B63" i="2" s="1"/>
  <c r="A163" i="2"/>
  <c r="B163" i="2" s="1"/>
  <c r="A115" i="2"/>
  <c r="B115" i="2" s="1"/>
  <c r="A70" i="2"/>
  <c r="B70" i="2" s="1"/>
  <c r="A95" i="2"/>
  <c r="B95" i="2" s="1"/>
  <c r="A105" i="2"/>
  <c r="B105" i="2" s="1"/>
  <c r="A25" i="2"/>
  <c r="B25" i="2" s="1"/>
  <c r="A86" i="2"/>
  <c r="B86" i="2" s="1"/>
  <c r="A84" i="2"/>
  <c r="B84" i="2" s="1"/>
  <c r="A124" i="2"/>
  <c r="B124" i="2" s="1"/>
  <c r="A59" i="2"/>
  <c r="B59" i="2" s="1"/>
  <c r="A178" i="2"/>
  <c r="B178" i="2" s="1"/>
  <c r="A129" i="2"/>
  <c r="B129" i="2" s="1"/>
  <c r="A76" i="2"/>
  <c r="B76" i="2" s="1"/>
  <c r="A78" i="2"/>
  <c r="B78" i="2" s="1"/>
  <c r="A19" i="2"/>
  <c r="B19" i="2" s="1"/>
  <c r="A32" i="2"/>
  <c r="B32" i="2" s="1"/>
  <c r="A112" i="2"/>
  <c r="B112" i="2" s="1"/>
  <c r="A90" i="2"/>
  <c r="B90" i="2" s="1"/>
  <c r="A166" i="2"/>
  <c r="B166" i="2" s="1"/>
  <c r="A172" i="2"/>
  <c r="B172" i="2" s="1"/>
  <c r="A98" i="2"/>
  <c r="B98" i="2" s="1"/>
  <c r="A35" i="2"/>
  <c r="B35" i="2" s="1"/>
  <c r="A111" i="2"/>
  <c r="B111" i="2" s="1"/>
  <c r="A180" i="2"/>
  <c r="B180" i="2" s="1"/>
  <c r="A148" i="2"/>
  <c r="B148" i="2" s="1"/>
  <c r="A27" i="2"/>
  <c r="B27" i="2" s="1"/>
  <c r="A165" i="2"/>
  <c r="B165" i="2" s="1"/>
  <c r="A123" i="2"/>
  <c r="B123" i="2" s="1"/>
  <c r="A156" i="2"/>
  <c r="B156" i="2" s="1"/>
  <c r="A50" i="2"/>
  <c r="B50" i="2" s="1"/>
  <c r="A15" i="2"/>
  <c r="B15" i="2" s="1"/>
  <c r="A100" i="2"/>
  <c r="B100" i="2" s="1"/>
  <c r="A110" i="2"/>
  <c r="B110" i="2" s="1"/>
  <c r="A164" i="2"/>
  <c r="B164" i="2" s="1"/>
  <c r="A38" i="2"/>
  <c r="B38" i="2" s="1"/>
  <c r="A79" i="2"/>
  <c r="B79" i="2" s="1"/>
  <c r="A181" i="2"/>
  <c r="B181" i="2" s="1"/>
  <c r="A145" i="2"/>
  <c r="B145" i="2" s="1"/>
  <c r="F602" i="2"/>
  <c r="G602" i="2" s="1"/>
  <c r="F324" i="2"/>
  <c r="G324" i="2" s="1"/>
  <c r="F454" i="2"/>
  <c r="G454" i="2" s="1"/>
  <c r="F325" i="2"/>
  <c r="G325" i="2" s="1"/>
  <c r="F414" i="2"/>
  <c r="G414" i="2" s="1"/>
  <c r="F276" i="2"/>
  <c r="G276" i="2" s="1"/>
  <c r="A155" i="2"/>
  <c r="B155" i="2" s="1"/>
  <c r="F508" i="2"/>
  <c r="G508" i="2" s="1"/>
  <c r="F764" i="2"/>
  <c r="G764" i="2" s="1"/>
  <c r="F753" i="2"/>
  <c r="G753" i="2" s="1"/>
  <c r="F388" i="2"/>
  <c r="G388" i="2" s="1"/>
  <c r="F733" i="2"/>
  <c r="G733" i="2" s="1"/>
  <c r="F652" i="2"/>
  <c r="G652" i="2" s="1"/>
  <c r="F264" i="2"/>
  <c r="G264" i="2" s="1"/>
  <c r="F569" i="2"/>
  <c r="G569" i="2" s="1"/>
  <c r="F366" i="2"/>
  <c r="G366" i="2" s="1"/>
  <c r="F681" i="2"/>
  <c r="G681" i="2" s="1"/>
  <c r="F695" i="2"/>
  <c r="G695" i="2" s="1"/>
  <c r="F441" i="2"/>
  <c r="G441" i="2" s="1"/>
  <c r="F564" i="2"/>
  <c r="G564" i="2" s="1"/>
  <c r="F420" i="2"/>
  <c r="G420" i="2" s="1"/>
  <c r="F265" i="2"/>
  <c r="G265" i="2" s="1"/>
  <c r="F243" i="2"/>
  <c r="G243" i="2" s="1"/>
  <c r="F473" i="2"/>
  <c r="G473" i="2" s="1"/>
  <c r="A23" i="2"/>
  <c r="B23" i="2" s="1"/>
  <c r="F655" i="2"/>
  <c r="G655" i="2" s="1"/>
  <c r="F548" i="2"/>
  <c r="G548" i="2" s="1"/>
  <c r="F358" i="2"/>
  <c r="G358" i="2" s="1"/>
  <c r="F539" i="2"/>
  <c r="G539" i="2" s="1"/>
  <c r="F340" i="2"/>
  <c r="G340" i="2" s="1"/>
  <c r="F294" i="2"/>
  <c r="G294" i="2" s="1"/>
  <c r="F293" i="2"/>
  <c r="G293" i="2" s="1"/>
  <c r="F499" i="2"/>
  <c r="G499" i="2" s="1"/>
  <c r="F526" i="2"/>
  <c r="G526" i="2" s="1"/>
  <c r="F364" i="2"/>
  <c r="G364" i="2" s="1"/>
  <c r="F407" i="2"/>
  <c r="G407" i="2" s="1"/>
  <c r="F721" i="2"/>
  <c r="G721" i="2" s="1"/>
  <c r="F704" i="2"/>
  <c r="G704" i="2" s="1"/>
  <c r="F518" i="2"/>
  <c r="G518" i="2" s="1"/>
  <c r="F534" i="2"/>
  <c r="G534" i="2" s="1"/>
  <c r="F437" i="2"/>
  <c r="G437" i="2" s="1"/>
  <c r="F542" i="2"/>
  <c r="G542" i="2" s="1"/>
  <c r="F715" i="2"/>
  <c r="G715" i="2" s="1"/>
  <c r="F421" i="2"/>
  <c r="G421" i="2" s="1"/>
  <c r="F722" i="2"/>
  <c r="G722" i="2" s="1"/>
  <c r="F556" i="2"/>
  <c r="G556" i="2" s="1"/>
  <c r="F425" i="2"/>
  <c r="G425" i="2" s="1"/>
  <c r="F493" i="2"/>
  <c r="G493" i="2" s="1"/>
  <c r="F283" i="2"/>
  <c r="G283" i="2" s="1"/>
  <c r="F599" i="2"/>
  <c r="G599" i="2" s="1"/>
  <c r="A137" i="2"/>
  <c r="B137" i="2" s="1"/>
  <c r="F621" i="2"/>
  <c r="G621" i="2" s="1"/>
  <c r="A94" i="2"/>
  <c r="B94" i="2" s="1"/>
  <c r="A88" i="2"/>
  <c r="B88" i="2" s="1"/>
  <c r="A185" i="2"/>
  <c r="B185" i="2" s="1"/>
  <c r="A183" i="2"/>
  <c r="B183" i="2" s="1"/>
  <c r="A175" i="2"/>
  <c r="B175" i="2" s="1"/>
  <c r="A103" i="2"/>
  <c r="B103" i="2" s="1"/>
  <c r="A65" i="2"/>
  <c r="B65" i="2" s="1"/>
  <c r="A93" i="2"/>
  <c r="B93" i="2" s="1"/>
  <c r="A120" i="2"/>
  <c r="B120" i="2" s="1"/>
  <c r="A142" i="2"/>
  <c r="B142" i="2" s="1"/>
  <c r="A140" i="2"/>
  <c r="B140" i="2" s="1"/>
  <c r="A42" i="2"/>
  <c r="B42" i="2" s="1"/>
  <c r="A48" i="2"/>
  <c r="B48" i="2" s="1"/>
  <c r="A18" i="2"/>
  <c r="B18" i="2" s="1"/>
  <c r="A26" i="2"/>
  <c r="B26" i="2" s="1"/>
  <c r="A45" i="2"/>
  <c r="B45" i="2" s="1"/>
  <c r="A21" i="2"/>
  <c r="B21" i="2" s="1"/>
  <c r="A128" i="2"/>
  <c r="B128" i="2" s="1"/>
  <c r="A141" i="2"/>
  <c r="B141" i="2" s="1"/>
  <c r="A159" i="2"/>
  <c r="B159" i="2" s="1"/>
  <c r="A109" i="2"/>
  <c r="B109" i="2" s="1"/>
  <c r="A36" i="2"/>
  <c r="B36" i="2" s="1"/>
  <c r="A138" i="2"/>
  <c r="B138" i="2" s="1"/>
  <c r="A179" i="2"/>
  <c r="B179" i="2" s="1"/>
  <c r="F774" i="2"/>
  <c r="G774" i="2" s="1"/>
  <c r="F670" i="2"/>
  <c r="G670" i="2" s="1"/>
  <c r="A54" i="2"/>
  <c r="B54" i="2" s="1"/>
  <c r="F734" i="2"/>
  <c r="G734" i="2" s="1"/>
  <c r="F574" i="2"/>
  <c r="G574" i="2" s="1"/>
  <c r="F459" i="2"/>
  <c r="G459" i="2" s="1"/>
  <c r="F697" i="2"/>
  <c r="G697" i="2" s="1"/>
  <c r="F349" i="2"/>
  <c r="G349" i="2" s="1"/>
  <c r="F554" i="2"/>
  <c r="G554" i="2" s="1"/>
  <c r="F761" i="2"/>
  <c r="G761" i="2" s="1"/>
  <c r="F743" i="2"/>
  <c r="G743" i="2" s="1"/>
  <c r="F381" i="2"/>
  <c r="G381" i="2" s="1"/>
  <c r="F300" i="2"/>
  <c r="G300" i="2" s="1"/>
  <c r="F423" i="2"/>
  <c r="G423" i="2" s="1"/>
  <c r="F773" i="2"/>
  <c r="G773" i="2" s="1"/>
  <c r="F237" i="2"/>
  <c r="G237" i="2" s="1"/>
  <c r="F368" i="2"/>
  <c r="G368" i="2" s="1"/>
  <c r="F448" i="2"/>
  <c r="G448" i="2" s="1"/>
  <c r="F592" i="2"/>
  <c r="G592" i="2" s="1"/>
  <c r="F642" i="2"/>
  <c r="G642" i="2" s="1"/>
  <c r="F465" i="2"/>
  <c r="G465" i="2" s="1"/>
  <c r="F476" i="2"/>
  <c r="G476" i="2" s="1"/>
  <c r="F302" i="2"/>
  <c r="G302" i="2" s="1"/>
  <c r="F311" i="2"/>
  <c r="G311" i="2" s="1"/>
  <c r="F591" i="2"/>
  <c r="G591" i="2" s="1"/>
  <c r="F712" i="2"/>
  <c r="G712" i="2" s="1"/>
  <c r="F348" i="2"/>
  <c r="G348" i="2" s="1"/>
  <c r="F561" i="2"/>
  <c r="G561" i="2" s="1"/>
  <c r="F580" i="2"/>
  <c r="G580" i="2" s="1"/>
  <c r="A144" i="2"/>
  <c r="B144" i="2" s="1"/>
  <c r="F251" i="2"/>
  <c r="G251" i="2" s="1"/>
  <c r="F711" i="2"/>
  <c r="G711" i="2" s="1"/>
  <c r="F757" i="2"/>
  <c r="G757" i="2" s="1"/>
  <c r="F260" i="2"/>
  <c r="G260" i="2" s="1"/>
  <c r="F327" i="2"/>
  <c r="G327" i="2" s="1"/>
  <c r="F557" i="2"/>
  <c r="G557" i="2" s="1"/>
  <c r="F384" i="2"/>
  <c r="G384" i="2" s="1"/>
  <c r="F266" i="2"/>
  <c r="G266" i="2" s="1"/>
  <c r="F746" i="2"/>
  <c r="G746" i="2" s="1"/>
  <c r="F639" i="2"/>
  <c r="G639" i="2" s="1"/>
  <c r="F481" i="2"/>
  <c r="G481" i="2" s="1"/>
  <c r="F432" i="2"/>
  <c r="G432" i="2" s="1"/>
  <c r="F601" i="2"/>
  <c r="G601" i="2" s="1"/>
  <c r="F618" i="2"/>
  <c r="G618" i="2" s="1"/>
  <c r="F336" i="2"/>
  <c r="G336" i="2" s="1"/>
  <c r="F636" i="2"/>
  <c r="G636" i="2" s="1"/>
  <c r="F393" i="2"/>
  <c r="G393" i="2" s="1"/>
  <c r="F261" i="2"/>
  <c r="G261" i="2" s="1"/>
  <c r="F744" i="2"/>
  <c r="G744" i="2" s="1"/>
  <c r="F696" i="2"/>
  <c r="G696" i="2" s="1"/>
  <c r="F528" i="2"/>
  <c r="G528" i="2" s="1"/>
  <c r="A133" i="2"/>
  <c r="B133" i="2" s="1"/>
  <c r="A29" i="2"/>
  <c r="B29" i="2" s="1"/>
  <c r="A43" i="2"/>
  <c r="B43" i="2" s="1"/>
  <c r="A177" i="2"/>
  <c r="B177" i="2" s="1"/>
  <c r="A11" i="2"/>
  <c r="B11" i="2" s="1"/>
  <c r="A160" i="2"/>
  <c r="B160" i="2" s="1"/>
  <c r="A64" i="2"/>
  <c r="B64" i="2" s="1"/>
  <c r="A61" i="2"/>
  <c r="B61" i="2" s="1"/>
  <c r="A24" i="2"/>
  <c r="B24" i="2" s="1"/>
  <c r="A174" i="2"/>
  <c r="B174" i="2" s="1"/>
  <c r="A52" i="2"/>
  <c r="B52" i="2" s="1"/>
  <c r="A9" i="2"/>
  <c r="B9" i="2" s="1"/>
  <c r="A143" i="2"/>
  <c r="B143" i="2" s="1"/>
  <c r="O335" i="2"/>
  <c r="O431" i="2" s="1"/>
  <c r="O527" i="2" s="1"/>
  <c r="O623" i="2" s="1"/>
  <c r="O719" i="2" s="1"/>
  <c r="A221" i="2"/>
  <c r="B221" i="2" s="1"/>
  <c r="A222" i="2"/>
  <c r="B222" i="2" s="1"/>
  <c r="A223" i="2"/>
  <c r="B223" i="2" s="1"/>
  <c r="A224" i="2"/>
  <c r="B224" i="2" s="1"/>
  <c r="A84" i="5"/>
  <c r="B84" i="5" s="1"/>
  <c r="O49" i="2" l="1"/>
  <c r="O145" i="2" s="1"/>
  <c r="O241" i="2" s="1"/>
  <c r="V46" i="5"/>
  <c r="F228" i="2"/>
  <c r="G228" i="2" s="1"/>
  <c r="F229" i="2"/>
  <c r="G229" i="2" s="1"/>
  <c r="H229" i="2" s="1"/>
  <c r="J229" i="2" s="1"/>
  <c r="F219" i="2"/>
  <c r="G219" i="2" s="1"/>
  <c r="F226" i="2"/>
  <c r="G226" i="2" s="1"/>
  <c r="I226" i="2" s="1"/>
  <c r="F223" i="2"/>
  <c r="G223" i="2" s="1"/>
  <c r="H223" i="2" s="1"/>
  <c r="J223" i="2" s="1"/>
  <c r="F222" i="2"/>
  <c r="G222" i="2" s="1"/>
  <c r="H222" i="2" s="1"/>
  <c r="J222" i="2" s="1"/>
  <c r="F221" i="2"/>
  <c r="G221" i="2" s="1"/>
  <c r="F232" i="2"/>
  <c r="G232" i="2" s="1"/>
  <c r="I232" i="2" s="1"/>
  <c r="F224" i="2"/>
  <c r="G224" i="2" s="1"/>
  <c r="I224" i="2" s="1"/>
  <c r="F230" i="2"/>
  <c r="G230" i="2" s="1"/>
  <c r="H230" i="2" s="1"/>
  <c r="J230" i="2" s="1"/>
  <c r="F227" i="2"/>
  <c r="G227" i="2" s="1"/>
  <c r="A205" i="2"/>
  <c r="B205" i="2" s="1"/>
  <c r="C205" i="2" s="1"/>
  <c r="E205" i="2" s="1"/>
  <c r="A210" i="2"/>
  <c r="B210" i="2" s="1"/>
  <c r="C210" i="2" s="1"/>
  <c r="E210" i="2" s="1"/>
  <c r="A201" i="2"/>
  <c r="B201" i="2" s="1"/>
  <c r="C201" i="2" s="1"/>
  <c r="E201" i="2" s="1"/>
  <c r="A207" i="2"/>
  <c r="B207" i="2" s="1"/>
  <c r="A214" i="2"/>
  <c r="B214" i="2" s="1"/>
  <c r="D214" i="2" s="1"/>
  <c r="A197" i="2"/>
  <c r="B197" i="2" s="1"/>
  <c r="E197" i="2" s="1"/>
  <c r="A200" i="2"/>
  <c r="B200" i="2" s="1"/>
  <c r="C200" i="2" s="1"/>
  <c r="E200" i="2" s="1"/>
  <c r="A204" i="2"/>
  <c r="B204" i="2" s="1"/>
  <c r="A208" i="2"/>
  <c r="B208" i="2" s="1"/>
  <c r="D208" i="2" s="1"/>
  <c r="A213" i="2"/>
  <c r="B213" i="2" s="1"/>
  <c r="D213" i="2" s="1"/>
  <c r="A216" i="2"/>
  <c r="B216" i="2" s="1"/>
  <c r="D216" i="2" s="1"/>
  <c r="O337" i="2"/>
  <c r="O433" i="2" s="1"/>
  <c r="O529" i="2" s="1"/>
  <c r="O625" i="2" s="1"/>
  <c r="O721" i="2" s="1"/>
  <c r="F86" i="2"/>
  <c r="G86" i="2" s="1"/>
  <c r="F62" i="2"/>
  <c r="G62" i="2" s="1"/>
  <c r="F78" i="2"/>
  <c r="G78" i="2" s="1"/>
  <c r="F96" i="2"/>
  <c r="G96" i="2" s="1"/>
  <c r="F28" i="2"/>
  <c r="G28" i="2" s="1"/>
  <c r="F94" i="2"/>
  <c r="G94" i="2" s="1"/>
  <c r="F31" i="2"/>
  <c r="G31" i="2" s="1"/>
  <c r="F63" i="2"/>
  <c r="G63" i="2" s="1"/>
  <c r="F53" i="2"/>
  <c r="G53" i="2" s="1"/>
  <c r="F41" i="2"/>
  <c r="G41" i="2" s="1"/>
  <c r="F44" i="2"/>
  <c r="G44" i="2" s="1"/>
  <c r="F48" i="2"/>
  <c r="G48" i="2" s="1"/>
  <c r="F64" i="2"/>
  <c r="G64" i="2" s="1"/>
  <c r="F66" i="2"/>
  <c r="G66" i="2" s="1"/>
  <c r="F76" i="2"/>
  <c r="G76" i="2" s="1"/>
  <c r="F90" i="2"/>
  <c r="G90" i="2" s="1"/>
  <c r="F69" i="2"/>
  <c r="G69" i="2" s="1"/>
  <c r="F49" i="2"/>
  <c r="G49" i="2" s="1"/>
  <c r="F98" i="2"/>
  <c r="G98" i="2" s="1"/>
  <c r="F21" i="2"/>
  <c r="G21" i="2" s="1"/>
  <c r="F23" i="2"/>
  <c r="G23" i="2" s="1"/>
  <c r="F22" i="2"/>
  <c r="G22" i="2" s="1"/>
  <c r="F39" i="2"/>
  <c r="G39" i="2" s="1"/>
  <c r="F30" i="2"/>
  <c r="G30" i="2" s="1"/>
  <c r="F82" i="2"/>
  <c r="G82" i="2" s="1"/>
  <c r="F56" i="2"/>
  <c r="G56" i="2" s="1"/>
  <c r="F108" i="2"/>
  <c r="G108" i="2" s="1"/>
  <c r="F65" i="2"/>
  <c r="G65" i="2" s="1"/>
  <c r="F54" i="2"/>
  <c r="G54" i="2" s="1"/>
  <c r="F109" i="2"/>
  <c r="G109" i="2" s="1"/>
  <c r="F100" i="2"/>
  <c r="G100" i="2" s="1"/>
  <c r="F68" i="2"/>
  <c r="G68" i="2" s="1"/>
  <c r="F83" i="2"/>
  <c r="G83" i="2" s="1"/>
  <c r="F20" i="2"/>
  <c r="G20" i="2" s="1"/>
  <c r="F114" i="2"/>
  <c r="G114" i="2" s="1"/>
  <c r="F104" i="2"/>
  <c r="G104" i="2" s="1"/>
  <c r="F42" i="2"/>
  <c r="G42" i="2" s="1"/>
  <c r="F73" i="2"/>
  <c r="G73" i="2" s="1"/>
  <c r="F99" i="2"/>
  <c r="G99" i="2" s="1"/>
  <c r="F43" i="2"/>
  <c r="G43" i="2" s="1"/>
  <c r="F19" i="2"/>
  <c r="G19" i="2" s="1"/>
  <c r="F60" i="2"/>
  <c r="G60" i="2" s="1"/>
  <c r="F107" i="2"/>
  <c r="G107" i="2" s="1"/>
  <c r="F102" i="2"/>
  <c r="G102" i="2" s="1"/>
  <c r="F79" i="2"/>
  <c r="G79" i="2" s="1"/>
  <c r="F33" i="2"/>
  <c r="G33" i="2" s="1"/>
  <c r="F26" i="2"/>
  <c r="G26" i="2" s="1"/>
  <c r="F110" i="2"/>
  <c r="G110" i="2" s="1"/>
  <c r="F88" i="2"/>
  <c r="G88" i="2" s="1"/>
  <c r="F40" i="2"/>
  <c r="G40" i="2" s="1"/>
  <c r="F17" i="2"/>
  <c r="G17" i="2" s="1"/>
  <c r="F80" i="2"/>
  <c r="G80" i="2" s="1"/>
  <c r="F45" i="2"/>
  <c r="G45" i="2" s="1"/>
  <c r="F25" i="2"/>
  <c r="G25" i="2" s="1"/>
  <c r="F29" i="2"/>
  <c r="G29" i="2" s="1"/>
  <c r="F50" i="2"/>
  <c r="G50" i="2" s="1"/>
  <c r="F113" i="2"/>
  <c r="G113" i="2" s="1"/>
  <c r="F67" i="2"/>
  <c r="G67" i="2" s="1"/>
  <c r="F106" i="2"/>
  <c r="G106" i="2" s="1"/>
  <c r="F75" i="2"/>
  <c r="G75" i="2" s="1"/>
  <c r="F59" i="2"/>
  <c r="G59" i="2" s="1"/>
  <c r="F87" i="2"/>
  <c r="G87" i="2" s="1"/>
  <c r="F71" i="2"/>
  <c r="G71" i="2" s="1"/>
  <c r="F35" i="2"/>
  <c r="G35" i="2" s="1"/>
  <c r="F97" i="2"/>
  <c r="G97" i="2" s="1"/>
  <c r="F18" i="2"/>
  <c r="G18" i="2" s="1"/>
  <c r="F89" i="2"/>
  <c r="G89" i="2" s="1"/>
  <c r="F57" i="2"/>
  <c r="G57" i="2" s="1"/>
  <c r="F112" i="2"/>
  <c r="G112" i="2" s="1"/>
  <c r="F37" i="2"/>
  <c r="G37" i="2" s="1"/>
  <c r="F34" i="2"/>
  <c r="G34" i="2" s="1"/>
  <c r="F91" i="2"/>
  <c r="G91" i="2" s="1"/>
  <c r="F47" i="2"/>
  <c r="G47" i="2" s="1"/>
  <c r="F115" i="2"/>
  <c r="G115" i="2" s="1"/>
  <c r="F36" i="2"/>
  <c r="G36" i="2" s="1"/>
  <c r="F27" i="2"/>
  <c r="G27" i="2" s="1"/>
  <c r="F70" i="2"/>
  <c r="G70" i="2" s="1"/>
  <c r="F46" i="2"/>
  <c r="G46" i="2" s="1"/>
  <c r="F32" i="2"/>
  <c r="G32" i="2" s="1"/>
  <c r="F103" i="2"/>
  <c r="G103" i="2" s="1"/>
  <c r="F74" i="2"/>
  <c r="G74" i="2" s="1"/>
  <c r="F101" i="2"/>
  <c r="G101" i="2" s="1"/>
  <c r="F61" i="2"/>
  <c r="G61" i="2" s="1"/>
  <c r="F38" i="2"/>
  <c r="G38" i="2" s="1"/>
  <c r="F105" i="2"/>
  <c r="G105" i="2" s="1"/>
  <c r="F85" i="2"/>
  <c r="G85" i="2" s="1"/>
  <c r="F72" i="2"/>
  <c r="G72" i="2" s="1"/>
  <c r="F81" i="2"/>
  <c r="G81" i="2" s="1"/>
  <c r="F77" i="2"/>
  <c r="G77" i="2" s="1"/>
  <c r="F51" i="2"/>
  <c r="G51" i="2" s="1"/>
  <c r="F52" i="2"/>
  <c r="G52" i="2" s="1"/>
  <c r="F58" i="2"/>
  <c r="G58" i="2" s="1"/>
  <c r="F116" i="2"/>
  <c r="G116" i="2" s="1"/>
  <c r="F84" i="2"/>
  <c r="G84" i="2" s="1"/>
  <c r="F92" i="2"/>
  <c r="G92" i="2" s="1"/>
  <c r="F111" i="2"/>
  <c r="G111" i="2" s="1"/>
  <c r="F93" i="2"/>
  <c r="G93" i="2" s="1"/>
  <c r="F55" i="2"/>
  <c r="G55" i="2" s="1"/>
  <c r="F95" i="2"/>
  <c r="G95" i="2" s="1"/>
  <c r="F24" i="2"/>
  <c r="G24" i="2" s="1"/>
  <c r="D230" i="2"/>
  <c r="C230" i="2"/>
  <c r="E230" i="2" s="1"/>
  <c r="C226" i="2"/>
  <c r="E226" i="2" s="1"/>
  <c r="D226" i="2"/>
  <c r="C204" i="2"/>
  <c r="E204" i="2" s="1"/>
  <c r="D204" i="2"/>
  <c r="C215" i="2"/>
  <c r="E215" i="2" s="1"/>
  <c r="D215" i="2"/>
  <c r="D228" i="2"/>
  <c r="C228" i="2"/>
  <c r="E228" i="2" s="1"/>
  <c r="D229" i="2"/>
  <c r="C229" i="2"/>
  <c r="E229" i="2" s="1"/>
  <c r="C225" i="2"/>
  <c r="E225" i="2" s="1"/>
  <c r="D225" i="2"/>
  <c r="C202" i="2"/>
  <c r="E202" i="2" s="1"/>
  <c r="D202" i="2"/>
  <c r="C206" i="2"/>
  <c r="E206" i="2" s="1"/>
  <c r="D206" i="2"/>
  <c r="C209" i="2"/>
  <c r="E209" i="2" s="1"/>
  <c r="D209" i="2"/>
  <c r="C199" i="2"/>
  <c r="E199" i="2" s="1"/>
  <c r="D199" i="2"/>
  <c r="D211" i="2"/>
  <c r="C211" i="2"/>
  <c r="E211" i="2" s="1"/>
  <c r="D235" i="2"/>
  <c r="C235" i="2"/>
  <c r="E235" i="2" s="1"/>
  <c r="D233" i="2"/>
  <c r="C233" i="2"/>
  <c r="E233" i="2" s="1"/>
  <c r="D227" i="2"/>
  <c r="C227" i="2"/>
  <c r="E227" i="2" s="1"/>
  <c r="C234" i="2"/>
  <c r="E234" i="2" s="1"/>
  <c r="D234" i="2"/>
  <c r="C203" i="2"/>
  <c r="E203" i="2" s="1"/>
  <c r="D203" i="2"/>
  <c r="E198" i="2"/>
  <c r="D198" i="2"/>
  <c r="C198" i="2"/>
  <c r="C212" i="2"/>
  <c r="E212" i="2" s="1"/>
  <c r="D212" i="2"/>
  <c r="D231" i="2"/>
  <c r="C231" i="2"/>
  <c r="E231" i="2" s="1"/>
  <c r="D232" i="2"/>
  <c r="C232" i="2"/>
  <c r="E232" i="2" s="1"/>
  <c r="D236" i="2"/>
  <c r="C236" i="2"/>
  <c r="E236" i="2" s="1"/>
  <c r="D207" i="2"/>
  <c r="C207" i="2"/>
  <c r="E207" i="2" s="1"/>
  <c r="D221" i="2"/>
  <c r="C221" i="2"/>
  <c r="E221" i="2" s="1"/>
  <c r="I696" i="2"/>
  <c r="J696" i="2"/>
  <c r="H696" i="2"/>
  <c r="I393" i="2"/>
  <c r="H393" i="2"/>
  <c r="J393" i="2"/>
  <c r="H601" i="2"/>
  <c r="I601" i="2"/>
  <c r="J601" i="2"/>
  <c r="I639" i="2"/>
  <c r="H639" i="2"/>
  <c r="J639" i="2"/>
  <c r="I557" i="2"/>
  <c r="J557" i="2"/>
  <c r="H557" i="2"/>
  <c r="I711" i="2"/>
  <c r="H711" i="2"/>
  <c r="J711" i="2"/>
  <c r="J561" i="2"/>
  <c r="H561" i="2"/>
  <c r="I561" i="2"/>
  <c r="I311" i="2"/>
  <c r="J311" i="2"/>
  <c r="H311" i="2"/>
  <c r="J642" i="2"/>
  <c r="H642" i="2"/>
  <c r="I642" i="2"/>
  <c r="J368" i="2"/>
  <c r="H368" i="2"/>
  <c r="I368" i="2"/>
  <c r="H300" i="2"/>
  <c r="I300" i="2"/>
  <c r="J300" i="2"/>
  <c r="I761" i="2"/>
  <c r="J761" i="2"/>
  <c r="H761" i="2"/>
  <c r="J459" i="2"/>
  <c r="I459" i="2"/>
  <c r="H459" i="2"/>
  <c r="E54" i="2"/>
  <c r="D54" i="2"/>
  <c r="C54" i="2"/>
  <c r="C179" i="2"/>
  <c r="D179" i="2"/>
  <c r="E179" i="2"/>
  <c r="D159" i="2"/>
  <c r="C159" i="2"/>
  <c r="E159" i="2"/>
  <c r="C45" i="2"/>
  <c r="D45" i="2"/>
  <c r="E45" i="2"/>
  <c r="C42" i="2"/>
  <c r="E42" i="2"/>
  <c r="D42" i="2"/>
  <c r="D93" i="2"/>
  <c r="C93" i="2"/>
  <c r="E93" i="2"/>
  <c r="C183" i="2"/>
  <c r="D183" i="2"/>
  <c r="E183" i="2"/>
  <c r="H228" i="2"/>
  <c r="J228" i="2" s="1"/>
  <c r="I228" i="2"/>
  <c r="H425" i="2"/>
  <c r="I425" i="2"/>
  <c r="J425" i="2"/>
  <c r="J715" i="2"/>
  <c r="H715" i="2"/>
  <c r="I715" i="2"/>
  <c r="J518" i="2"/>
  <c r="H518" i="2"/>
  <c r="I518" i="2"/>
  <c r="I364" i="2"/>
  <c r="H364" i="2"/>
  <c r="J364" i="2"/>
  <c r="H294" i="2"/>
  <c r="J294" i="2"/>
  <c r="I294" i="2"/>
  <c r="H548" i="2"/>
  <c r="J548" i="2"/>
  <c r="I548" i="2"/>
  <c r="I564" i="2"/>
  <c r="H564" i="2"/>
  <c r="J564" i="2"/>
  <c r="I366" i="2"/>
  <c r="H366" i="2"/>
  <c r="J366" i="2"/>
  <c r="H733" i="2"/>
  <c r="I733" i="2"/>
  <c r="J733" i="2"/>
  <c r="I508" i="2"/>
  <c r="J508" i="2"/>
  <c r="H508" i="2"/>
  <c r="I325" i="2"/>
  <c r="H325" i="2"/>
  <c r="J325" i="2"/>
  <c r="D145" i="2"/>
  <c r="C145" i="2"/>
  <c r="E145" i="2"/>
  <c r="C164" i="2"/>
  <c r="E164" i="2"/>
  <c r="D164" i="2"/>
  <c r="C50" i="2"/>
  <c r="E50" i="2"/>
  <c r="D50" i="2"/>
  <c r="D27" i="2"/>
  <c r="E27" i="2"/>
  <c r="C27" i="2"/>
  <c r="E35" i="2"/>
  <c r="C35" i="2"/>
  <c r="D35" i="2"/>
  <c r="C90" i="2"/>
  <c r="E90" i="2"/>
  <c r="D90" i="2"/>
  <c r="C78" i="2"/>
  <c r="D78" i="2"/>
  <c r="E78" i="2"/>
  <c r="D59" i="2"/>
  <c r="E59" i="2"/>
  <c r="C59" i="2"/>
  <c r="E25" i="2"/>
  <c r="C25" i="2"/>
  <c r="D25" i="2"/>
  <c r="C115" i="2"/>
  <c r="E115" i="2"/>
  <c r="D115" i="2"/>
  <c r="C186" i="2"/>
  <c r="E186" i="2"/>
  <c r="D186" i="2"/>
  <c r="J644" i="2"/>
  <c r="I644" i="2"/>
  <c r="H644" i="2"/>
  <c r="J517" i="2"/>
  <c r="I517" i="2"/>
  <c r="H517" i="2"/>
  <c r="I286" i="2"/>
  <c r="H286" i="2"/>
  <c r="J286" i="2"/>
  <c r="H439" i="2"/>
  <c r="J439" i="2"/>
  <c r="I439" i="2"/>
  <c r="I529" i="2"/>
  <c r="J529" i="2"/>
  <c r="H529" i="2"/>
  <c r="H635" i="2"/>
  <c r="J635" i="2"/>
  <c r="I635" i="2"/>
  <c r="I520" i="2"/>
  <c r="H520" i="2"/>
  <c r="J520" i="2"/>
  <c r="J748" i="2"/>
  <c r="H748" i="2"/>
  <c r="I748" i="2"/>
  <c r="J498" i="2"/>
  <c r="H498" i="2"/>
  <c r="I498" i="2"/>
  <c r="I404" i="2"/>
  <c r="J404" i="2"/>
  <c r="H404" i="2"/>
  <c r="J519" i="2"/>
  <c r="I519" i="2"/>
  <c r="H519" i="2"/>
  <c r="I491" i="2"/>
  <c r="H491" i="2"/>
  <c r="J491" i="2"/>
  <c r="I391" i="2"/>
  <c r="H391" i="2"/>
  <c r="J391" i="2"/>
  <c r="I533" i="2"/>
  <c r="H533" i="2"/>
  <c r="J533" i="2"/>
  <c r="E66" i="2"/>
  <c r="D66" i="2"/>
  <c r="C66" i="2"/>
  <c r="D150" i="2"/>
  <c r="E150" i="2"/>
  <c r="C150" i="2"/>
  <c r="E67" i="2"/>
  <c r="C67" i="2"/>
  <c r="D67" i="2"/>
  <c r="E74" i="2"/>
  <c r="D74" i="2"/>
  <c r="C74" i="2"/>
  <c r="C117" i="2"/>
  <c r="E117" i="2"/>
  <c r="D117" i="2"/>
  <c r="D134" i="2"/>
  <c r="C134" i="2"/>
  <c r="E134" i="2"/>
  <c r="E44" i="2"/>
  <c r="D44" i="2"/>
  <c r="C44" i="2"/>
  <c r="D92" i="2"/>
  <c r="C92" i="2"/>
  <c r="E92" i="2"/>
  <c r="D125" i="2"/>
  <c r="E125" i="2"/>
  <c r="C125" i="2"/>
  <c r="E130" i="2"/>
  <c r="C130" i="2"/>
  <c r="D130" i="2"/>
  <c r="J430" i="2"/>
  <c r="H430" i="2"/>
  <c r="I430" i="2"/>
  <c r="J515" i="2"/>
  <c r="I515" i="2"/>
  <c r="H515" i="2"/>
  <c r="I531" i="2"/>
  <c r="H531" i="2"/>
  <c r="J531" i="2"/>
  <c r="J610" i="2"/>
  <c r="H610" i="2"/>
  <c r="I610" i="2"/>
  <c r="H221" i="2"/>
  <c r="J221" i="2" s="1"/>
  <c r="I221" i="2"/>
  <c r="I442" i="2"/>
  <c r="J442" i="2"/>
  <c r="H442" i="2"/>
  <c r="J359" i="2"/>
  <c r="H359" i="2"/>
  <c r="I359" i="2"/>
  <c r="I239" i="2"/>
  <c r="H239" i="2"/>
  <c r="J239" i="2" s="1"/>
  <c r="H232" i="2"/>
  <c r="J232" i="2" s="1"/>
  <c r="H248" i="2"/>
  <c r="J248" i="2" s="1"/>
  <c r="I248" i="2"/>
  <c r="H390" i="2"/>
  <c r="I390" i="2"/>
  <c r="J390" i="2"/>
  <c r="H560" i="2"/>
  <c r="J560" i="2"/>
  <c r="I560" i="2"/>
  <c r="C187" i="2"/>
  <c r="D187" i="2"/>
  <c r="E187" i="2"/>
  <c r="J485" i="2"/>
  <c r="I485" i="2"/>
  <c r="H485" i="2"/>
  <c r="J514" i="2"/>
  <c r="I514" i="2"/>
  <c r="H514" i="2"/>
  <c r="I646" i="2"/>
  <c r="J646" i="2"/>
  <c r="H646" i="2"/>
  <c r="I250" i="2"/>
  <c r="H250" i="2"/>
  <c r="J250" i="2" s="1"/>
  <c r="J625" i="2"/>
  <c r="I625" i="2"/>
  <c r="H625" i="2"/>
  <c r="I457" i="2"/>
  <c r="H457" i="2"/>
  <c r="J457" i="2"/>
  <c r="I577" i="2"/>
  <c r="H577" i="2"/>
  <c r="J577" i="2"/>
  <c r="H535" i="2"/>
  <c r="J535" i="2"/>
  <c r="I535" i="2"/>
  <c r="H277" i="2"/>
  <c r="J277" i="2"/>
  <c r="I277" i="2"/>
  <c r="E151" i="2"/>
  <c r="D151" i="2"/>
  <c r="C151" i="2"/>
  <c r="I352" i="2"/>
  <c r="H352" i="2"/>
  <c r="J352" i="2"/>
  <c r="J417" i="2"/>
  <c r="I417" i="2"/>
  <c r="H417" i="2"/>
  <c r="J273" i="2"/>
  <c r="H273" i="2"/>
  <c r="I273" i="2"/>
  <c r="J605" i="2"/>
  <c r="I605" i="2"/>
  <c r="H605" i="2"/>
  <c r="I436" i="2"/>
  <c r="J436" i="2"/>
  <c r="H436" i="2"/>
  <c r="C60" i="2"/>
  <c r="E60" i="2"/>
  <c r="D60" i="2"/>
  <c r="H449" i="2"/>
  <c r="J449" i="2"/>
  <c r="I449" i="2"/>
  <c r="H343" i="2"/>
  <c r="I343" i="2"/>
  <c r="J343" i="2"/>
  <c r="H633" i="2"/>
  <c r="I633" i="2"/>
  <c r="J633" i="2"/>
  <c r="H741" i="2"/>
  <c r="J741" i="2"/>
  <c r="I741" i="2"/>
  <c r="H428" i="2"/>
  <c r="J428" i="2"/>
  <c r="I428" i="2"/>
  <c r="I675" i="2"/>
  <c r="H675" i="2"/>
  <c r="J675" i="2"/>
  <c r="J765" i="2"/>
  <c r="I765" i="2"/>
  <c r="H765" i="2"/>
  <c r="J318" i="2"/>
  <c r="H318" i="2"/>
  <c r="I318" i="2"/>
  <c r="C135" i="2"/>
  <c r="E135" i="2"/>
  <c r="D135" i="2"/>
  <c r="I249" i="2"/>
  <c r="H249" i="2"/>
  <c r="J249" i="2" s="1"/>
  <c r="I335" i="2"/>
  <c r="J335" i="2"/>
  <c r="H335" i="2"/>
  <c r="H759" i="2"/>
  <c r="I759" i="2"/>
  <c r="J759" i="2"/>
  <c r="C91" i="2"/>
  <c r="E91" i="2"/>
  <c r="D91" i="2"/>
  <c r="J540" i="2"/>
  <c r="H540" i="2"/>
  <c r="I540" i="2"/>
  <c r="D184" i="2"/>
  <c r="C184" i="2"/>
  <c r="E184" i="2"/>
  <c r="J478" i="2"/>
  <c r="I478" i="2"/>
  <c r="H478" i="2"/>
  <c r="J270" i="2"/>
  <c r="I270" i="2"/>
  <c r="H270" i="2"/>
  <c r="J506" i="2"/>
  <c r="I506" i="2"/>
  <c r="H506" i="2"/>
  <c r="H284" i="2"/>
  <c r="I284" i="2"/>
  <c r="J284" i="2"/>
  <c r="I263" i="2"/>
  <c r="H263" i="2"/>
  <c r="J263" i="2" s="1"/>
  <c r="I355" i="2"/>
  <c r="H355" i="2"/>
  <c r="J355" i="2"/>
  <c r="I486" i="2"/>
  <c r="H486" i="2"/>
  <c r="J486" i="2"/>
  <c r="H322" i="2"/>
  <c r="J322" i="2"/>
  <c r="I322" i="2"/>
  <c r="J475" i="2"/>
  <c r="H475" i="2"/>
  <c r="I475" i="2"/>
  <c r="J316" i="2"/>
  <c r="I316" i="2"/>
  <c r="H316" i="2"/>
  <c r="H550" i="2"/>
  <c r="J550" i="2"/>
  <c r="I550" i="2"/>
  <c r="I341" i="2"/>
  <c r="H341" i="2"/>
  <c r="J341" i="2"/>
  <c r="J395" i="2"/>
  <c r="I395" i="2"/>
  <c r="H395" i="2"/>
  <c r="H624" i="2"/>
  <c r="J624" i="2"/>
  <c r="I624" i="2"/>
  <c r="J664" i="2"/>
  <c r="H664" i="2"/>
  <c r="I664" i="2"/>
  <c r="D182" i="2"/>
  <c r="C182" i="2"/>
  <c r="E182" i="2"/>
  <c r="H573" i="2"/>
  <c r="I573" i="2"/>
  <c r="J573" i="2"/>
  <c r="I729" i="2"/>
  <c r="J729" i="2"/>
  <c r="H729" i="2"/>
  <c r="I410" i="2"/>
  <c r="J410" i="2"/>
  <c r="H410" i="2"/>
  <c r="H547" i="2"/>
  <c r="J547" i="2"/>
  <c r="I547" i="2"/>
  <c r="J268" i="2"/>
  <c r="I268" i="2"/>
  <c r="H268" i="2"/>
  <c r="H730" i="2"/>
  <c r="J730" i="2"/>
  <c r="I730" i="2"/>
  <c r="H443" i="2"/>
  <c r="J443" i="2"/>
  <c r="I443" i="2"/>
  <c r="I568" i="2"/>
  <c r="J568" i="2"/>
  <c r="H568" i="2"/>
  <c r="I590" i="2"/>
  <c r="H590" i="2"/>
  <c r="J590" i="2"/>
  <c r="H242" i="2"/>
  <c r="J242" i="2" s="1"/>
  <c r="I242" i="2"/>
  <c r="H512" i="2"/>
  <c r="I512" i="2"/>
  <c r="J512" i="2"/>
  <c r="I323" i="2"/>
  <c r="H323" i="2"/>
  <c r="J323" i="2"/>
  <c r="J565" i="2"/>
  <c r="I565" i="2"/>
  <c r="H565" i="2"/>
  <c r="I647" i="2"/>
  <c r="J647" i="2"/>
  <c r="H647" i="2"/>
  <c r="H401" i="2"/>
  <c r="I401" i="2"/>
  <c r="J401" i="2"/>
  <c r="H522" i="2"/>
  <c r="I522" i="2"/>
  <c r="J522" i="2"/>
  <c r="J317" i="2"/>
  <c r="H317" i="2"/>
  <c r="I317" i="2"/>
  <c r="E34" i="2"/>
  <c r="C34" i="2"/>
  <c r="D34" i="2"/>
  <c r="J612" i="2"/>
  <c r="I612" i="2"/>
  <c r="H612" i="2"/>
  <c r="I369" i="2"/>
  <c r="J369" i="2"/>
  <c r="H369" i="2"/>
  <c r="H315" i="2"/>
  <c r="J315" i="2"/>
  <c r="I315" i="2"/>
  <c r="E47" i="2"/>
  <c r="C47" i="2"/>
  <c r="D47" i="2"/>
  <c r="I693" i="2"/>
  <c r="J693" i="2"/>
  <c r="H693" i="2"/>
  <c r="J455" i="2"/>
  <c r="I455" i="2"/>
  <c r="H455" i="2"/>
  <c r="I382" i="2"/>
  <c r="H382" i="2"/>
  <c r="J382" i="2"/>
  <c r="H653" i="2"/>
  <c r="J653" i="2"/>
  <c r="I653" i="2"/>
  <c r="D146" i="2"/>
  <c r="C146" i="2"/>
  <c r="E146" i="2"/>
  <c r="I447" i="2"/>
  <c r="H447" i="2"/>
  <c r="J447" i="2"/>
  <c r="I501" i="2"/>
  <c r="J501" i="2"/>
  <c r="H501" i="2"/>
  <c r="J527" i="2"/>
  <c r="I527" i="2"/>
  <c r="H527" i="2"/>
  <c r="J756" i="2"/>
  <c r="I756" i="2"/>
  <c r="H756" i="2"/>
  <c r="J310" i="2"/>
  <c r="H310" i="2"/>
  <c r="I310" i="2"/>
  <c r="J462" i="2"/>
  <c r="I462" i="2"/>
  <c r="H462" i="2"/>
  <c r="H613" i="2"/>
  <c r="J613" i="2"/>
  <c r="I613" i="2"/>
  <c r="H360" i="2"/>
  <c r="J360" i="2"/>
  <c r="I360" i="2"/>
  <c r="I510" i="2"/>
  <c r="H510" i="2"/>
  <c r="J510" i="2"/>
  <c r="H225" i="2"/>
  <c r="J225" i="2" s="1"/>
  <c r="I225" i="2"/>
  <c r="J598" i="2"/>
  <c r="H598" i="2"/>
  <c r="I598" i="2"/>
  <c r="H461" i="2"/>
  <c r="I461" i="2"/>
  <c r="J461" i="2"/>
  <c r="H371" i="2"/>
  <c r="J371" i="2"/>
  <c r="I371" i="2"/>
  <c r="I725" i="2"/>
  <c r="H725" i="2"/>
  <c r="J725" i="2"/>
  <c r="I769" i="2"/>
  <c r="H769" i="2"/>
  <c r="J769" i="2"/>
  <c r="D89" i="2"/>
  <c r="E89" i="2"/>
  <c r="C89" i="2"/>
  <c r="D153" i="2"/>
  <c r="E153" i="2"/>
  <c r="C153" i="2"/>
  <c r="J673" i="2"/>
  <c r="I673" i="2"/>
  <c r="H673" i="2"/>
  <c r="I680" i="2"/>
  <c r="H680" i="2"/>
  <c r="J680" i="2"/>
  <c r="J724" i="2"/>
  <c r="H724" i="2"/>
  <c r="I724" i="2"/>
  <c r="E10" i="2"/>
  <c r="C10" i="2"/>
  <c r="D10" i="2"/>
  <c r="I383" i="2"/>
  <c r="J383" i="2"/>
  <c r="H383" i="2"/>
  <c r="H766" i="2"/>
  <c r="I766" i="2"/>
  <c r="J766" i="2"/>
  <c r="J453" i="2"/>
  <c r="H453" i="2"/>
  <c r="I453" i="2"/>
  <c r="J732" i="2"/>
  <c r="I732" i="2"/>
  <c r="H732" i="2"/>
  <c r="J412" i="2"/>
  <c r="H412" i="2"/>
  <c r="I412" i="2"/>
  <c r="J600" i="2"/>
  <c r="H600" i="2"/>
  <c r="I600" i="2"/>
  <c r="E193" i="2"/>
  <c r="C193" i="2"/>
  <c r="D193" i="2"/>
  <c r="D194" i="2"/>
  <c r="E194" i="2"/>
  <c r="C194" i="2"/>
  <c r="E64" i="2"/>
  <c r="C64" i="2"/>
  <c r="D64" i="2"/>
  <c r="E29" i="2"/>
  <c r="D29" i="2"/>
  <c r="C29" i="2"/>
  <c r="I636" i="2"/>
  <c r="J636" i="2"/>
  <c r="H636" i="2"/>
  <c r="H432" i="2"/>
  <c r="J432" i="2"/>
  <c r="I432" i="2"/>
  <c r="J746" i="2"/>
  <c r="H746" i="2"/>
  <c r="I746" i="2"/>
  <c r="I327" i="2"/>
  <c r="H327" i="2"/>
  <c r="J327" i="2"/>
  <c r="I251" i="2"/>
  <c r="H251" i="2"/>
  <c r="J251" i="2" s="1"/>
  <c r="H348" i="2"/>
  <c r="I348" i="2"/>
  <c r="J348" i="2"/>
  <c r="J302" i="2"/>
  <c r="H302" i="2"/>
  <c r="I302" i="2"/>
  <c r="J592" i="2"/>
  <c r="I592" i="2"/>
  <c r="H592" i="2"/>
  <c r="I237" i="2"/>
  <c r="H237" i="2"/>
  <c r="J237" i="2" s="1"/>
  <c r="J381" i="2"/>
  <c r="I381" i="2"/>
  <c r="H381" i="2"/>
  <c r="J554" i="2"/>
  <c r="H554" i="2"/>
  <c r="I554" i="2"/>
  <c r="J574" i="2"/>
  <c r="I574" i="2"/>
  <c r="H574" i="2"/>
  <c r="D138" i="2"/>
  <c r="C138" i="2"/>
  <c r="E138" i="2"/>
  <c r="E141" i="2"/>
  <c r="C141" i="2"/>
  <c r="D141" i="2"/>
  <c r="C26" i="2"/>
  <c r="E26" i="2"/>
  <c r="D26" i="2"/>
  <c r="D140" i="2"/>
  <c r="E140" i="2"/>
  <c r="C140" i="2"/>
  <c r="E65" i="2"/>
  <c r="C65" i="2"/>
  <c r="D65" i="2"/>
  <c r="D185" i="2"/>
  <c r="C185" i="2"/>
  <c r="E185" i="2"/>
  <c r="J599" i="2"/>
  <c r="H599" i="2"/>
  <c r="I599" i="2"/>
  <c r="H556" i="2"/>
  <c r="J556" i="2"/>
  <c r="I556" i="2"/>
  <c r="I542" i="2"/>
  <c r="J542" i="2"/>
  <c r="H542" i="2"/>
  <c r="H704" i="2"/>
  <c r="I704" i="2"/>
  <c r="J704" i="2"/>
  <c r="I526" i="2"/>
  <c r="J526" i="2"/>
  <c r="H526" i="2"/>
  <c r="H340" i="2"/>
  <c r="J340" i="2"/>
  <c r="I340" i="2"/>
  <c r="I655" i="2"/>
  <c r="H655" i="2"/>
  <c r="J655" i="2"/>
  <c r="H243" i="2"/>
  <c r="J243" i="2" s="1"/>
  <c r="I243" i="2"/>
  <c r="J441" i="2"/>
  <c r="I441" i="2"/>
  <c r="H441" i="2"/>
  <c r="J569" i="2"/>
  <c r="I569" i="2"/>
  <c r="H569" i="2"/>
  <c r="I388" i="2"/>
  <c r="H388" i="2"/>
  <c r="J388" i="2"/>
  <c r="C155" i="2"/>
  <c r="E155" i="2"/>
  <c r="D155" i="2"/>
  <c r="J454" i="2"/>
  <c r="H454" i="2"/>
  <c r="I454" i="2"/>
  <c r="D181" i="2"/>
  <c r="E181" i="2"/>
  <c r="C181" i="2"/>
  <c r="C110" i="2"/>
  <c r="D110" i="2"/>
  <c r="E110" i="2"/>
  <c r="C156" i="2"/>
  <c r="E156" i="2"/>
  <c r="D156" i="2"/>
  <c r="C148" i="2"/>
  <c r="E148" i="2"/>
  <c r="D148" i="2"/>
  <c r="D98" i="2"/>
  <c r="E98" i="2"/>
  <c r="C98" i="2"/>
  <c r="E112" i="2"/>
  <c r="C112" i="2"/>
  <c r="D112" i="2"/>
  <c r="C76" i="2"/>
  <c r="D76" i="2"/>
  <c r="E76" i="2"/>
  <c r="D124" i="2"/>
  <c r="E124" i="2"/>
  <c r="C124" i="2"/>
  <c r="E105" i="2"/>
  <c r="D105" i="2"/>
  <c r="C105" i="2"/>
  <c r="C163" i="2"/>
  <c r="E163" i="2"/>
  <c r="D163" i="2"/>
  <c r="E33" i="2"/>
  <c r="D33" i="2"/>
  <c r="C33" i="2"/>
  <c r="J570" i="2"/>
  <c r="I570" i="2"/>
  <c r="H570" i="2"/>
  <c r="I337" i="2"/>
  <c r="H337" i="2"/>
  <c r="J337" i="2"/>
  <c r="J585" i="2"/>
  <c r="I585" i="2"/>
  <c r="H585" i="2"/>
  <c r="H663" i="2"/>
  <c r="J663" i="2"/>
  <c r="I663" i="2"/>
  <c r="J500" i="2"/>
  <c r="I500" i="2"/>
  <c r="H500" i="2"/>
  <c r="I752" i="2"/>
  <c r="H752" i="2"/>
  <c r="J752" i="2"/>
  <c r="J330" i="2"/>
  <c r="H330" i="2"/>
  <c r="I330" i="2"/>
  <c r="H530" i="2"/>
  <c r="I530" i="2"/>
  <c r="J530" i="2"/>
  <c r="H768" i="2"/>
  <c r="J768" i="2"/>
  <c r="I768" i="2"/>
  <c r="H689" i="2"/>
  <c r="I689" i="2"/>
  <c r="J689" i="2"/>
  <c r="J622" i="2"/>
  <c r="H622" i="2"/>
  <c r="I622" i="2"/>
  <c r="D154" i="2"/>
  <c r="C154" i="2"/>
  <c r="E154" i="2"/>
  <c r="D152" i="2"/>
  <c r="C152" i="2"/>
  <c r="E152" i="2"/>
  <c r="E121" i="2"/>
  <c r="D121" i="2"/>
  <c r="C121" i="2"/>
  <c r="C8" i="2"/>
  <c r="E8" i="2"/>
  <c r="D8" i="2"/>
  <c r="E81" i="2"/>
  <c r="C81" i="2"/>
  <c r="D81" i="2"/>
  <c r="D22" i="2"/>
  <c r="E22" i="2"/>
  <c r="C22" i="2"/>
  <c r="C57" i="2"/>
  <c r="E57" i="2"/>
  <c r="D57" i="2"/>
  <c r="E62" i="2"/>
  <c r="D62" i="2"/>
  <c r="C62" i="2"/>
  <c r="E6" i="2"/>
  <c r="D6" i="2"/>
  <c r="C6" i="2"/>
  <c r="C96" i="2"/>
  <c r="D96" i="2"/>
  <c r="E96" i="2"/>
  <c r="C122" i="2"/>
  <c r="E122" i="2"/>
  <c r="D122" i="2"/>
  <c r="E113" i="2"/>
  <c r="C113" i="2"/>
  <c r="D113" i="2"/>
  <c r="J272" i="2"/>
  <c r="H272" i="2"/>
  <c r="I272" i="2"/>
  <c r="I445" i="2"/>
  <c r="H445" i="2"/>
  <c r="J445" i="2"/>
  <c r="I594" i="2"/>
  <c r="H594" i="2"/>
  <c r="J594" i="2"/>
  <c r="H258" i="2"/>
  <c r="J258" i="2" s="1"/>
  <c r="I258" i="2"/>
  <c r="H238" i="2"/>
  <c r="J238" i="2" s="1"/>
  <c r="I238" i="2"/>
  <c r="I350" i="2"/>
  <c r="J350" i="2"/>
  <c r="H350" i="2"/>
  <c r="H710" i="2"/>
  <c r="J710" i="2"/>
  <c r="I710" i="2"/>
  <c r="I411" i="2"/>
  <c r="J411" i="2"/>
  <c r="H411" i="2"/>
  <c r="H399" i="2"/>
  <c r="J399" i="2"/>
  <c r="I399" i="2"/>
  <c r="I682" i="2"/>
  <c r="H682" i="2"/>
  <c r="J682" i="2"/>
  <c r="H378" i="2"/>
  <c r="J378" i="2"/>
  <c r="I378" i="2"/>
  <c r="J313" i="2"/>
  <c r="H313" i="2"/>
  <c r="I313" i="2"/>
  <c r="H626" i="2"/>
  <c r="I626" i="2"/>
  <c r="J626" i="2"/>
  <c r="H684" i="2"/>
  <c r="I684" i="2"/>
  <c r="J684" i="2"/>
  <c r="J321" i="2"/>
  <c r="H321" i="2"/>
  <c r="I321" i="2"/>
  <c r="J665" i="2"/>
  <c r="I665" i="2"/>
  <c r="H665" i="2"/>
  <c r="I331" i="2"/>
  <c r="J331" i="2"/>
  <c r="H331" i="2"/>
  <c r="H507" i="2"/>
  <c r="J507" i="2"/>
  <c r="I507" i="2"/>
  <c r="H356" i="2"/>
  <c r="J356" i="2"/>
  <c r="I356" i="2"/>
  <c r="E87" i="2"/>
  <c r="C87" i="2"/>
  <c r="D87" i="2"/>
  <c r="H271" i="2"/>
  <c r="I271" i="2"/>
  <c r="J271" i="2"/>
  <c r="H579" i="2"/>
  <c r="J579" i="2"/>
  <c r="I579" i="2"/>
  <c r="H469" i="2"/>
  <c r="I469" i="2"/>
  <c r="J469" i="2"/>
  <c r="H727" i="2"/>
  <c r="I727" i="2"/>
  <c r="J727" i="2"/>
  <c r="I668" i="2"/>
  <c r="H668" i="2"/>
  <c r="J668" i="2"/>
  <c r="I726" i="2"/>
  <c r="J726" i="2"/>
  <c r="H726" i="2"/>
  <c r="H292" i="2"/>
  <c r="J292" i="2"/>
  <c r="I292" i="2"/>
  <c r="H718" i="2"/>
  <c r="I718" i="2"/>
  <c r="J718" i="2"/>
  <c r="H698" i="2"/>
  <c r="J698" i="2"/>
  <c r="I698" i="2"/>
  <c r="H280" i="2"/>
  <c r="I280" i="2"/>
  <c r="J280" i="2"/>
  <c r="H326" i="2"/>
  <c r="J326" i="2"/>
  <c r="I326" i="2"/>
  <c r="J536" i="2"/>
  <c r="I536" i="2"/>
  <c r="H536" i="2"/>
  <c r="I709" i="2"/>
  <c r="J709" i="2"/>
  <c r="H709" i="2"/>
  <c r="I651" i="2"/>
  <c r="H651" i="2"/>
  <c r="J651" i="2"/>
  <c r="J363" i="2"/>
  <c r="H363" i="2"/>
  <c r="I363" i="2"/>
  <c r="H435" i="2"/>
  <c r="I435" i="2"/>
  <c r="J435" i="2"/>
  <c r="J662" i="2"/>
  <c r="H662" i="2"/>
  <c r="I662" i="2"/>
  <c r="J616" i="2"/>
  <c r="H616" i="2"/>
  <c r="I616" i="2"/>
  <c r="J595" i="2"/>
  <c r="I595" i="2"/>
  <c r="H595" i="2"/>
  <c r="E118" i="2"/>
  <c r="C118" i="2"/>
  <c r="D118" i="2"/>
  <c r="H389" i="2"/>
  <c r="I389" i="2"/>
  <c r="J389" i="2"/>
  <c r="E157" i="2"/>
  <c r="C157" i="2"/>
  <c r="D157" i="2"/>
  <c r="I767" i="2"/>
  <c r="H767" i="2"/>
  <c r="J767" i="2"/>
  <c r="H338" i="2"/>
  <c r="J338" i="2"/>
  <c r="I338" i="2"/>
  <c r="I295" i="2"/>
  <c r="J295" i="2"/>
  <c r="H295" i="2"/>
  <c r="C102" i="2"/>
  <c r="D102" i="2"/>
  <c r="E102" i="2"/>
  <c r="I679" i="2"/>
  <c r="J679" i="2"/>
  <c r="H679" i="2"/>
  <c r="J739" i="2"/>
  <c r="H739" i="2"/>
  <c r="I739" i="2"/>
  <c r="H226" i="2"/>
  <c r="J226" i="2" s="1"/>
  <c r="J329" i="2"/>
  <c r="I329" i="2"/>
  <c r="H329" i="2"/>
  <c r="H525" i="2"/>
  <c r="I525" i="2"/>
  <c r="J525" i="2"/>
  <c r="H654" i="2"/>
  <c r="J654" i="2"/>
  <c r="I654" i="2"/>
  <c r="J279" i="2"/>
  <c r="I279" i="2"/>
  <c r="H279" i="2"/>
  <c r="I657" i="2"/>
  <c r="J657" i="2"/>
  <c r="H657" i="2"/>
  <c r="H589" i="2"/>
  <c r="I589" i="2"/>
  <c r="J589" i="2"/>
  <c r="H552" i="2"/>
  <c r="J552" i="2"/>
  <c r="I552" i="2"/>
  <c r="I678" i="2"/>
  <c r="H678" i="2"/>
  <c r="J678" i="2"/>
  <c r="H751" i="2"/>
  <c r="I751" i="2"/>
  <c r="J751" i="2"/>
  <c r="J406" i="2"/>
  <c r="H406" i="2"/>
  <c r="I406" i="2"/>
  <c r="I402" i="2"/>
  <c r="J402" i="2"/>
  <c r="H402" i="2"/>
  <c r="I640" i="2"/>
  <c r="H640" i="2"/>
  <c r="J640" i="2"/>
  <c r="J452" i="2"/>
  <c r="I452" i="2"/>
  <c r="H452" i="2"/>
  <c r="I398" i="2"/>
  <c r="H398" i="2"/>
  <c r="J398" i="2"/>
  <c r="H745" i="2"/>
  <c r="I745" i="2"/>
  <c r="J745" i="2"/>
  <c r="E75" i="2"/>
  <c r="D75" i="2"/>
  <c r="C75" i="2"/>
  <c r="I669" i="2"/>
  <c r="H669" i="2"/>
  <c r="J669" i="2"/>
  <c r="C139" i="2"/>
  <c r="E139" i="2"/>
  <c r="D139" i="2"/>
  <c r="I231" i="2"/>
  <c r="H231" i="2"/>
  <c r="J231" i="2" s="1"/>
  <c r="J278" i="2"/>
  <c r="H278" i="2"/>
  <c r="I278" i="2"/>
  <c r="I546" i="2"/>
  <c r="J546" i="2"/>
  <c r="H546" i="2"/>
  <c r="J643" i="2"/>
  <c r="H643" i="2"/>
  <c r="I643" i="2"/>
  <c r="J275" i="2"/>
  <c r="I275" i="2"/>
  <c r="H275" i="2"/>
  <c r="J375" i="2"/>
  <c r="I375" i="2"/>
  <c r="H375" i="2"/>
  <c r="E104" i="2"/>
  <c r="D104" i="2"/>
  <c r="C104" i="2"/>
  <c r="H588" i="2"/>
  <c r="I588" i="2"/>
  <c r="J588" i="2"/>
  <c r="I672" i="2"/>
  <c r="J672" i="2"/>
  <c r="H672" i="2"/>
  <c r="I480" i="2"/>
  <c r="H480" i="2"/>
  <c r="J480" i="2"/>
  <c r="E83" i="2"/>
  <c r="C83" i="2"/>
  <c r="D83" i="2"/>
  <c r="I674" i="2"/>
  <c r="J674" i="2"/>
  <c r="H674" i="2"/>
  <c r="J450" i="2"/>
  <c r="H450" i="2"/>
  <c r="I450" i="2"/>
  <c r="J575" i="2"/>
  <c r="H575" i="2"/>
  <c r="I575" i="2"/>
  <c r="C30" i="2"/>
  <c r="E30" i="2"/>
  <c r="D30" i="2"/>
  <c r="J477" i="2"/>
  <c r="I477" i="2"/>
  <c r="H477" i="2"/>
  <c r="I551" i="2"/>
  <c r="J551" i="2"/>
  <c r="H551" i="2"/>
  <c r="I297" i="2"/>
  <c r="H297" i="2"/>
  <c r="J297" i="2"/>
  <c r="C149" i="2"/>
  <c r="D149" i="2"/>
  <c r="E149" i="2"/>
  <c r="J312" i="2"/>
  <c r="I312" i="2"/>
  <c r="H312" i="2"/>
  <c r="J572" i="2"/>
  <c r="I572" i="2"/>
  <c r="H572" i="2"/>
  <c r="J762" i="2"/>
  <c r="H762" i="2"/>
  <c r="I762" i="2"/>
  <c r="J623" i="2"/>
  <c r="I623" i="2"/>
  <c r="H623" i="2"/>
  <c r="J484" i="2"/>
  <c r="H484" i="2"/>
  <c r="I484" i="2"/>
  <c r="I415" i="2"/>
  <c r="H415" i="2"/>
  <c r="J415" i="2"/>
  <c r="H397" i="2"/>
  <c r="J397" i="2"/>
  <c r="I397" i="2"/>
  <c r="I597" i="2"/>
  <c r="J597" i="2"/>
  <c r="H597" i="2"/>
  <c r="I630" i="2"/>
  <c r="H630" i="2"/>
  <c r="J630" i="2"/>
  <c r="J659" i="2"/>
  <c r="H659" i="2"/>
  <c r="I659" i="2"/>
  <c r="I738" i="2"/>
  <c r="H738" i="2"/>
  <c r="J738" i="2"/>
  <c r="E107" i="2"/>
  <c r="C107" i="2"/>
  <c r="D107" i="2"/>
  <c r="H770" i="2"/>
  <c r="J770" i="2"/>
  <c r="I770" i="2"/>
  <c r="I700" i="2"/>
  <c r="J700" i="2"/>
  <c r="H700" i="2"/>
  <c r="I707" i="2"/>
  <c r="J707" i="2"/>
  <c r="H707" i="2"/>
  <c r="C114" i="2"/>
  <c r="D114" i="2"/>
  <c r="E114" i="2"/>
  <c r="H373" i="2"/>
  <c r="J373" i="2"/>
  <c r="I373" i="2"/>
  <c r="I742" i="2"/>
  <c r="H742" i="2"/>
  <c r="J742" i="2"/>
  <c r="H418" i="2"/>
  <c r="I418" i="2"/>
  <c r="J418" i="2"/>
  <c r="J503" i="2"/>
  <c r="H503" i="2"/>
  <c r="I503" i="2"/>
  <c r="D116" i="2"/>
  <c r="C116" i="2"/>
  <c r="E116" i="2"/>
  <c r="J346" i="2"/>
  <c r="I346" i="2"/>
  <c r="H346" i="2"/>
  <c r="H596" i="2"/>
  <c r="J596" i="2"/>
  <c r="I596" i="2"/>
  <c r="H274" i="2"/>
  <c r="I274" i="2"/>
  <c r="J274" i="2"/>
  <c r="H555" i="2"/>
  <c r="J555" i="2"/>
  <c r="I555" i="2"/>
  <c r="J549" i="2"/>
  <c r="I549" i="2"/>
  <c r="H549" i="2"/>
  <c r="J403" i="2"/>
  <c r="I403" i="2"/>
  <c r="H403" i="2"/>
  <c r="E190" i="2"/>
  <c r="D190" i="2"/>
  <c r="C190" i="2"/>
  <c r="E192" i="2"/>
  <c r="C192" i="2"/>
  <c r="D192" i="2"/>
  <c r="C223" i="2"/>
  <c r="E223" i="2" s="1"/>
  <c r="D223" i="2"/>
  <c r="C43" i="2"/>
  <c r="D43" i="2"/>
  <c r="E43" i="2"/>
  <c r="C160" i="2"/>
  <c r="E160" i="2"/>
  <c r="D160" i="2"/>
  <c r="D222" i="2"/>
  <c r="C222" i="2"/>
  <c r="E222" i="2" s="1"/>
  <c r="D143" i="2"/>
  <c r="C143" i="2"/>
  <c r="E143" i="2"/>
  <c r="E24" i="2"/>
  <c r="C24" i="2"/>
  <c r="D24" i="2"/>
  <c r="E11" i="2"/>
  <c r="C11" i="2"/>
  <c r="D11" i="2"/>
  <c r="E133" i="2"/>
  <c r="D133" i="2"/>
  <c r="C133" i="2"/>
  <c r="J336" i="2"/>
  <c r="I336" i="2"/>
  <c r="H336" i="2"/>
  <c r="H266" i="2"/>
  <c r="I266" i="2"/>
  <c r="J266" i="2"/>
  <c r="I260" i="2"/>
  <c r="H260" i="2"/>
  <c r="J260" i="2" s="1"/>
  <c r="D144" i="2"/>
  <c r="E144" i="2"/>
  <c r="C144" i="2"/>
  <c r="I712" i="2"/>
  <c r="H712" i="2"/>
  <c r="J712" i="2"/>
  <c r="I476" i="2"/>
  <c r="J476" i="2"/>
  <c r="H476" i="2"/>
  <c r="I219" i="2"/>
  <c r="H219" i="2"/>
  <c r="J219" i="2" s="1"/>
  <c r="J773" i="2"/>
  <c r="I773" i="2"/>
  <c r="H773" i="2"/>
  <c r="I743" i="2"/>
  <c r="H743" i="2"/>
  <c r="J743" i="2"/>
  <c r="H349" i="2"/>
  <c r="I349" i="2"/>
  <c r="J349" i="2"/>
  <c r="J734" i="2"/>
  <c r="H734" i="2"/>
  <c r="I734" i="2"/>
  <c r="I670" i="2"/>
  <c r="J670" i="2"/>
  <c r="H670" i="2"/>
  <c r="D36" i="2"/>
  <c r="E36" i="2"/>
  <c r="C36" i="2"/>
  <c r="E128" i="2"/>
  <c r="D128" i="2"/>
  <c r="C128" i="2"/>
  <c r="D18" i="2"/>
  <c r="C18" i="2"/>
  <c r="E18" i="2"/>
  <c r="D142" i="2"/>
  <c r="C142" i="2"/>
  <c r="E142" i="2"/>
  <c r="E103" i="2"/>
  <c r="C103" i="2"/>
  <c r="D103" i="2"/>
  <c r="D88" i="2"/>
  <c r="C88" i="2"/>
  <c r="E88" i="2"/>
  <c r="I621" i="2"/>
  <c r="J621" i="2"/>
  <c r="H621" i="2"/>
  <c r="I283" i="2"/>
  <c r="H283" i="2"/>
  <c r="J283" i="2"/>
  <c r="H722" i="2"/>
  <c r="I722" i="2"/>
  <c r="J722" i="2"/>
  <c r="I437" i="2"/>
  <c r="H437" i="2"/>
  <c r="J437" i="2"/>
  <c r="J721" i="2"/>
  <c r="I721" i="2"/>
  <c r="H721" i="2"/>
  <c r="J499" i="2"/>
  <c r="H499" i="2"/>
  <c r="I499" i="2"/>
  <c r="J539" i="2"/>
  <c r="H539" i="2"/>
  <c r="I539" i="2"/>
  <c r="E23" i="2"/>
  <c r="D23" i="2"/>
  <c r="C23" i="2"/>
  <c r="I265" i="2"/>
  <c r="H265" i="2"/>
  <c r="J265" i="2"/>
  <c r="J695" i="2"/>
  <c r="I695" i="2"/>
  <c r="H695" i="2"/>
  <c r="H264" i="2"/>
  <c r="J264" i="2" s="1"/>
  <c r="I264" i="2"/>
  <c r="H753" i="2"/>
  <c r="J753" i="2"/>
  <c r="I753" i="2"/>
  <c r="H276" i="2"/>
  <c r="I276" i="2"/>
  <c r="J276" i="2"/>
  <c r="H324" i="2"/>
  <c r="I324" i="2"/>
  <c r="J324" i="2"/>
  <c r="E79" i="2"/>
  <c r="D79" i="2"/>
  <c r="C79" i="2"/>
  <c r="D100" i="2"/>
  <c r="E100" i="2"/>
  <c r="C100" i="2"/>
  <c r="C123" i="2"/>
  <c r="D123" i="2"/>
  <c r="E123" i="2"/>
  <c r="C180" i="2"/>
  <c r="E180" i="2"/>
  <c r="D180" i="2"/>
  <c r="C172" i="2"/>
  <c r="E172" i="2"/>
  <c r="D172" i="2"/>
  <c r="D32" i="2"/>
  <c r="E32" i="2"/>
  <c r="C32" i="2"/>
  <c r="D129" i="2"/>
  <c r="C129" i="2"/>
  <c r="E129" i="2"/>
  <c r="D84" i="2"/>
  <c r="C84" i="2"/>
  <c r="E84" i="2"/>
  <c r="E95" i="2"/>
  <c r="C95" i="2"/>
  <c r="D95" i="2"/>
  <c r="C63" i="2"/>
  <c r="E63" i="2"/>
  <c r="D63" i="2"/>
  <c r="C127" i="2"/>
  <c r="E127" i="2"/>
  <c r="D127" i="2"/>
  <c r="J492" i="2"/>
  <c r="H492" i="2"/>
  <c r="I492" i="2"/>
  <c r="I716" i="2"/>
  <c r="H716" i="2"/>
  <c r="J716" i="2"/>
  <c r="J440" i="2"/>
  <c r="I440" i="2"/>
  <c r="H440" i="2"/>
  <c r="I240" i="2"/>
  <c r="H240" i="2"/>
  <c r="J240" i="2" s="1"/>
  <c r="J576" i="2"/>
  <c r="I576" i="2"/>
  <c r="H576" i="2"/>
  <c r="J755" i="2"/>
  <c r="H755" i="2"/>
  <c r="I755" i="2"/>
  <c r="J714" i="2"/>
  <c r="I714" i="2"/>
  <c r="H714" i="2"/>
  <c r="J620" i="2"/>
  <c r="I620" i="2"/>
  <c r="H620" i="2"/>
  <c r="I717" i="2"/>
  <c r="H717" i="2"/>
  <c r="J717" i="2"/>
  <c r="D39" i="2"/>
  <c r="C39" i="2"/>
  <c r="E39" i="2"/>
  <c r="J431" i="2"/>
  <c r="I431" i="2"/>
  <c r="H431" i="2"/>
  <c r="H456" i="2"/>
  <c r="I456" i="2"/>
  <c r="J456" i="2"/>
  <c r="H303" i="2"/>
  <c r="I303" i="2"/>
  <c r="J303" i="2"/>
  <c r="E170" i="2"/>
  <c r="C170" i="2"/>
  <c r="D170" i="2"/>
  <c r="E58" i="2"/>
  <c r="D58" i="2"/>
  <c r="C58" i="2"/>
  <c r="E77" i="2"/>
  <c r="C77" i="2"/>
  <c r="D77" i="2"/>
  <c r="C41" i="2"/>
  <c r="E41" i="2"/>
  <c r="D41" i="2"/>
  <c r="C72" i="2"/>
  <c r="D72" i="2"/>
  <c r="E72" i="2"/>
  <c r="D108" i="2"/>
  <c r="C108" i="2"/>
  <c r="E108" i="2"/>
  <c r="D37" i="2"/>
  <c r="C37" i="2"/>
  <c r="E37" i="2"/>
  <c r="E56" i="2"/>
  <c r="D56" i="2"/>
  <c r="C56" i="2"/>
  <c r="E173" i="2"/>
  <c r="C173" i="2"/>
  <c r="D173" i="2"/>
  <c r="C73" i="2"/>
  <c r="D73" i="2"/>
  <c r="E73" i="2"/>
  <c r="H413" i="2"/>
  <c r="I413" i="2"/>
  <c r="J413" i="2"/>
  <c r="H396" i="2"/>
  <c r="J396" i="2"/>
  <c r="I396" i="2"/>
  <c r="J308" i="2"/>
  <c r="H308" i="2"/>
  <c r="I308" i="2"/>
  <c r="I634" i="2"/>
  <c r="J634" i="2"/>
  <c r="H634" i="2"/>
  <c r="J688" i="2"/>
  <c r="H688" i="2"/>
  <c r="I688" i="2"/>
  <c r="C12" i="2"/>
  <c r="E12" i="2"/>
  <c r="D12" i="2"/>
  <c r="H386" i="2"/>
  <c r="J386" i="2"/>
  <c r="I386" i="2"/>
  <c r="H458" i="2"/>
  <c r="I458" i="2"/>
  <c r="J458" i="2"/>
  <c r="I719" i="2"/>
  <c r="J719" i="2"/>
  <c r="H719" i="2"/>
  <c r="J545" i="2"/>
  <c r="H545" i="2"/>
  <c r="I545" i="2"/>
  <c r="I566" i="2"/>
  <c r="J566" i="2"/>
  <c r="H566" i="2"/>
  <c r="J513" i="2"/>
  <c r="H513" i="2"/>
  <c r="I513" i="2"/>
  <c r="E97" i="2"/>
  <c r="D97" i="2"/>
  <c r="C97" i="2"/>
  <c r="H614" i="2"/>
  <c r="I614" i="2"/>
  <c r="J614" i="2"/>
  <c r="J772" i="2"/>
  <c r="H772" i="2"/>
  <c r="I772" i="2"/>
  <c r="I650" i="2"/>
  <c r="H650" i="2"/>
  <c r="J650" i="2"/>
  <c r="D131" i="2"/>
  <c r="E131" i="2"/>
  <c r="C131" i="2"/>
  <c r="J463" i="2"/>
  <c r="I463" i="2"/>
  <c r="H463" i="2"/>
  <c r="C68" i="2"/>
  <c r="D68" i="2"/>
  <c r="E68" i="2"/>
  <c r="I296" i="2"/>
  <c r="H296" i="2"/>
  <c r="J296" i="2"/>
  <c r="E71" i="2"/>
  <c r="C71" i="2"/>
  <c r="D71" i="2"/>
  <c r="J422" i="2"/>
  <c r="I422" i="2"/>
  <c r="H422" i="2"/>
  <c r="E7" i="2"/>
  <c r="C7" i="2"/>
  <c r="D7" i="2"/>
  <c r="H351" i="2"/>
  <c r="I351" i="2"/>
  <c r="J351" i="2"/>
  <c r="I516" i="2"/>
  <c r="H516" i="2"/>
  <c r="J516" i="2"/>
  <c r="I631" i="2"/>
  <c r="H631" i="2"/>
  <c r="J631" i="2"/>
  <c r="H253" i="2"/>
  <c r="J253" i="2" s="1"/>
  <c r="I253" i="2"/>
  <c r="H299" i="2"/>
  <c r="J299" i="2"/>
  <c r="I299" i="2"/>
  <c r="I424" i="2"/>
  <c r="H424" i="2"/>
  <c r="J424" i="2"/>
  <c r="H532" i="2"/>
  <c r="I532" i="2"/>
  <c r="J532" i="2"/>
  <c r="C14" i="2"/>
  <c r="D14" i="2"/>
  <c r="E14" i="2"/>
  <c r="H305" i="2"/>
  <c r="I305" i="2"/>
  <c r="J305" i="2"/>
  <c r="J466" i="2"/>
  <c r="H466" i="2"/>
  <c r="I466" i="2"/>
  <c r="I285" i="2"/>
  <c r="H285" i="2"/>
  <c r="J285" i="2"/>
  <c r="I523" i="2"/>
  <c r="H523" i="2"/>
  <c r="J523" i="2"/>
  <c r="I353" i="2"/>
  <c r="J353" i="2"/>
  <c r="H353" i="2"/>
  <c r="J488" i="2"/>
  <c r="H488" i="2"/>
  <c r="I488" i="2"/>
  <c r="I584" i="2"/>
  <c r="H584" i="2"/>
  <c r="J584" i="2"/>
  <c r="J298" i="2"/>
  <c r="I298" i="2"/>
  <c r="H298" i="2"/>
  <c r="I702" i="2"/>
  <c r="H702" i="2"/>
  <c r="J702" i="2"/>
  <c r="I676" i="2"/>
  <c r="J676" i="2"/>
  <c r="H676" i="2"/>
  <c r="J736" i="2"/>
  <c r="H736" i="2"/>
  <c r="I736" i="2"/>
  <c r="H487" i="2"/>
  <c r="J487" i="2"/>
  <c r="I487" i="2"/>
  <c r="J677" i="2"/>
  <c r="I677" i="2"/>
  <c r="H677" i="2"/>
  <c r="H255" i="2"/>
  <c r="J255" i="2" s="1"/>
  <c r="I255" i="2"/>
  <c r="J319" i="2"/>
  <c r="I319" i="2"/>
  <c r="H319" i="2"/>
  <c r="I328" i="2"/>
  <c r="H328" i="2"/>
  <c r="J328" i="2"/>
  <c r="I658" i="2"/>
  <c r="J658" i="2"/>
  <c r="H658" i="2"/>
  <c r="H771" i="2"/>
  <c r="I771" i="2"/>
  <c r="J771" i="2"/>
  <c r="I332" i="2"/>
  <c r="J332" i="2"/>
  <c r="H332" i="2"/>
  <c r="H307" i="2"/>
  <c r="J307" i="2"/>
  <c r="I307" i="2"/>
  <c r="J444" i="2"/>
  <c r="H444" i="2"/>
  <c r="I444" i="2"/>
  <c r="H731" i="2"/>
  <c r="I731" i="2"/>
  <c r="J731" i="2"/>
  <c r="I750" i="2"/>
  <c r="H750" i="2"/>
  <c r="J750" i="2"/>
  <c r="H627" i="2"/>
  <c r="I627" i="2"/>
  <c r="J627" i="2"/>
  <c r="H685" i="2"/>
  <c r="J685" i="2"/>
  <c r="I685" i="2"/>
  <c r="I374" i="2"/>
  <c r="J374" i="2"/>
  <c r="H374" i="2"/>
  <c r="I306" i="2"/>
  <c r="J306" i="2"/>
  <c r="H306" i="2"/>
  <c r="I505" i="2"/>
  <c r="J505" i="2"/>
  <c r="H505" i="2"/>
  <c r="I583" i="2"/>
  <c r="H583" i="2"/>
  <c r="J583" i="2"/>
  <c r="J287" i="2"/>
  <c r="H287" i="2"/>
  <c r="I287" i="2"/>
  <c r="E176" i="2"/>
  <c r="C176" i="2"/>
  <c r="D176" i="2"/>
  <c r="H567" i="2"/>
  <c r="I567" i="2"/>
  <c r="J567" i="2"/>
  <c r="H269" i="2"/>
  <c r="J269" i="2"/>
  <c r="I269" i="2"/>
  <c r="J400" i="2"/>
  <c r="H400" i="2"/>
  <c r="I400" i="2"/>
  <c r="E53" i="2"/>
  <c r="D53" i="2"/>
  <c r="C53" i="2"/>
  <c r="H720" i="2"/>
  <c r="I720" i="2"/>
  <c r="J720" i="2"/>
  <c r="C147" i="2"/>
  <c r="E147" i="2"/>
  <c r="D147" i="2"/>
  <c r="I245" i="2"/>
  <c r="H245" i="2"/>
  <c r="J245" i="2" s="1"/>
  <c r="I290" i="2"/>
  <c r="J290" i="2"/>
  <c r="H290" i="2"/>
  <c r="I483" i="2"/>
  <c r="J483" i="2"/>
  <c r="H483" i="2"/>
  <c r="J737" i="2"/>
  <c r="I737" i="2"/>
  <c r="H737" i="2"/>
  <c r="I496" i="2"/>
  <c r="H496" i="2"/>
  <c r="J496" i="2"/>
  <c r="I699" i="2"/>
  <c r="H699" i="2"/>
  <c r="J699" i="2"/>
  <c r="H304" i="2"/>
  <c r="J304" i="2"/>
  <c r="I304" i="2"/>
  <c r="I497" i="2"/>
  <c r="H497" i="2"/>
  <c r="J497" i="2"/>
  <c r="J758" i="2"/>
  <c r="I758" i="2"/>
  <c r="H758" i="2"/>
  <c r="H692" i="2"/>
  <c r="J692" i="2"/>
  <c r="I692" i="2"/>
  <c r="H754" i="2"/>
  <c r="I754" i="2"/>
  <c r="J754" i="2"/>
  <c r="H581" i="2"/>
  <c r="J581" i="2"/>
  <c r="I581" i="2"/>
  <c r="C17" i="2"/>
  <c r="D17" i="2"/>
  <c r="E17" i="2"/>
  <c r="I521" i="2"/>
  <c r="H521" i="2"/>
  <c r="J521" i="2"/>
  <c r="I223" i="2"/>
  <c r="I571" i="2"/>
  <c r="H571" i="2"/>
  <c r="J571" i="2"/>
  <c r="C16" i="2"/>
  <c r="E16" i="2"/>
  <c r="D16" i="2"/>
  <c r="H367" i="2"/>
  <c r="J367" i="2"/>
  <c r="I367" i="2"/>
  <c r="H479" i="2"/>
  <c r="J479" i="2"/>
  <c r="I479" i="2"/>
  <c r="I632" i="2"/>
  <c r="J632" i="2"/>
  <c r="H632" i="2"/>
  <c r="H562" i="2"/>
  <c r="I562" i="2"/>
  <c r="J562" i="2"/>
  <c r="I347" i="2"/>
  <c r="H347" i="2"/>
  <c r="J347" i="2"/>
  <c r="J426" i="2"/>
  <c r="I426" i="2"/>
  <c r="H426" i="2"/>
  <c r="H252" i="2"/>
  <c r="J252" i="2" s="1"/>
  <c r="I252" i="2"/>
  <c r="J553" i="2"/>
  <c r="H553" i="2"/>
  <c r="I553" i="2"/>
  <c r="D13" i="2"/>
  <c r="C13" i="2"/>
  <c r="E13" i="2"/>
  <c r="H262" i="2"/>
  <c r="J262" i="2" s="1"/>
  <c r="I262" i="2"/>
  <c r="I607" i="2"/>
  <c r="J607" i="2"/>
  <c r="H607" i="2"/>
  <c r="I370" i="2"/>
  <c r="H370" i="2"/>
  <c r="J370" i="2"/>
  <c r="J645" i="2"/>
  <c r="H645" i="2"/>
  <c r="I645" i="2"/>
  <c r="I247" i="2"/>
  <c r="H247" i="2"/>
  <c r="J247" i="2" s="1"/>
  <c r="I257" i="2"/>
  <c r="H257" i="2"/>
  <c r="J257" i="2" s="1"/>
  <c r="D136" i="2"/>
  <c r="E136" i="2"/>
  <c r="C136" i="2"/>
  <c r="I344" i="2"/>
  <c r="H344" i="2"/>
  <c r="J344" i="2"/>
  <c r="H227" i="2"/>
  <c r="J227" i="2" s="1"/>
  <c r="I227" i="2"/>
  <c r="I706" i="2"/>
  <c r="J706" i="2"/>
  <c r="H706" i="2"/>
  <c r="D189" i="2"/>
  <c r="C189" i="2"/>
  <c r="E189" i="2"/>
  <c r="J582" i="2"/>
  <c r="H582" i="2"/>
  <c r="I582" i="2"/>
  <c r="J667" i="2"/>
  <c r="I667" i="2"/>
  <c r="H667" i="2"/>
  <c r="I593" i="2"/>
  <c r="J593" i="2"/>
  <c r="H593" i="2"/>
  <c r="H345" i="2"/>
  <c r="J345" i="2"/>
  <c r="I345" i="2"/>
  <c r="J524" i="2"/>
  <c r="H524" i="2"/>
  <c r="I524" i="2"/>
  <c r="J289" i="2"/>
  <c r="I289" i="2"/>
  <c r="H289" i="2"/>
  <c r="D195" i="2"/>
  <c r="E195" i="2"/>
  <c r="C195" i="2"/>
  <c r="C196" i="2"/>
  <c r="D196" i="2"/>
  <c r="E196" i="2"/>
  <c r="D52" i="2"/>
  <c r="E52" i="2"/>
  <c r="C52" i="2"/>
  <c r="D224" i="2"/>
  <c r="C224" i="2"/>
  <c r="E224" i="2" s="1"/>
  <c r="C174" i="2"/>
  <c r="E174" i="2"/>
  <c r="D174" i="2"/>
  <c r="J744" i="2"/>
  <c r="I744" i="2"/>
  <c r="H744" i="2"/>
  <c r="D9" i="2"/>
  <c r="E9" i="2"/>
  <c r="C9" i="2"/>
  <c r="C61" i="2"/>
  <c r="D61" i="2"/>
  <c r="E61" i="2"/>
  <c r="C177" i="2"/>
  <c r="D177" i="2"/>
  <c r="E177" i="2"/>
  <c r="I528" i="2"/>
  <c r="H528" i="2"/>
  <c r="J528" i="2"/>
  <c r="I261" i="2"/>
  <c r="H261" i="2"/>
  <c r="J261" i="2" s="1"/>
  <c r="I618" i="2"/>
  <c r="J618" i="2"/>
  <c r="H618" i="2"/>
  <c r="J481" i="2"/>
  <c r="H481" i="2"/>
  <c r="I481" i="2"/>
  <c r="J384" i="2"/>
  <c r="I384" i="2"/>
  <c r="H384" i="2"/>
  <c r="H757" i="2"/>
  <c r="J757" i="2"/>
  <c r="I757" i="2"/>
  <c r="H580" i="2"/>
  <c r="I580" i="2"/>
  <c r="J580" i="2"/>
  <c r="J591" i="2"/>
  <c r="I591" i="2"/>
  <c r="H591" i="2"/>
  <c r="H465" i="2"/>
  <c r="J465" i="2"/>
  <c r="I465" i="2"/>
  <c r="H448" i="2"/>
  <c r="I448" i="2"/>
  <c r="J448" i="2"/>
  <c r="J423" i="2"/>
  <c r="I423" i="2"/>
  <c r="H423" i="2"/>
  <c r="H697" i="2"/>
  <c r="I697" i="2"/>
  <c r="J697" i="2"/>
  <c r="I774" i="2"/>
  <c r="H774" i="2"/>
  <c r="J774" i="2"/>
  <c r="C109" i="2"/>
  <c r="E109" i="2"/>
  <c r="D109" i="2"/>
  <c r="D21" i="2"/>
  <c r="E21" i="2"/>
  <c r="C21" i="2"/>
  <c r="C48" i="2"/>
  <c r="E48" i="2"/>
  <c r="D48" i="2"/>
  <c r="E120" i="2"/>
  <c r="C120" i="2"/>
  <c r="D120" i="2"/>
  <c r="C175" i="2"/>
  <c r="E175" i="2"/>
  <c r="D175" i="2"/>
  <c r="C94" i="2"/>
  <c r="D94" i="2"/>
  <c r="E94" i="2"/>
  <c r="C137" i="2"/>
  <c r="E137" i="2"/>
  <c r="D137" i="2"/>
  <c r="H493" i="2"/>
  <c r="J493" i="2"/>
  <c r="I493" i="2"/>
  <c r="I421" i="2"/>
  <c r="H421" i="2"/>
  <c r="J421" i="2"/>
  <c r="I534" i="2"/>
  <c r="H534" i="2"/>
  <c r="J534" i="2"/>
  <c r="J407" i="2"/>
  <c r="I407" i="2"/>
  <c r="H407" i="2"/>
  <c r="I293" i="2"/>
  <c r="H293" i="2"/>
  <c r="J293" i="2"/>
  <c r="H358" i="2"/>
  <c r="J358" i="2"/>
  <c r="I358" i="2"/>
  <c r="J473" i="2"/>
  <c r="I473" i="2"/>
  <c r="H473" i="2"/>
  <c r="J420" i="2"/>
  <c r="I420" i="2"/>
  <c r="H420" i="2"/>
  <c r="J681" i="2"/>
  <c r="H681" i="2"/>
  <c r="I681" i="2"/>
  <c r="J652" i="2"/>
  <c r="H652" i="2"/>
  <c r="I652" i="2"/>
  <c r="J764" i="2"/>
  <c r="H764" i="2"/>
  <c r="I764" i="2"/>
  <c r="H414" i="2"/>
  <c r="I414" i="2"/>
  <c r="J414" i="2"/>
  <c r="H602" i="2"/>
  <c r="J602" i="2"/>
  <c r="I602" i="2"/>
  <c r="D38" i="2"/>
  <c r="E38" i="2"/>
  <c r="C38" i="2"/>
  <c r="E15" i="2"/>
  <c r="C15" i="2"/>
  <c r="D15" i="2"/>
  <c r="C165" i="2"/>
  <c r="E165" i="2"/>
  <c r="D165" i="2"/>
  <c r="E111" i="2"/>
  <c r="D111" i="2"/>
  <c r="C111" i="2"/>
  <c r="E166" i="2"/>
  <c r="D166" i="2"/>
  <c r="C166" i="2"/>
  <c r="D19" i="2"/>
  <c r="E19" i="2"/>
  <c r="C19" i="2"/>
  <c r="C178" i="2"/>
  <c r="D178" i="2"/>
  <c r="E178" i="2"/>
  <c r="C86" i="2"/>
  <c r="D86" i="2"/>
  <c r="E86" i="2"/>
  <c r="E70" i="2"/>
  <c r="C70" i="2"/>
  <c r="D70" i="2"/>
  <c r="C119" i="2"/>
  <c r="E119" i="2"/>
  <c r="D119" i="2"/>
  <c r="C171" i="2"/>
  <c r="E171" i="2"/>
  <c r="D171" i="2"/>
  <c r="I641" i="2"/>
  <c r="J641" i="2"/>
  <c r="H641" i="2"/>
  <c r="J544" i="2"/>
  <c r="H544" i="2"/>
  <c r="I544" i="2"/>
  <c r="J429" i="2"/>
  <c r="H429" i="2"/>
  <c r="I429" i="2"/>
  <c r="I241" i="2"/>
  <c r="H241" i="2"/>
  <c r="J241" i="2" s="1"/>
  <c r="I763" i="2"/>
  <c r="J763" i="2"/>
  <c r="H763" i="2"/>
  <c r="H686" i="2"/>
  <c r="J686" i="2"/>
  <c r="I686" i="2"/>
  <c r="J619" i="2"/>
  <c r="I619" i="2"/>
  <c r="H619" i="2"/>
  <c r="I760" i="2"/>
  <c r="H760" i="2"/>
  <c r="J760" i="2"/>
  <c r="H608" i="2"/>
  <c r="J608" i="2"/>
  <c r="I608" i="2"/>
  <c r="H451" i="2"/>
  <c r="J451" i="2"/>
  <c r="I451" i="2"/>
  <c r="I314" i="2"/>
  <c r="H314" i="2"/>
  <c r="J314" i="2"/>
  <c r="D69" i="2"/>
  <c r="E69" i="2"/>
  <c r="C69" i="2"/>
  <c r="H333" i="2"/>
  <c r="J333" i="2"/>
  <c r="I333" i="2"/>
  <c r="E20" i="2"/>
  <c r="D20" i="2"/>
  <c r="C20" i="2"/>
  <c r="E188" i="2"/>
  <c r="D188" i="2"/>
  <c r="C188" i="2"/>
  <c r="E162" i="2"/>
  <c r="C162" i="2"/>
  <c r="D162" i="2"/>
  <c r="E51" i="2"/>
  <c r="D51" i="2"/>
  <c r="C51" i="2"/>
  <c r="C40" i="2"/>
  <c r="D40" i="2"/>
  <c r="E40" i="2"/>
  <c r="D55" i="2"/>
  <c r="C55" i="2"/>
  <c r="E55" i="2"/>
  <c r="C169" i="2"/>
  <c r="D169" i="2"/>
  <c r="E169" i="2"/>
  <c r="C161" i="2"/>
  <c r="D161" i="2"/>
  <c r="E161" i="2"/>
  <c r="E132" i="2"/>
  <c r="D132" i="2"/>
  <c r="C132" i="2"/>
  <c r="C49" i="2"/>
  <c r="D49" i="2"/>
  <c r="E49" i="2"/>
  <c r="D99" i="2"/>
  <c r="E99" i="2"/>
  <c r="C99" i="2"/>
  <c r="H394" i="2"/>
  <c r="J394" i="2"/>
  <c r="I394" i="2"/>
  <c r="H494" i="2"/>
  <c r="I494" i="2"/>
  <c r="J494" i="2"/>
  <c r="C31" i="2"/>
  <c r="E31" i="2"/>
  <c r="D31" i="2"/>
  <c r="J471" i="2"/>
  <c r="H471" i="2"/>
  <c r="I471" i="2"/>
  <c r="J460" i="2"/>
  <c r="I460" i="2"/>
  <c r="H460" i="2"/>
  <c r="J511" i="2"/>
  <c r="I511" i="2"/>
  <c r="H511" i="2"/>
  <c r="I372" i="2"/>
  <c r="J372" i="2"/>
  <c r="H372" i="2"/>
  <c r="H438" i="2"/>
  <c r="J438" i="2"/>
  <c r="I438" i="2"/>
  <c r="J735" i="2"/>
  <c r="I735" i="2"/>
  <c r="H735" i="2"/>
  <c r="H281" i="2"/>
  <c r="I281" i="2"/>
  <c r="J281" i="2"/>
  <c r="H611" i="2"/>
  <c r="J611" i="2"/>
  <c r="I611" i="2"/>
  <c r="H419" i="2"/>
  <c r="I419" i="2"/>
  <c r="J419" i="2"/>
  <c r="H342" i="2"/>
  <c r="J342" i="2"/>
  <c r="I342" i="2"/>
  <c r="H713" i="2"/>
  <c r="I713" i="2"/>
  <c r="J713" i="2"/>
  <c r="H354" i="2"/>
  <c r="I354" i="2"/>
  <c r="J354" i="2"/>
  <c r="H259" i="2"/>
  <c r="J259" i="2" s="1"/>
  <c r="I259" i="2"/>
  <c r="I427" i="2"/>
  <c r="J427" i="2"/>
  <c r="H427" i="2"/>
  <c r="J490" i="2"/>
  <c r="I490" i="2"/>
  <c r="H490" i="2"/>
  <c r="H409" i="2"/>
  <c r="J409" i="2"/>
  <c r="I409" i="2"/>
  <c r="E28" i="2"/>
  <c r="C28" i="2"/>
  <c r="D28" i="2"/>
  <c r="H683" i="2"/>
  <c r="J683" i="2"/>
  <c r="I683" i="2"/>
  <c r="E80" i="2"/>
  <c r="C80" i="2"/>
  <c r="D80" i="2"/>
  <c r="J334" i="2"/>
  <c r="I334" i="2"/>
  <c r="H334" i="2"/>
  <c r="H467" i="2"/>
  <c r="I467" i="2"/>
  <c r="J467" i="2"/>
  <c r="H339" i="2"/>
  <c r="J339" i="2"/>
  <c r="I339" i="2"/>
  <c r="J464" i="2"/>
  <c r="I464" i="2"/>
  <c r="H464" i="2"/>
  <c r="I687" i="2"/>
  <c r="H687" i="2"/>
  <c r="J687" i="2"/>
  <c r="J701" i="2"/>
  <c r="H701" i="2"/>
  <c r="I701" i="2"/>
  <c r="H502" i="2"/>
  <c r="J502" i="2"/>
  <c r="I502" i="2"/>
  <c r="J666" i="2"/>
  <c r="H666" i="2"/>
  <c r="I666" i="2"/>
  <c r="H728" i="2"/>
  <c r="J728" i="2"/>
  <c r="I728" i="2"/>
  <c r="H705" i="2"/>
  <c r="J705" i="2"/>
  <c r="I705" i="2"/>
  <c r="H365" i="2"/>
  <c r="J365" i="2"/>
  <c r="I365" i="2"/>
  <c r="J628" i="2"/>
  <c r="H628" i="2"/>
  <c r="I628" i="2"/>
  <c r="I617" i="2"/>
  <c r="H617" i="2"/>
  <c r="J617" i="2"/>
  <c r="J747" i="2"/>
  <c r="H747" i="2"/>
  <c r="I747" i="2"/>
  <c r="H723" i="2"/>
  <c r="I723" i="2"/>
  <c r="J723" i="2"/>
  <c r="H434" i="2"/>
  <c r="J434" i="2"/>
  <c r="I434" i="2"/>
  <c r="I301" i="2"/>
  <c r="H301" i="2"/>
  <c r="J301" i="2"/>
  <c r="J558" i="2"/>
  <c r="H558" i="2"/>
  <c r="I558" i="2"/>
  <c r="C126" i="2"/>
  <c r="D126" i="2"/>
  <c r="E126" i="2"/>
  <c r="J603" i="2"/>
  <c r="H603" i="2"/>
  <c r="I603" i="2"/>
  <c r="J504" i="2"/>
  <c r="H504" i="2"/>
  <c r="I504" i="2"/>
  <c r="J637" i="2"/>
  <c r="I637" i="2"/>
  <c r="H637" i="2"/>
  <c r="H246" i="2"/>
  <c r="J246" i="2" s="1"/>
  <c r="I246" i="2"/>
  <c r="H379" i="2"/>
  <c r="J379" i="2"/>
  <c r="I379" i="2"/>
  <c r="H661" i="2"/>
  <c r="I661" i="2"/>
  <c r="J661" i="2"/>
  <c r="I256" i="2"/>
  <c r="H256" i="2"/>
  <c r="J256" i="2" s="1"/>
  <c r="J660" i="2"/>
  <c r="H660" i="2"/>
  <c r="I660" i="2"/>
  <c r="J361" i="2"/>
  <c r="I361" i="2"/>
  <c r="H361" i="2"/>
  <c r="H649" i="2"/>
  <c r="J649" i="2"/>
  <c r="I649" i="2"/>
  <c r="I320" i="2"/>
  <c r="J320" i="2"/>
  <c r="H320" i="2"/>
  <c r="D101" i="2"/>
  <c r="C101" i="2"/>
  <c r="E101" i="2"/>
  <c r="I538" i="2"/>
  <c r="J538" i="2"/>
  <c r="H538" i="2"/>
  <c r="H254" i="2"/>
  <c r="J254" i="2" s="1"/>
  <c r="I254" i="2"/>
  <c r="H690" i="2"/>
  <c r="I690" i="2"/>
  <c r="J690" i="2"/>
  <c r="I559" i="2"/>
  <c r="J559" i="2"/>
  <c r="H559" i="2"/>
  <c r="I470" i="2"/>
  <c r="H470" i="2"/>
  <c r="J470" i="2"/>
  <c r="H541" i="2"/>
  <c r="I541" i="2"/>
  <c r="J541" i="2"/>
  <c r="J376" i="2"/>
  <c r="H376" i="2"/>
  <c r="I376" i="2"/>
  <c r="I244" i="2"/>
  <c r="H244" i="2"/>
  <c r="J244" i="2" s="1"/>
  <c r="H586" i="2"/>
  <c r="I586" i="2"/>
  <c r="J586" i="2"/>
  <c r="I362" i="2"/>
  <c r="H362" i="2"/>
  <c r="J362" i="2"/>
  <c r="I749" i="2"/>
  <c r="J749" i="2"/>
  <c r="H749" i="2"/>
  <c r="J609" i="2"/>
  <c r="H609" i="2"/>
  <c r="I609" i="2"/>
  <c r="H282" i="2"/>
  <c r="J282" i="2"/>
  <c r="I282" i="2"/>
  <c r="I638" i="2"/>
  <c r="J638" i="2"/>
  <c r="H638" i="2"/>
  <c r="J416" i="2"/>
  <c r="H416" i="2"/>
  <c r="I416" i="2"/>
  <c r="I392" i="2"/>
  <c r="H392" i="2"/>
  <c r="J392" i="2"/>
  <c r="C82" i="2"/>
  <c r="E82" i="2"/>
  <c r="D82" i="2"/>
  <c r="H357" i="2"/>
  <c r="I357" i="2"/>
  <c r="J357" i="2"/>
  <c r="D168" i="2"/>
  <c r="C168" i="2"/>
  <c r="E168" i="2"/>
  <c r="I405" i="2"/>
  <c r="J405" i="2"/>
  <c r="H405" i="2"/>
  <c r="H708" i="2"/>
  <c r="J708" i="2"/>
  <c r="I708" i="2"/>
  <c r="J309" i="2"/>
  <c r="H309" i="2"/>
  <c r="I309" i="2"/>
  <c r="J474" i="2"/>
  <c r="I474" i="2"/>
  <c r="H474" i="2"/>
  <c r="I615" i="2"/>
  <c r="H615" i="2"/>
  <c r="J615" i="2"/>
  <c r="H489" i="2"/>
  <c r="I489" i="2"/>
  <c r="J489" i="2"/>
  <c r="I543" i="2"/>
  <c r="J543" i="2"/>
  <c r="H543" i="2"/>
  <c r="I587" i="2"/>
  <c r="J587" i="2"/>
  <c r="H587" i="2"/>
  <c r="J380" i="2"/>
  <c r="I380" i="2"/>
  <c r="H380" i="2"/>
  <c r="J509" i="2"/>
  <c r="I509" i="2"/>
  <c r="H509" i="2"/>
  <c r="D167" i="2"/>
  <c r="C167" i="2"/>
  <c r="E167" i="2"/>
  <c r="D85" i="2"/>
  <c r="C85" i="2"/>
  <c r="E85" i="2"/>
  <c r="H604" i="2"/>
  <c r="I604" i="2"/>
  <c r="J604" i="2"/>
  <c r="J267" i="2"/>
  <c r="H267" i="2"/>
  <c r="I267" i="2"/>
  <c r="D106" i="2"/>
  <c r="E106" i="2"/>
  <c r="C106" i="2"/>
  <c r="H468" i="2"/>
  <c r="I468" i="2"/>
  <c r="J468" i="2"/>
  <c r="J433" i="2"/>
  <c r="I433" i="2"/>
  <c r="H433" i="2"/>
  <c r="J482" i="2"/>
  <c r="I482" i="2"/>
  <c r="H482" i="2"/>
  <c r="I703" i="2"/>
  <c r="H703" i="2"/>
  <c r="J703" i="2"/>
  <c r="J563" i="2"/>
  <c r="I563" i="2"/>
  <c r="H563" i="2"/>
  <c r="H740" i="2"/>
  <c r="I740" i="2"/>
  <c r="J740" i="2"/>
  <c r="J691" i="2"/>
  <c r="I691" i="2"/>
  <c r="H691" i="2"/>
  <c r="H694" i="2"/>
  <c r="J694" i="2"/>
  <c r="I694" i="2"/>
  <c r="H495" i="2"/>
  <c r="I495" i="2"/>
  <c r="J495" i="2"/>
  <c r="I648" i="2"/>
  <c r="J648" i="2"/>
  <c r="H648" i="2"/>
  <c r="J377" i="2"/>
  <c r="H377" i="2"/>
  <c r="I377" i="2"/>
  <c r="J656" i="2"/>
  <c r="I656" i="2"/>
  <c r="H656" i="2"/>
  <c r="H537" i="2"/>
  <c r="I537" i="2"/>
  <c r="J537" i="2"/>
  <c r="H578" i="2"/>
  <c r="J578" i="2"/>
  <c r="I578" i="2"/>
  <c r="J629" i="2"/>
  <c r="H629" i="2"/>
  <c r="I629" i="2"/>
  <c r="D158" i="2"/>
  <c r="E158" i="2"/>
  <c r="C158" i="2"/>
  <c r="H472" i="2"/>
  <c r="J472" i="2"/>
  <c r="I472" i="2"/>
  <c r="H288" i="2"/>
  <c r="I288" i="2"/>
  <c r="J288" i="2"/>
  <c r="I408" i="2"/>
  <c r="J408" i="2"/>
  <c r="H408" i="2"/>
  <c r="C46" i="2"/>
  <c r="E46" i="2"/>
  <c r="D46" i="2"/>
  <c r="I671" i="2"/>
  <c r="J671" i="2"/>
  <c r="H671" i="2"/>
  <c r="I606" i="2"/>
  <c r="J606" i="2"/>
  <c r="H606" i="2"/>
  <c r="I387" i="2"/>
  <c r="J387" i="2"/>
  <c r="H387" i="2"/>
  <c r="J291" i="2"/>
  <c r="H291" i="2"/>
  <c r="I291" i="2"/>
  <c r="J385" i="2"/>
  <c r="I385" i="2"/>
  <c r="H385" i="2"/>
  <c r="H446" i="2"/>
  <c r="I446" i="2"/>
  <c r="J446" i="2"/>
  <c r="D191" i="2"/>
  <c r="E191" i="2"/>
  <c r="C191" i="2"/>
  <c r="O240" i="2"/>
  <c r="F175" i="2"/>
  <c r="G175" i="2" s="1"/>
  <c r="F169" i="2"/>
  <c r="G169" i="2" s="1"/>
  <c r="F160" i="2"/>
  <c r="G160" i="2" s="1"/>
  <c r="F176" i="2"/>
  <c r="G176" i="2" s="1"/>
  <c r="F183" i="2"/>
  <c r="G183" i="2" s="1"/>
  <c r="F172" i="2"/>
  <c r="G172" i="2" s="1"/>
  <c r="F142" i="2"/>
  <c r="G142" i="2" s="1"/>
  <c r="F133" i="2"/>
  <c r="G133" i="2" s="1"/>
  <c r="F148" i="2"/>
  <c r="G148" i="2" s="1"/>
  <c r="F130" i="2"/>
  <c r="G130" i="2" s="1"/>
  <c r="F132" i="2"/>
  <c r="G132" i="2" s="1"/>
  <c r="F153" i="2"/>
  <c r="G153" i="2" s="1"/>
  <c r="F140" i="2"/>
  <c r="G140" i="2" s="1"/>
  <c r="F127" i="2"/>
  <c r="G127" i="2" s="1"/>
  <c r="F188" i="2"/>
  <c r="G188" i="2" s="1"/>
  <c r="F167" i="2"/>
  <c r="G167" i="2" s="1"/>
  <c r="F151" i="2"/>
  <c r="G151" i="2" s="1"/>
  <c r="F147" i="2"/>
  <c r="G147" i="2" s="1"/>
  <c r="F149" i="2"/>
  <c r="G149" i="2" s="1"/>
  <c r="F145" i="2"/>
  <c r="G145" i="2" s="1"/>
  <c r="F150" i="2"/>
  <c r="G150" i="2" s="1"/>
  <c r="F186" i="2"/>
  <c r="G186" i="2" s="1"/>
  <c r="F171" i="2"/>
  <c r="G171" i="2" s="1"/>
  <c r="F166" i="2"/>
  <c r="G166" i="2" s="1"/>
  <c r="F163" i="2"/>
  <c r="G163" i="2" s="1"/>
  <c r="F129" i="2"/>
  <c r="G129" i="2" s="1"/>
  <c r="F139" i="2"/>
  <c r="G139" i="2" s="1"/>
  <c r="F157" i="2"/>
  <c r="G157" i="2" s="1"/>
  <c r="F185" i="2"/>
  <c r="G185" i="2" s="1"/>
  <c r="F168" i="2"/>
  <c r="G168" i="2" s="1"/>
  <c r="F161" i="2"/>
  <c r="G161" i="2" s="1"/>
  <c r="F179" i="2"/>
  <c r="G179" i="2" s="1"/>
  <c r="F155" i="2"/>
  <c r="G155" i="2" s="1"/>
  <c r="F135" i="2"/>
  <c r="G135" i="2" s="1"/>
  <c r="F152" i="2"/>
  <c r="G152" i="2" s="1"/>
  <c r="F189" i="2"/>
  <c r="G189" i="2" s="1"/>
  <c r="F165" i="2"/>
  <c r="G165" i="2" s="1"/>
  <c r="F164" i="2"/>
  <c r="G164" i="2" s="1"/>
  <c r="F182" i="2"/>
  <c r="G182" i="2" s="1"/>
  <c r="F177" i="2"/>
  <c r="G177" i="2" s="1"/>
  <c r="F178" i="2"/>
  <c r="G178" i="2" s="1"/>
  <c r="F184" i="2"/>
  <c r="G184" i="2" s="1"/>
  <c r="F134" i="2"/>
  <c r="G134" i="2" s="1"/>
  <c r="F136" i="2"/>
  <c r="G136" i="2" s="1"/>
  <c r="F144" i="2"/>
  <c r="G144" i="2" s="1"/>
  <c r="F170" i="2"/>
  <c r="G170" i="2" s="1"/>
  <c r="F131" i="2"/>
  <c r="G131" i="2" s="1"/>
  <c r="F154" i="2"/>
  <c r="G154" i="2" s="1"/>
  <c r="F143" i="2"/>
  <c r="G143" i="2" s="1"/>
  <c r="F187" i="2"/>
  <c r="G187" i="2" s="1"/>
  <c r="F180" i="2"/>
  <c r="G180" i="2" s="1"/>
  <c r="F159" i="2"/>
  <c r="G159" i="2" s="1"/>
  <c r="F126" i="2"/>
  <c r="G126" i="2" s="1"/>
  <c r="F138" i="2"/>
  <c r="G138" i="2" s="1"/>
  <c r="F128" i="2"/>
  <c r="G128" i="2" s="1"/>
  <c r="F191" i="2"/>
  <c r="G191" i="2" s="1"/>
  <c r="F174" i="2"/>
  <c r="G174" i="2" s="1"/>
  <c r="F158" i="2"/>
  <c r="G158" i="2" s="1"/>
  <c r="F173" i="2"/>
  <c r="G173" i="2" s="1"/>
  <c r="F156" i="2"/>
  <c r="G156" i="2" s="1"/>
  <c r="F141" i="2"/>
  <c r="G141" i="2" s="1"/>
  <c r="F162" i="2"/>
  <c r="G162" i="2" s="1"/>
  <c r="F181" i="2"/>
  <c r="G181" i="2" s="1"/>
  <c r="F137" i="2"/>
  <c r="G137" i="2" s="1"/>
  <c r="F146" i="2"/>
  <c r="G146" i="2" s="1"/>
  <c r="F196" i="2"/>
  <c r="G196" i="2" s="1"/>
  <c r="F192" i="2"/>
  <c r="G192" i="2" s="1"/>
  <c r="F194" i="2"/>
  <c r="G194" i="2" s="1"/>
  <c r="F190" i="2"/>
  <c r="G190" i="2" s="1"/>
  <c r="F195" i="2"/>
  <c r="G195" i="2" s="1"/>
  <c r="F193" i="2"/>
  <c r="G193" i="2" s="1"/>
  <c r="F122" i="2"/>
  <c r="G122" i="2" s="1"/>
  <c r="F123" i="2"/>
  <c r="G123" i="2" s="1"/>
  <c r="F124" i="2"/>
  <c r="G124" i="2" s="1"/>
  <c r="F121" i="2"/>
  <c r="G121" i="2" s="1"/>
  <c r="F120" i="2"/>
  <c r="G120" i="2" s="1"/>
  <c r="F117" i="2"/>
  <c r="G117" i="2" s="1"/>
  <c r="F118" i="2"/>
  <c r="G118" i="2" s="1"/>
  <c r="F119" i="2"/>
  <c r="G119" i="2" s="1"/>
  <c r="F125" i="2"/>
  <c r="G125" i="2" s="1"/>
  <c r="A85" i="5"/>
  <c r="B85" i="5" s="1"/>
  <c r="I230" i="2" l="1"/>
  <c r="I229" i="2"/>
  <c r="D210" i="2"/>
  <c r="O50" i="2"/>
  <c r="O146" i="2" s="1"/>
  <c r="O242" i="2" s="1"/>
  <c r="A383" i="2" s="1"/>
  <c r="B383" i="2" s="1"/>
  <c r="V47" i="5"/>
  <c r="F209" i="2"/>
  <c r="G209" i="2" s="1"/>
  <c r="F199" i="2"/>
  <c r="G199" i="2" s="1"/>
  <c r="F205" i="2"/>
  <c r="G205" i="2" s="1"/>
  <c r="F216" i="2"/>
  <c r="G216" i="2" s="1"/>
  <c r="F211" i="2"/>
  <c r="G211" i="2" s="1"/>
  <c r="F198" i="2"/>
  <c r="G198" i="2" s="1"/>
  <c r="F203" i="2"/>
  <c r="G203" i="2" s="1"/>
  <c r="F214" i="2"/>
  <c r="G214" i="2" s="1"/>
  <c r="F215" i="2"/>
  <c r="G215" i="2" s="1"/>
  <c r="F207" i="2"/>
  <c r="G207" i="2" s="1"/>
  <c r="F197" i="2"/>
  <c r="G197" i="2" s="1"/>
  <c r="F220" i="2"/>
  <c r="G220" i="2" s="1"/>
  <c r="F213" i="2"/>
  <c r="G213" i="2" s="1"/>
  <c r="F206" i="2"/>
  <c r="G206" i="2" s="1"/>
  <c r="F204" i="2"/>
  <c r="G204" i="2" s="1"/>
  <c r="F217" i="2"/>
  <c r="G217" i="2" s="1"/>
  <c r="F202" i="2"/>
  <c r="G202" i="2" s="1"/>
  <c r="F212" i="2"/>
  <c r="G212" i="2" s="1"/>
  <c r="F210" i="2"/>
  <c r="G210" i="2" s="1"/>
  <c r="F201" i="2"/>
  <c r="G201" i="2" s="1"/>
  <c r="F200" i="2"/>
  <c r="G200" i="2" s="1"/>
  <c r="F208" i="2"/>
  <c r="G208" i="2" s="1"/>
  <c r="F218" i="2"/>
  <c r="G218" i="2" s="1"/>
  <c r="D205" i="2"/>
  <c r="C214" i="2"/>
  <c r="E214" i="2" s="1"/>
  <c r="C208" i="2"/>
  <c r="E208" i="2" s="1"/>
  <c r="H224" i="2"/>
  <c r="J224" i="2" s="1"/>
  <c r="L224" i="2" s="1"/>
  <c r="A224" i="4" s="1"/>
  <c r="D197" i="2"/>
  <c r="C197" i="2"/>
  <c r="C213" i="2"/>
  <c r="E213" i="2" s="1"/>
  <c r="D201" i="2"/>
  <c r="C216" i="2"/>
  <c r="E216" i="2" s="1"/>
  <c r="I222" i="2"/>
  <c r="D200" i="2"/>
  <c r="H55" i="2"/>
  <c r="J55" i="2" s="1"/>
  <c r="M55" i="2" s="1"/>
  <c r="C55" i="4" s="1"/>
  <c r="D55" i="4" s="1"/>
  <c r="I55" i="2"/>
  <c r="I84" i="2"/>
  <c r="H84" i="2"/>
  <c r="J84" i="2" s="1"/>
  <c r="M84" i="2" s="1"/>
  <c r="C84" i="4" s="1"/>
  <c r="D84" i="4" s="1"/>
  <c r="H51" i="2"/>
  <c r="J51" i="2" s="1"/>
  <c r="L51" i="2" s="1"/>
  <c r="A51" i="4" s="1"/>
  <c r="I51" i="2"/>
  <c r="I85" i="2"/>
  <c r="H85" i="2"/>
  <c r="J85" i="2" s="1"/>
  <c r="K85" i="2" s="1"/>
  <c r="B85" i="4" s="1"/>
  <c r="I101" i="2"/>
  <c r="H101" i="2"/>
  <c r="J101" i="2" s="1"/>
  <c r="H46" i="2"/>
  <c r="J46" i="2" s="1"/>
  <c r="M46" i="2" s="1"/>
  <c r="C46" i="4" s="1"/>
  <c r="D46" i="4" s="1"/>
  <c r="I46" i="2"/>
  <c r="H115" i="2"/>
  <c r="J115" i="2" s="1"/>
  <c r="M115" i="2" s="1"/>
  <c r="C115" i="4" s="1"/>
  <c r="D115" i="4" s="1"/>
  <c r="I115" i="2"/>
  <c r="H37" i="2"/>
  <c r="J37" i="2" s="1"/>
  <c r="I37" i="2"/>
  <c r="I18" i="2"/>
  <c r="H18" i="2"/>
  <c r="J18" i="2" s="1"/>
  <c r="H87" i="2"/>
  <c r="J87" i="2" s="1"/>
  <c r="L87" i="2" s="1"/>
  <c r="A87" i="4" s="1"/>
  <c r="I87" i="2"/>
  <c r="I67" i="2"/>
  <c r="H67" i="2"/>
  <c r="J67" i="2" s="1"/>
  <c r="H25" i="2"/>
  <c r="J25" i="2" s="1"/>
  <c r="L25" i="2" s="1"/>
  <c r="A25" i="4" s="1"/>
  <c r="I25" i="2"/>
  <c r="H40" i="2"/>
  <c r="J40" i="2" s="1"/>
  <c r="L40" i="2" s="1"/>
  <c r="A40" i="4" s="1"/>
  <c r="I40" i="2"/>
  <c r="H33" i="2"/>
  <c r="J33" i="2" s="1"/>
  <c r="I33" i="2"/>
  <c r="I60" i="2"/>
  <c r="H60" i="2"/>
  <c r="J60" i="2" s="1"/>
  <c r="I73" i="2"/>
  <c r="H73" i="2"/>
  <c r="J73" i="2" s="1"/>
  <c r="M73" i="2" s="1"/>
  <c r="C73" i="4" s="1"/>
  <c r="D73" i="4" s="1"/>
  <c r="I20" i="2"/>
  <c r="H20" i="2"/>
  <c r="J20" i="2" s="1"/>
  <c r="H109" i="2"/>
  <c r="J109" i="2" s="1"/>
  <c r="M109" i="2" s="1"/>
  <c r="C113" i="4" s="1"/>
  <c r="D113" i="4" s="1"/>
  <c r="I109" i="2"/>
  <c r="H56" i="2"/>
  <c r="J56" i="2" s="1"/>
  <c r="I56" i="2"/>
  <c r="H22" i="2"/>
  <c r="J22" i="2" s="1"/>
  <c r="M22" i="2" s="1"/>
  <c r="C22" i="4" s="1"/>
  <c r="D22" i="4" s="1"/>
  <c r="I22" i="2"/>
  <c r="I49" i="2"/>
  <c r="H49" i="2"/>
  <c r="J49" i="2" s="1"/>
  <c r="I66" i="2"/>
  <c r="H66" i="2"/>
  <c r="J66" i="2" s="1"/>
  <c r="H41" i="2"/>
  <c r="J41" i="2" s="1"/>
  <c r="K41" i="2" s="1"/>
  <c r="B41" i="4" s="1"/>
  <c r="I41" i="2"/>
  <c r="H94" i="2"/>
  <c r="J94" i="2" s="1"/>
  <c r="M94" i="2" s="1"/>
  <c r="C94" i="4" s="1"/>
  <c r="D94" i="4" s="1"/>
  <c r="I94" i="2"/>
  <c r="H62" i="2"/>
  <c r="J62" i="2" s="1"/>
  <c r="L62" i="2" s="1"/>
  <c r="A62" i="4" s="1"/>
  <c r="I62" i="2"/>
  <c r="I93" i="2"/>
  <c r="H93" i="2"/>
  <c r="J93" i="2" s="1"/>
  <c r="M93" i="2" s="1"/>
  <c r="C93" i="4" s="1"/>
  <c r="D93" i="4" s="1"/>
  <c r="H116" i="2"/>
  <c r="J116" i="2" s="1"/>
  <c r="I116" i="2"/>
  <c r="H77" i="2"/>
  <c r="J77" i="2" s="1"/>
  <c r="I77" i="2"/>
  <c r="H105" i="2"/>
  <c r="J105" i="2" s="1"/>
  <c r="M105" i="2" s="1"/>
  <c r="C105" i="4" s="1"/>
  <c r="D105" i="4" s="1"/>
  <c r="I105" i="2"/>
  <c r="H74" i="2"/>
  <c r="J74" i="2" s="1"/>
  <c r="I74" i="2"/>
  <c r="I70" i="2"/>
  <c r="H70" i="2"/>
  <c r="J70" i="2" s="1"/>
  <c r="M70" i="2" s="1"/>
  <c r="C70" i="4" s="1"/>
  <c r="D70" i="4" s="1"/>
  <c r="H47" i="2"/>
  <c r="J47" i="2" s="1"/>
  <c r="I47" i="2"/>
  <c r="H112" i="2"/>
  <c r="J112" i="2" s="1"/>
  <c r="M112" i="2" s="1"/>
  <c r="C112" i="4" s="1"/>
  <c r="D112" i="4" s="1"/>
  <c r="I112" i="2"/>
  <c r="H97" i="2"/>
  <c r="J97" i="2" s="1"/>
  <c r="I97" i="2"/>
  <c r="H59" i="2"/>
  <c r="J59" i="2" s="1"/>
  <c r="K59" i="2" s="1"/>
  <c r="B59" i="4" s="1"/>
  <c r="I59" i="2"/>
  <c r="I113" i="2"/>
  <c r="H113" i="2"/>
  <c r="J113" i="2" s="1"/>
  <c r="L113" i="2" s="1"/>
  <c r="A173" i="4" s="1"/>
  <c r="H45" i="2"/>
  <c r="J45" i="2" s="1"/>
  <c r="L45" i="2" s="1"/>
  <c r="A45" i="4" s="1"/>
  <c r="I45" i="2"/>
  <c r="I88" i="2"/>
  <c r="H88" i="2"/>
  <c r="J88" i="2" s="1"/>
  <c r="L88" i="2" s="1"/>
  <c r="A88" i="4" s="1"/>
  <c r="I79" i="2"/>
  <c r="H79" i="2"/>
  <c r="J79" i="2" s="1"/>
  <c r="M79" i="2" s="1"/>
  <c r="C79" i="4" s="1"/>
  <c r="D79" i="4" s="1"/>
  <c r="H19" i="2"/>
  <c r="J19" i="2" s="1"/>
  <c r="I19" i="2"/>
  <c r="I42" i="2"/>
  <c r="H42" i="2"/>
  <c r="J42" i="2" s="1"/>
  <c r="I83" i="2"/>
  <c r="H83" i="2"/>
  <c r="J83" i="2" s="1"/>
  <c r="L83" i="2" s="1"/>
  <c r="A83" i="4" s="1"/>
  <c r="H54" i="2"/>
  <c r="J54" i="2" s="1"/>
  <c r="K54" i="2" s="1"/>
  <c r="B54" i="4" s="1"/>
  <c r="I54" i="2"/>
  <c r="I82" i="2"/>
  <c r="H82" i="2"/>
  <c r="J82" i="2" s="1"/>
  <c r="M82" i="2" s="1"/>
  <c r="C82" i="4" s="1"/>
  <c r="D82" i="4" s="1"/>
  <c r="I23" i="2"/>
  <c r="H23" i="2"/>
  <c r="J23" i="2" s="1"/>
  <c r="H69" i="2"/>
  <c r="J69" i="2" s="1"/>
  <c r="I69" i="2"/>
  <c r="H64" i="2"/>
  <c r="J64" i="2" s="1"/>
  <c r="L64" i="2" s="1"/>
  <c r="A64" i="4" s="1"/>
  <c r="I64" i="2"/>
  <c r="I53" i="2"/>
  <c r="H53" i="2"/>
  <c r="J53" i="2" s="1"/>
  <c r="H28" i="2"/>
  <c r="J28" i="2" s="1"/>
  <c r="I28" i="2"/>
  <c r="I86" i="2"/>
  <c r="H86" i="2"/>
  <c r="J86" i="2" s="1"/>
  <c r="L86" i="2" s="1"/>
  <c r="A86" i="4" s="1"/>
  <c r="H24" i="2"/>
  <c r="J24" i="2" s="1"/>
  <c r="L24" i="2" s="1"/>
  <c r="A24" i="4" s="1"/>
  <c r="I24" i="2"/>
  <c r="H111" i="2"/>
  <c r="J111" i="2" s="1"/>
  <c r="I111" i="2"/>
  <c r="H58" i="2"/>
  <c r="J58" i="2" s="1"/>
  <c r="K58" i="2" s="1"/>
  <c r="B58" i="4" s="1"/>
  <c r="I58" i="2"/>
  <c r="I81" i="2"/>
  <c r="H81" i="2"/>
  <c r="J81" i="2" s="1"/>
  <c r="I38" i="2"/>
  <c r="H38" i="2"/>
  <c r="J38" i="2" s="1"/>
  <c r="L38" i="2" s="1"/>
  <c r="A38" i="4" s="1"/>
  <c r="H103" i="2"/>
  <c r="J103" i="2" s="1"/>
  <c r="I103" i="2"/>
  <c r="I27" i="2"/>
  <c r="H27" i="2"/>
  <c r="J27" i="2" s="1"/>
  <c r="M27" i="2" s="1"/>
  <c r="C27" i="4" s="1"/>
  <c r="D27" i="4" s="1"/>
  <c r="H91" i="2"/>
  <c r="J91" i="2" s="1"/>
  <c r="I91" i="2"/>
  <c r="H57" i="2"/>
  <c r="J57" i="2" s="1"/>
  <c r="L57" i="2" s="1"/>
  <c r="A57" i="4" s="1"/>
  <c r="I57" i="2"/>
  <c r="H35" i="2"/>
  <c r="J35" i="2" s="1"/>
  <c r="I35" i="2"/>
  <c r="I75" i="2"/>
  <c r="H75" i="2"/>
  <c r="J75" i="2" s="1"/>
  <c r="M75" i="2" s="1"/>
  <c r="C75" i="4" s="1"/>
  <c r="D75" i="4" s="1"/>
  <c r="H50" i="2"/>
  <c r="J50" i="2" s="1"/>
  <c r="I50" i="2"/>
  <c r="I80" i="2"/>
  <c r="H80" i="2"/>
  <c r="J80" i="2" s="1"/>
  <c r="L80" i="2" s="1"/>
  <c r="A80" i="4" s="1"/>
  <c r="I110" i="2"/>
  <c r="H110" i="2"/>
  <c r="J110" i="2" s="1"/>
  <c r="L110" i="2" s="1"/>
  <c r="A110" i="4" s="1"/>
  <c r="H102" i="2"/>
  <c r="J102" i="2" s="1"/>
  <c r="L102" i="2" s="1"/>
  <c r="A102" i="4" s="1"/>
  <c r="I102" i="2"/>
  <c r="H43" i="2"/>
  <c r="J43" i="2" s="1"/>
  <c r="I43" i="2"/>
  <c r="H104" i="2"/>
  <c r="J104" i="2" s="1"/>
  <c r="L104" i="2" s="1"/>
  <c r="A104" i="4" s="1"/>
  <c r="I104" i="2"/>
  <c r="H68" i="2"/>
  <c r="J68" i="2" s="1"/>
  <c r="I68" i="2"/>
  <c r="I65" i="2"/>
  <c r="H65" i="2"/>
  <c r="J65" i="2" s="1"/>
  <c r="L65" i="2" s="1"/>
  <c r="A65" i="4" s="1"/>
  <c r="H30" i="2"/>
  <c r="J30" i="2" s="1"/>
  <c r="I30" i="2"/>
  <c r="H21" i="2"/>
  <c r="J21" i="2" s="1"/>
  <c r="M21" i="2" s="1"/>
  <c r="C21" i="4" s="1"/>
  <c r="D21" i="4" s="1"/>
  <c r="I21" i="2"/>
  <c r="I90" i="2"/>
  <c r="H90" i="2"/>
  <c r="J90" i="2" s="1"/>
  <c r="L90" i="2" s="1"/>
  <c r="A90" i="4" s="1"/>
  <c r="H48" i="2"/>
  <c r="J48" i="2" s="1"/>
  <c r="L48" i="2" s="1"/>
  <c r="A48" i="4" s="1"/>
  <c r="I48" i="2"/>
  <c r="I63" i="2"/>
  <c r="H63" i="2"/>
  <c r="J63" i="2" s="1"/>
  <c r="I96" i="2"/>
  <c r="H96" i="2"/>
  <c r="J96" i="2" s="1"/>
  <c r="M96" i="2" s="1"/>
  <c r="C96" i="4" s="1"/>
  <c r="D96" i="4" s="1"/>
  <c r="I95" i="2"/>
  <c r="H95" i="2"/>
  <c r="J95" i="2" s="1"/>
  <c r="M95" i="2" s="1"/>
  <c r="C95" i="4" s="1"/>
  <c r="D95" i="4" s="1"/>
  <c r="I92" i="2"/>
  <c r="H92" i="2"/>
  <c r="J92" i="2" s="1"/>
  <c r="L92" i="2" s="1"/>
  <c r="A92" i="4" s="1"/>
  <c r="I52" i="2"/>
  <c r="H52" i="2"/>
  <c r="J52" i="2" s="1"/>
  <c r="H72" i="2"/>
  <c r="J72" i="2" s="1"/>
  <c r="L72" i="2" s="1"/>
  <c r="A72" i="4" s="1"/>
  <c r="I72" i="2"/>
  <c r="H61" i="2"/>
  <c r="J61" i="2" s="1"/>
  <c r="I61" i="2"/>
  <c r="I32" i="2"/>
  <c r="H32" i="2"/>
  <c r="J32" i="2" s="1"/>
  <c r="L32" i="2" s="1"/>
  <c r="A32" i="4" s="1"/>
  <c r="I36" i="2"/>
  <c r="H36" i="2"/>
  <c r="J36" i="2" s="1"/>
  <c r="L36" i="2" s="1"/>
  <c r="A36" i="4" s="1"/>
  <c r="H34" i="2"/>
  <c r="J34" i="2" s="1"/>
  <c r="L34" i="2" s="1"/>
  <c r="A34" i="4" s="1"/>
  <c r="I34" i="2"/>
  <c r="I89" i="2"/>
  <c r="H89" i="2"/>
  <c r="J89" i="2" s="1"/>
  <c r="I71" i="2"/>
  <c r="H71" i="2"/>
  <c r="J71" i="2" s="1"/>
  <c r="M71" i="2" s="1"/>
  <c r="C71" i="4" s="1"/>
  <c r="D71" i="4" s="1"/>
  <c r="I106" i="2"/>
  <c r="H106" i="2"/>
  <c r="J106" i="2" s="1"/>
  <c r="I29" i="2"/>
  <c r="H29" i="2"/>
  <c r="J29" i="2" s="1"/>
  <c r="M29" i="2" s="1"/>
  <c r="C29" i="4" s="1"/>
  <c r="D29" i="4" s="1"/>
  <c r="I17" i="2"/>
  <c r="H17" i="2"/>
  <c r="J17" i="2" s="1"/>
  <c r="M17" i="2" s="1"/>
  <c r="C17" i="4" s="1"/>
  <c r="D17" i="4" s="1"/>
  <c r="I26" i="2"/>
  <c r="H26" i="2"/>
  <c r="J26" i="2" s="1"/>
  <c r="H107" i="2"/>
  <c r="J107" i="2" s="1"/>
  <c r="I107" i="2"/>
  <c r="I99" i="2"/>
  <c r="H99" i="2"/>
  <c r="J99" i="2" s="1"/>
  <c r="H114" i="2"/>
  <c r="J114" i="2" s="1"/>
  <c r="I114" i="2"/>
  <c r="H100" i="2"/>
  <c r="J100" i="2" s="1"/>
  <c r="L100" i="2" s="1"/>
  <c r="A100" i="4" s="1"/>
  <c r="I100" i="2"/>
  <c r="I108" i="2"/>
  <c r="H108" i="2"/>
  <c r="J108" i="2" s="1"/>
  <c r="I39" i="2"/>
  <c r="H39" i="2"/>
  <c r="J39" i="2" s="1"/>
  <c r="L39" i="2" s="1"/>
  <c r="A39" i="4" s="1"/>
  <c r="I98" i="2"/>
  <c r="H98" i="2"/>
  <c r="J98" i="2" s="1"/>
  <c r="I76" i="2"/>
  <c r="H76" i="2"/>
  <c r="J76" i="2" s="1"/>
  <c r="M76" i="2" s="1"/>
  <c r="C76" i="4" s="1"/>
  <c r="D76" i="4" s="1"/>
  <c r="H44" i="2"/>
  <c r="J44" i="2" s="1"/>
  <c r="I44" i="2"/>
  <c r="I31" i="2"/>
  <c r="H31" i="2"/>
  <c r="J31" i="2" s="1"/>
  <c r="M31" i="2" s="1"/>
  <c r="C31" i="4" s="1"/>
  <c r="D31" i="4" s="1"/>
  <c r="H78" i="2"/>
  <c r="J78" i="2" s="1"/>
  <c r="I78" i="2"/>
  <c r="F14" i="2"/>
  <c r="G14" i="2" s="1"/>
  <c r="F15" i="2"/>
  <c r="G15" i="2" s="1"/>
  <c r="F16" i="2"/>
  <c r="G16" i="2" s="1"/>
  <c r="F9" i="2"/>
  <c r="G9" i="2" s="1"/>
  <c r="A619" i="2"/>
  <c r="B619" i="2" s="1"/>
  <c r="A711" i="2"/>
  <c r="B711" i="2" s="1"/>
  <c r="A750" i="2"/>
  <c r="B750" i="2" s="1"/>
  <c r="A650" i="2"/>
  <c r="B650" i="2" s="1"/>
  <c r="A523" i="2"/>
  <c r="B523" i="2" s="1"/>
  <c r="A549" i="2"/>
  <c r="B549" i="2" s="1"/>
  <c r="A583" i="2"/>
  <c r="B583" i="2" s="1"/>
  <c r="A460" i="2"/>
  <c r="B460" i="2" s="1"/>
  <c r="A609" i="2"/>
  <c r="B609" i="2" s="1"/>
  <c r="A716" i="2"/>
  <c r="B716" i="2" s="1"/>
  <c r="A471" i="2"/>
  <c r="B471" i="2" s="1"/>
  <c r="F11" i="2"/>
  <c r="G11" i="2" s="1"/>
  <c r="A446" i="2"/>
  <c r="B446" i="2" s="1"/>
  <c r="A438" i="2"/>
  <c r="B438" i="2" s="1"/>
  <c r="A540" i="2"/>
  <c r="B540" i="2" s="1"/>
  <c r="A566" i="2"/>
  <c r="B566" i="2" s="1"/>
  <c r="A760" i="2"/>
  <c r="B760" i="2" s="1"/>
  <c r="A348" i="2"/>
  <c r="B348" i="2" s="1"/>
  <c r="A344" i="2"/>
  <c r="B344" i="2" s="1"/>
  <c r="A769" i="2"/>
  <c r="B769" i="2" s="1"/>
  <c r="A505" i="2"/>
  <c r="B505" i="2" s="1"/>
  <c r="A373" i="2"/>
  <c r="B373" i="2" s="1"/>
  <c r="F12" i="2"/>
  <c r="G12" i="2" s="1"/>
  <c r="F13" i="2"/>
  <c r="G13" i="2" s="1"/>
  <c r="F7" i="2"/>
  <c r="G7" i="2" s="1"/>
  <c r="A606" i="2"/>
  <c r="B606" i="2" s="1"/>
  <c r="A580" i="2"/>
  <c r="B580" i="2" s="1"/>
  <c r="A451" i="2"/>
  <c r="B451" i="2" s="1"/>
  <c r="A678" i="2"/>
  <c r="B678" i="2" s="1"/>
  <c r="A685" i="2"/>
  <c r="B685" i="2" s="1"/>
  <c r="A442" i="2"/>
  <c r="B442" i="2" s="1"/>
  <c r="A488" i="2"/>
  <c r="B488" i="2" s="1"/>
  <c r="A420" i="2"/>
  <c r="B420" i="2" s="1"/>
  <c r="A590" i="2"/>
  <c r="B590" i="2" s="1"/>
  <c r="A472" i="2"/>
  <c r="B472" i="2" s="1"/>
  <c r="F10" i="2"/>
  <c r="G10" i="2" s="1"/>
  <c r="F8" i="2"/>
  <c r="G8" i="2" s="1"/>
  <c r="A697" i="2"/>
  <c r="B697" i="2" s="1"/>
  <c r="A762" i="2"/>
  <c r="B762" i="2" s="1"/>
  <c r="A595" i="2"/>
  <c r="B595" i="2" s="1"/>
  <c r="A688" i="2"/>
  <c r="B688" i="2" s="1"/>
  <c r="A450" i="2"/>
  <c r="B450" i="2" s="1"/>
  <c r="A467" i="2"/>
  <c r="B467" i="2" s="1"/>
  <c r="A702" i="2"/>
  <c r="B702" i="2" s="1"/>
  <c r="A636" i="2"/>
  <c r="B636" i="2" s="1"/>
  <c r="A693" i="2"/>
  <c r="B693" i="2" s="1"/>
  <c r="A489" i="2"/>
  <c r="B489" i="2" s="1"/>
  <c r="A695" i="2"/>
  <c r="B695" i="2" s="1"/>
  <c r="A482" i="2"/>
  <c r="B482" i="2" s="1"/>
  <c r="A466" i="2"/>
  <c r="B466" i="2" s="1"/>
  <c r="F233" i="2"/>
  <c r="G233" i="2" s="1"/>
  <c r="F234" i="2"/>
  <c r="G234" i="2" s="1"/>
  <c r="F236" i="2"/>
  <c r="G236" i="2" s="1"/>
  <c r="F235" i="2"/>
  <c r="G235" i="2" s="1"/>
  <c r="M226" i="2"/>
  <c r="C226" i="4" s="1"/>
  <c r="D226" i="4" s="1"/>
  <c r="L226" i="2"/>
  <c r="A226" i="4" s="1"/>
  <c r="K226" i="2"/>
  <c r="B226" i="4" s="1"/>
  <c r="M229" i="2"/>
  <c r="C229" i="4" s="1"/>
  <c r="D229" i="4" s="1"/>
  <c r="L229" i="2"/>
  <c r="A229" i="4" s="1"/>
  <c r="K229" i="2"/>
  <c r="B229" i="4" s="1"/>
  <c r="M225" i="2"/>
  <c r="C225" i="4" s="1"/>
  <c r="D225" i="4" s="1"/>
  <c r="K225" i="2"/>
  <c r="B225" i="4" s="1"/>
  <c r="L225" i="2"/>
  <c r="A225" i="4" s="1"/>
  <c r="L228" i="2"/>
  <c r="A228" i="4" s="1"/>
  <c r="K228" i="2"/>
  <c r="B228" i="4" s="1"/>
  <c r="M228" i="2"/>
  <c r="C228" i="4" s="1"/>
  <c r="D228" i="4" s="1"/>
  <c r="M230" i="2"/>
  <c r="C230" i="4" s="1"/>
  <c r="D230" i="4" s="1"/>
  <c r="K230" i="2"/>
  <c r="B230" i="4" s="1"/>
  <c r="L230" i="2"/>
  <c r="A230" i="4" s="1"/>
  <c r="K227" i="2"/>
  <c r="B227" i="4" s="1"/>
  <c r="M227" i="2"/>
  <c r="C227" i="4" s="1"/>
  <c r="D227" i="4" s="1"/>
  <c r="L227" i="2"/>
  <c r="A227" i="4" s="1"/>
  <c r="K231" i="2"/>
  <c r="B231" i="4" s="1"/>
  <c r="L231" i="2"/>
  <c r="A231" i="4" s="1"/>
  <c r="M231" i="2"/>
  <c r="C231" i="4" s="1"/>
  <c r="D231" i="4" s="1"/>
  <c r="L232" i="2"/>
  <c r="A232" i="4" s="1"/>
  <c r="M232" i="2"/>
  <c r="C232" i="4" s="1"/>
  <c r="D232" i="4" s="1"/>
  <c r="K232" i="2"/>
  <c r="B232" i="4" s="1"/>
  <c r="I119" i="2"/>
  <c r="H119" i="2"/>
  <c r="J119" i="2" s="1"/>
  <c r="H128" i="2"/>
  <c r="J128" i="2" s="1"/>
  <c r="L128" i="2" s="1"/>
  <c r="A128" i="4" s="1"/>
  <c r="I128" i="2"/>
  <c r="H152" i="2"/>
  <c r="J152" i="2" s="1"/>
  <c r="M152" i="2" s="1"/>
  <c r="C152" i="4" s="1"/>
  <c r="D152" i="4" s="1"/>
  <c r="I152" i="2"/>
  <c r="I142" i="2"/>
  <c r="H142" i="2"/>
  <c r="J142" i="2" s="1"/>
  <c r="L142" i="2" s="1"/>
  <c r="A142" i="4" s="1"/>
  <c r="M85" i="2"/>
  <c r="C85" i="4" s="1"/>
  <c r="D85" i="4" s="1"/>
  <c r="M69" i="2"/>
  <c r="C69" i="4" s="1"/>
  <c r="D69" i="4" s="1"/>
  <c r="L69" i="2"/>
  <c r="A69" i="4" s="1"/>
  <c r="K69" i="2"/>
  <c r="B69" i="4" s="1"/>
  <c r="L61" i="2"/>
  <c r="A61" i="4" s="1"/>
  <c r="M61" i="2"/>
  <c r="C61" i="4" s="1"/>
  <c r="D61" i="4" s="1"/>
  <c r="K61" i="2"/>
  <c r="B61" i="4" s="1"/>
  <c r="L71" i="2"/>
  <c r="A71" i="4" s="1"/>
  <c r="L68" i="2"/>
  <c r="A68" i="4" s="1"/>
  <c r="K68" i="2"/>
  <c r="B68" i="4" s="1"/>
  <c r="M68" i="2"/>
  <c r="C68" i="4" s="1"/>
  <c r="D68" i="4" s="1"/>
  <c r="M97" i="2"/>
  <c r="C97" i="4" s="1"/>
  <c r="D97" i="4" s="1"/>
  <c r="L97" i="2"/>
  <c r="A97" i="4" s="1"/>
  <c r="K97" i="2"/>
  <c r="B97" i="4" s="1"/>
  <c r="L77" i="2"/>
  <c r="A77" i="4" s="1"/>
  <c r="M77" i="2"/>
  <c r="C77" i="4" s="1"/>
  <c r="D77" i="4" s="1"/>
  <c r="K77" i="2"/>
  <c r="B77" i="4" s="1"/>
  <c r="K84" i="2"/>
  <c r="B84" i="4" s="1"/>
  <c r="L84" i="2"/>
  <c r="A84" i="4" s="1"/>
  <c r="M107" i="2"/>
  <c r="C107" i="4" s="1"/>
  <c r="D107" i="4" s="1"/>
  <c r="K107" i="2"/>
  <c r="B107" i="4" s="1"/>
  <c r="L107" i="2"/>
  <c r="A107" i="4" s="1"/>
  <c r="M102" i="2"/>
  <c r="C102" i="4" s="1"/>
  <c r="D102" i="4" s="1"/>
  <c r="M87" i="2"/>
  <c r="C87" i="4" s="1"/>
  <c r="D87" i="4" s="1"/>
  <c r="M113" i="2"/>
  <c r="C173" i="4" s="1"/>
  <c r="D173" i="4" s="1"/>
  <c r="M62" i="2"/>
  <c r="C62" i="4" s="1"/>
  <c r="D62" i="4" s="1"/>
  <c r="L98" i="2"/>
  <c r="A98" i="4" s="1"/>
  <c r="M110" i="2"/>
  <c r="C110" i="4" s="1"/>
  <c r="D110" i="4" s="1"/>
  <c r="K27" i="2"/>
  <c r="B27" i="4" s="1"/>
  <c r="I193" i="2"/>
  <c r="H193" i="2"/>
  <c r="J193" i="2" s="1"/>
  <c r="H173" i="2"/>
  <c r="J173" i="2" s="1"/>
  <c r="L173" i="2" s="1"/>
  <c r="A373" i="4" s="1"/>
  <c r="I173" i="2"/>
  <c r="I134" i="2"/>
  <c r="H134" i="2"/>
  <c r="J134" i="2" s="1"/>
  <c r="H139" i="2"/>
  <c r="J139" i="2" s="1"/>
  <c r="M139" i="2" s="1"/>
  <c r="C139" i="4" s="1"/>
  <c r="D139" i="4" s="1"/>
  <c r="I139" i="2"/>
  <c r="H188" i="2"/>
  <c r="J188" i="2" s="1"/>
  <c r="I188" i="2"/>
  <c r="I162" i="2"/>
  <c r="H162" i="2"/>
  <c r="J162" i="2" s="1"/>
  <c r="M162" i="2" s="1"/>
  <c r="C162" i="4" s="1"/>
  <c r="D162" i="4" s="1"/>
  <c r="I187" i="2"/>
  <c r="H187" i="2"/>
  <c r="J187" i="2" s="1"/>
  <c r="M187" i="2" s="1"/>
  <c r="C187" i="4" s="1"/>
  <c r="D187" i="4" s="1"/>
  <c r="I168" i="2"/>
  <c r="H168" i="2"/>
  <c r="J168" i="2" s="1"/>
  <c r="L168" i="2" s="1"/>
  <c r="A168" i="4" s="1"/>
  <c r="H172" i="2"/>
  <c r="J172" i="2" s="1"/>
  <c r="L172" i="2" s="1"/>
  <c r="A172" i="4" s="1"/>
  <c r="I172" i="2"/>
  <c r="M101" i="2"/>
  <c r="C101" i="4" s="1"/>
  <c r="D101" i="4" s="1"/>
  <c r="L101" i="2"/>
  <c r="A101" i="4" s="1"/>
  <c r="K101" i="2"/>
  <c r="B101" i="4" s="1"/>
  <c r="L111" i="2"/>
  <c r="A111" i="4" s="1"/>
  <c r="K111" i="2"/>
  <c r="B111" i="4" s="1"/>
  <c r="M111" i="2"/>
  <c r="C111" i="4" s="1"/>
  <c r="D111" i="4" s="1"/>
  <c r="M38" i="2"/>
  <c r="C38" i="4" s="1"/>
  <c r="D38" i="4" s="1"/>
  <c r="K38" i="2"/>
  <c r="B38" i="4" s="1"/>
  <c r="K109" i="2"/>
  <c r="B113" i="4" s="1"/>
  <c r="L53" i="2"/>
  <c r="A53" i="4" s="1"/>
  <c r="L73" i="2"/>
  <c r="A73" i="4" s="1"/>
  <c r="K73" i="2"/>
  <c r="B73" i="4" s="1"/>
  <c r="M56" i="2"/>
  <c r="C56" i="4" s="1"/>
  <c r="D56" i="4" s="1"/>
  <c r="M88" i="2"/>
  <c r="C88" i="4" s="1"/>
  <c r="D88" i="4" s="1"/>
  <c r="K36" i="2"/>
  <c r="B36" i="4" s="1"/>
  <c r="M222" i="2"/>
  <c r="C222" i="4" s="1"/>
  <c r="D222" i="4" s="1"/>
  <c r="L222" i="2"/>
  <c r="A222" i="4" s="1"/>
  <c r="K222" i="2"/>
  <c r="B222" i="4" s="1"/>
  <c r="L30" i="2"/>
  <c r="A30" i="4" s="1"/>
  <c r="K30" i="2"/>
  <c r="B30" i="4" s="1"/>
  <c r="M30" i="2"/>
  <c r="C30" i="4" s="1"/>
  <c r="D30" i="4" s="1"/>
  <c r="L22" i="2"/>
  <c r="A22" i="4" s="1"/>
  <c r="K105" i="2"/>
  <c r="B105" i="4" s="1"/>
  <c r="L76" i="2"/>
  <c r="A76" i="4" s="1"/>
  <c r="L91" i="2"/>
  <c r="A91" i="4" s="1"/>
  <c r="M91" i="2"/>
  <c r="C91" i="4" s="1"/>
  <c r="D91" i="4" s="1"/>
  <c r="K91" i="2"/>
  <c r="B91" i="4" s="1"/>
  <c r="L44" i="2"/>
  <c r="A44" i="4" s="1"/>
  <c r="M44" i="2"/>
  <c r="C44" i="4" s="1"/>
  <c r="D44" i="4" s="1"/>
  <c r="K44" i="2"/>
  <c r="B44" i="4" s="1"/>
  <c r="M67" i="2"/>
  <c r="C67" i="4" s="1"/>
  <c r="D67" i="4" s="1"/>
  <c r="L67" i="2"/>
  <c r="A67" i="4" s="1"/>
  <c r="K67" i="2"/>
  <c r="B67" i="4" s="1"/>
  <c r="K93" i="2"/>
  <c r="B93" i="4" s="1"/>
  <c r="M42" i="2"/>
  <c r="C42" i="4" s="1"/>
  <c r="D42" i="4" s="1"/>
  <c r="L42" i="2"/>
  <c r="A42" i="4" s="1"/>
  <c r="I192" i="2"/>
  <c r="H192" i="2"/>
  <c r="J192" i="2" s="1"/>
  <c r="L192" i="2" s="1"/>
  <c r="A192" i="4" s="1"/>
  <c r="I180" i="2"/>
  <c r="H180" i="2"/>
  <c r="J180" i="2" s="1"/>
  <c r="I182" i="2"/>
  <c r="H182" i="2"/>
  <c r="J182" i="2" s="1"/>
  <c r="M182" i="2" s="1"/>
  <c r="C182" i="4" s="1"/>
  <c r="D182" i="4" s="1"/>
  <c r="I171" i="2"/>
  <c r="H171" i="2"/>
  <c r="J171" i="2" s="1"/>
  <c r="L171" i="2" s="1"/>
  <c r="A171" i="4" s="1"/>
  <c r="I132" i="2"/>
  <c r="H132" i="2"/>
  <c r="J132" i="2" s="1"/>
  <c r="L132" i="2" s="1"/>
  <c r="A132" i="4" s="1"/>
  <c r="H118" i="2"/>
  <c r="J118" i="2" s="1"/>
  <c r="L118" i="2" s="1"/>
  <c r="A118" i="4" s="1"/>
  <c r="I118" i="2"/>
  <c r="H195" i="2"/>
  <c r="J195" i="2" s="1"/>
  <c r="L195" i="2" s="1"/>
  <c r="A195" i="4" s="1"/>
  <c r="I195" i="2"/>
  <c r="I138" i="2"/>
  <c r="H138" i="2"/>
  <c r="J138" i="2" s="1"/>
  <c r="L138" i="2" s="1"/>
  <c r="A138" i="4" s="1"/>
  <c r="I184" i="2"/>
  <c r="H184" i="2"/>
  <c r="J184" i="2" s="1"/>
  <c r="L184" i="2" s="1"/>
  <c r="A184" i="4" s="1"/>
  <c r="H164" i="2"/>
  <c r="J164" i="2" s="1"/>
  <c r="K164" i="2" s="1"/>
  <c r="B164" i="4" s="1"/>
  <c r="I164" i="2"/>
  <c r="I129" i="2"/>
  <c r="H129" i="2"/>
  <c r="J129" i="2" s="1"/>
  <c r="L129" i="2" s="1"/>
  <c r="A129" i="4" s="1"/>
  <c r="H147" i="2"/>
  <c r="J147" i="2" s="1"/>
  <c r="L147" i="2" s="1"/>
  <c r="A147" i="4" s="1"/>
  <c r="I147" i="2"/>
  <c r="I130" i="2"/>
  <c r="H130" i="2"/>
  <c r="J130" i="2" s="1"/>
  <c r="L130" i="2" s="1"/>
  <c r="A130" i="4" s="1"/>
  <c r="K82" i="2"/>
  <c r="B82" i="4" s="1"/>
  <c r="H117" i="2"/>
  <c r="J117" i="2" s="1"/>
  <c r="L117" i="2" s="1"/>
  <c r="A365" i="4" s="1"/>
  <c r="I117" i="2"/>
  <c r="H190" i="2"/>
  <c r="J190" i="2" s="1"/>
  <c r="L190" i="2" s="1"/>
  <c r="A190" i="4" s="1"/>
  <c r="I190" i="2"/>
  <c r="I141" i="2"/>
  <c r="H141" i="2"/>
  <c r="J141" i="2" s="1"/>
  <c r="H174" i="2"/>
  <c r="J174" i="2" s="1"/>
  <c r="I174" i="2"/>
  <c r="H126" i="2"/>
  <c r="J126" i="2" s="1"/>
  <c r="M126" i="2" s="1"/>
  <c r="C126" i="4" s="1"/>
  <c r="D126" i="4" s="1"/>
  <c r="I126" i="2"/>
  <c r="I143" i="2"/>
  <c r="H143" i="2"/>
  <c r="J143" i="2" s="1"/>
  <c r="H144" i="2"/>
  <c r="J144" i="2" s="1"/>
  <c r="L144" i="2" s="1"/>
  <c r="A144" i="4" s="1"/>
  <c r="I144" i="2"/>
  <c r="H178" i="2"/>
  <c r="J178" i="2" s="1"/>
  <c r="I178" i="2"/>
  <c r="I165" i="2"/>
  <c r="H165" i="2"/>
  <c r="J165" i="2" s="1"/>
  <c r="K165" i="2" s="1"/>
  <c r="B165" i="4" s="1"/>
  <c r="I155" i="2"/>
  <c r="H155" i="2"/>
  <c r="J155" i="2" s="1"/>
  <c r="M155" i="2" s="1"/>
  <c r="C155" i="4" s="1"/>
  <c r="D155" i="4" s="1"/>
  <c r="I185" i="2"/>
  <c r="H185" i="2"/>
  <c r="J185" i="2" s="1"/>
  <c r="L185" i="2" s="1"/>
  <c r="A185" i="4" s="1"/>
  <c r="I163" i="2"/>
  <c r="H163" i="2"/>
  <c r="J163" i="2" s="1"/>
  <c r="L163" i="2" s="1"/>
  <c r="A163" i="4" s="1"/>
  <c r="H150" i="2"/>
  <c r="J150" i="2" s="1"/>
  <c r="M150" i="2" s="1"/>
  <c r="C150" i="4" s="1"/>
  <c r="D150" i="4" s="1"/>
  <c r="I150" i="2"/>
  <c r="I151" i="2"/>
  <c r="H151" i="2"/>
  <c r="J151" i="2" s="1"/>
  <c r="L151" i="2" s="1"/>
  <c r="A151" i="4" s="1"/>
  <c r="I140" i="2"/>
  <c r="H140" i="2"/>
  <c r="J140" i="2" s="1"/>
  <c r="I148" i="2"/>
  <c r="H148" i="2"/>
  <c r="J148" i="2" s="1"/>
  <c r="M148" i="2" s="1"/>
  <c r="C148" i="4" s="1"/>
  <c r="D148" i="4" s="1"/>
  <c r="H183" i="2"/>
  <c r="J183" i="2" s="1"/>
  <c r="L183" i="2" s="1"/>
  <c r="A183" i="4" s="1"/>
  <c r="I183" i="2"/>
  <c r="I175" i="2"/>
  <c r="H175" i="2"/>
  <c r="J175" i="2" s="1"/>
  <c r="M106" i="2"/>
  <c r="C106" i="4" s="1"/>
  <c r="D106" i="4" s="1"/>
  <c r="M49" i="2"/>
  <c r="C49" i="4" s="1"/>
  <c r="D49" i="4" s="1"/>
  <c r="K49" i="2"/>
  <c r="B49" i="4" s="1"/>
  <c r="L49" i="2"/>
  <c r="A49" i="4" s="1"/>
  <c r="K70" i="2"/>
  <c r="B70" i="4" s="1"/>
  <c r="L19" i="2"/>
  <c r="A19" i="4" s="1"/>
  <c r="M19" i="2"/>
  <c r="C19" i="4" s="1"/>
  <c r="D19" i="4" s="1"/>
  <c r="K19" i="2"/>
  <c r="B19" i="4" s="1"/>
  <c r="L21" i="2"/>
  <c r="A21" i="4" s="1"/>
  <c r="M173" i="2"/>
  <c r="C373" i="4" s="1"/>
  <c r="D373" i="4" s="1"/>
  <c r="L103" i="2"/>
  <c r="A103" i="4" s="1"/>
  <c r="M103" i="2"/>
  <c r="C103" i="4" s="1"/>
  <c r="D103" i="4" s="1"/>
  <c r="K103" i="2"/>
  <c r="B103" i="4" s="1"/>
  <c r="L18" i="2"/>
  <c r="A18" i="4" s="1"/>
  <c r="K18" i="2"/>
  <c r="B18" i="4" s="1"/>
  <c r="M18" i="2"/>
  <c r="C18" i="4" s="1"/>
  <c r="D18" i="4" s="1"/>
  <c r="M43" i="2"/>
  <c r="C43" i="4" s="1"/>
  <c r="D43" i="4" s="1"/>
  <c r="K43" i="2"/>
  <c r="B43" i="4" s="1"/>
  <c r="L43" i="2"/>
  <c r="A43" i="4" s="1"/>
  <c r="M223" i="2"/>
  <c r="C223" i="4" s="1"/>
  <c r="D223" i="4" s="1"/>
  <c r="K223" i="2"/>
  <c r="B223" i="4" s="1"/>
  <c r="L223" i="2"/>
  <c r="A223" i="4" s="1"/>
  <c r="M114" i="2"/>
  <c r="C114" i="4" s="1"/>
  <c r="D114" i="4" s="1"/>
  <c r="K114" i="2"/>
  <c r="B114" i="4" s="1"/>
  <c r="L114" i="2"/>
  <c r="A114" i="4" s="1"/>
  <c r="M83" i="2"/>
  <c r="C83" i="4" s="1"/>
  <c r="D83" i="4" s="1"/>
  <c r="K57" i="2"/>
  <c r="B57" i="4" s="1"/>
  <c r="L47" i="2"/>
  <c r="A47" i="4" s="1"/>
  <c r="K47" i="2"/>
  <c r="B47" i="4" s="1"/>
  <c r="M47" i="2"/>
  <c r="C47" i="4" s="1"/>
  <c r="D47" i="4" s="1"/>
  <c r="K74" i="2"/>
  <c r="B74" i="4" s="1"/>
  <c r="M74" i="2"/>
  <c r="C74" i="4" s="1"/>
  <c r="D74" i="4" s="1"/>
  <c r="L74" i="2"/>
  <c r="A74" i="4" s="1"/>
  <c r="K78" i="2"/>
  <c r="B78" i="4" s="1"/>
  <c r="L78" i="2"/>
  <c r="A78" i="4" s="1"/>
  <c r="M78" i="2"/>
  <c r="C78" i="4" s="1"/>
  <c r="D78" i="4" s="1"/>
  <c r="K90" i="2"/>
  <c r="B90" i="4" s="1"/>
  <c r="M35" i="2"/>
  <c r="C35" i="4" s="1"/>
  <c r="D35" i="4" s="1"/>
  <c r="K35" i="2"/>
  <c r="B35" i="4" s="1"/>
  <c r="L35" i="2"/>
  <c r="A35" i="4" s="1"/>
  <c r="K221" i="2"/>
  <c r="B221" i="4" s="1"/>
  <c r="L221" i="2"/>
  <c r="A221" i="4" s="1"/>
  <c r="M221" i="2"/>
  <c r="C221" i="4" s="1"/>
  <c r="D221" i="4" s="1"/>
  <c r="I121" i="2"/>
  <c r="H121" i="2"/>
  <c r="J121" i="2" s="1"/>
  <c r="K121" i="2" s="1"/>
  <c r="B121" i="4" s="1"/>
  <c r="I181" i="2"/>
  <c r="H181" i="2"/>
  <c r="J181" i="2" s="1"/>
  <c r="M181" i="2" s="1"/>
  <c r="C181" i="4" s="1"/>
  <c r="D181" i="4" s="1"/>
  <c r="I131" i="2"/>
  <c r="H131" i="2"/>
  <c r="J131" i="2" s="1"/>
  <c r="M131" i="2" s="1"/>
  <c r="C131" i="4" s="1"/>
  <c r="D131" i="4" s="1"/>
  <c r="H161" i="2"/>
  <c r="J161" i="2" s="1"/>
  <c r="I161" i="2"/>
  <c r="H149" i="2"/>
  <c r="J149" i="2" s="1"/>
  <c r="I149" i="2"/>
  <c r="I160" i="2"/>
  <c r="H160" i="2"/>
  <c r="J160" i="2" s="1"/>
  <c r="I124" i="2"/>
  <c r="H124" i="2"/>
  <c r="J124" i="2" s="1"/>
  <c r="M124" i="2" s="1"/>
  <c r="C124" i="4" s="1"/>
  <c r="D124" i="4" s="1"/>
  <c r="H196" i="2"/>
  <c r="J196" i="2" s="1"/>
  <c r="L196" i="2" s="1"/>
  <c r="A196" i="4" s="1"/>
  <c r="I196" i="2"/>
  <c r="H158" i="2"/>
  <c r="J158" i="2" s="1"/>
  <c r="M158" i="2" s="1"/>
  <c r="C158" i="4" s="1"/>
  <c r="D158" i="4" s="1"/>
  <c r="I158" i="2"/>
  <c r="I170" i="2"/>
  <c r="H170" i="2"/>
  <c r="J170" i="2" s="1"/>
  <c r="L170" i="2" s="1"/>
  <c r="A170" i="4" s="1"/>
  <c r="H135" i="2"/>
  <c r="J135" i="2" s="1"/>
  <c r="M135" i="2" s="1"/>
  <c r="C135" i="4" s="1"/>
  <c r="D135" i="4" s="1"/>
  <c r="I135" i="2"/>
  <c r="I186" i="2"/>
  <c r="H186" i="2"/>
  <c r="J186" i="2" s="1"/>
  <c r="M186" i="2" s="1"/>
  <c r="C186" i="4" s="1"/>
  <c r="D186" i="4" s="1"/>
  <c r="I127" i="2"/>
  <c r="H127" i="2"/>
  <c r="J127" i="2" s="1"/>
  <c r="M127" i="2" s="1"/>
  <c r="C127" i="4" s="1"/>
  <c r="D127" i="4" s="1"/>
  <c r="H169" i="2"/>
  <c r="J169" i="2" s="1"/>
  <c r="L169" i="2" s="1"/>
  <c r="A169" i="4" s="1"/>
  <c r="I169" i="2"/>
  <c r="I123" i="2"/>
  <c r="H123" i="2"/>
  <c r="J123" i="2" s="1"/>
  <c r="L123" i="2" s="1"/>
  <c r="A123" i="4" s="1"/>
  <c r="I146" i="2"/>
  <c r="H146" i="2"/>
  <c r="J146" i="2" s="1"/>
  <c r="I125" i="2"/>
  <c r="H125" i="2"/>
  <c r="J125" i="2" s="1"/>
  <c r="M125" i="2" s="1"/>
  <c r="C125" i="4" s="1"/>
  <c r="D125" i="4" s="1"/>
  <c r="H120" i="2"/>
  <c r="J120" i="2" s="1"/>
  <c r="L120" i="2" s="1"/>
  <c r="A120" i="4" s="1"/>
  <c r="I120" i="2"/>
  <c r="H122" i="2"/>
  <c r="J122" i="2" s="1"/>
  <c r="L122" i="2" s="1"/>
  <c r="A122" i="4" s="1"/>
  <c r="I122" i="2"/>
  <c r="H194" i="2"/>
  <c r="J194" i="2" s="1"/>
  <c r="L194" i="2" s="1"/>
  <c r="A194" i="4" s="1"/>
  <c r="I194" i="2"/>
  <c r="H137" i="2"/>
  <c r="J137" i="2" s="1"/>
  <c r="I137" i="2"/>
  <c r="H156" i="2"/>
  <c r="J156" i="2" s="1"/>
  <c r="M156" i="2" s="1"/>
  <c r="C156" i="4" s="1"/>
  <c r="D156" i="4" s="1"/>
  <c r="I156" i="2"/>
  <c r="I191" i="2"/>
  <c r="H191" i="2"/>
  <c r="J191" i="2" s="1"/>
  <c r="L191" i="2" s="1"/>
  <c r="A191" i="4" s="1"/>
  <c r="H159" i="2"/>
  <c r="J159" i="2" s="1"/>
  <c r="M159" i="2" s="1"/>
  <c r="C159" i="4" s="1"/>
  <c r="D159" i="4" s="1"/>
  <c r="I159" i="2"/>
  <c r="H154" i="2"/>
  <c r="J154" i="2" s="1"/>
  <c r="M154" i="2" s="1"/>
  <c r="C154" i="4" s="1"/>
  <c r="D154" i="4" s="1"/>
  <c r="I154" i="2"/>
  <c r="I136" i="2"/>
  <c r="H136" i="2"/>
  <c r="J136" i="2" s="1"/>
  <c r="M136" i="2" s="1"/>
  <c r="C136" i="4" s="1"/>
  <c r="D136" i="4" s="1"/>
  <c r="I177" i="2"/>
  <c r="H177" i="2"/>
  <c r="J177" i="2" s="1"/>
  <c r="H189" i="2"/>
  <c r="J189" i="2" s="1"/>
  <c r="L189" i="2" s="1"/>
  <c r="A189" i="4" s="1"/>
  <c r="I189" i="2"/>
  <c r="I179" i="2"/>
  <c r="H179" i="2"/>
  <c r="J179" i="2" s="1"/>
  <c r="H157" i="2"/>
  <c r="J157" i="2" s="1"/>
  <c r="L157" i="2" s="1"/>
  <c r="A157" i="4" s="1"/>
  <c r="I157" i="2"/>
  <c r="I166" i="2"/>
  <c r="H166" i="2"/>
  <c r="J166" i="2" s="1"/>
  <c r="M166" i="2" s="1"/>
  <c r="C166" i="4" s="1"/>
  <c r="D166" i="4" s="1"/>
  <c r="I145" i="2"/>
  <c r="H145" i="2"/>
  <c r="J145" i="2" s="1"/>
  <c r="L145" i="2" s="1"/>
  <c r="A145" i="4" s="1"/>
  <c r="H167" i="2"/>
  <c r="J167" i="2" s="1"/>
  <c r="M167" i="2" s="1"/>
  <c r="C167" i="4" s="1"/>
  <c r="D167" i="4" s="1"/>
  <c r="I167" i="2"/>
  <c r="I153" i="2"/>
  <c r="H153" i="2"/>
  <c r="J153" i="2" s="1"/>
  <c r="I133" i="2"/>
  <c r="H133" i="2"/>
  <c r="J133" i="2" s="1"/>
  <c r="L133" i="2" s="1"/>
  <c r="A133" i="4" s="1"/>
  <c r="I176" i="2"/>
  <c r="H176" i="2"/>
  <c r="J176" i="2" s="1"/>
  <c r="O336" i="2"/>
  <c r="A218" i="2"/>
  <c r="B218" i="2" s="1"/>
  <c r="A219" i="2"/>
  <c r="B219" i="2" s="1"/>
  <c r="A220" i="2"/>
  <c r="B220" i="2" s="1"/>
  <c r="A217" i="2"/>
  <c r="B217" i="2" s="1"/>
  <c r="K31" i="2"/>
  <c r="B31" i="4" s="1"/>
  <c r="M132" i="2"/>
  <c r="C132" i="4" s="1"/>
  <c r="D132" i="4" s="1"/>
  <c r="L20" i="2"/>
  <c r="A20" i="4" s="1"/>
  <c r="M20" i="2"/>
  <c r="C20" i="4" s="1"/>
  <c r="D20" i="4" s="1"/>
  <c r="K20" i="2"/>
  <c r="B20" i="4" s="1"/>
  <c r="M48" i="2"/>
  <c r="C48" i="4" s="1"/>
  <c r="D48" i="4" s="1"/>
  <c r="L52" i="2"/>
  <c r="A52" i="4" s="1"/>
  <c r="L17" i="2"/>
  <c r="A17" i="4" s="1"/>
  <c r="L58" i="2"/>
  <c r="A58" i="4" s="1"/>
  <c r="L63" i="2"/>
  <c r="A63" i="4" s="1"/>
  <c r="K95" i="2"/>
  <c r="B95" i="4" s="1"/>
  <c r="M129" i="2"/>
  <c r="C129" i="4" s="1"/>
  <c r="D129" i="4" s="1"/>
  <c r="L79" i="2"/>
  <c r="A79" i="4" s="1"/>
  <c r="K79" i="2"/>
  <c r="B79" i="4" s="1"/>
  <c r="M23" i="2"/>
  <c r="C23" i="4" s="1"/>
  <c r="D23" i="4" s="1"/>
  <c r="L116" i="2"/>
  <c r="A116" i="4" s="1"/>
  <c r="L33" i="2"/>
  <c r="A33" i="4" s="1"/>
  <c r="M33" i="2"/>
  <c r="C33" i="4" s="1"/>
  <c r="D33" i="4" s="1"/>
  <c r="M65" i="2"/>
  <c r="C65" i="4" s="1"/>
  <c r="D65" i="4" s="1"/>
  <c r="L89" i="2"/>
  <c r="A89" i="4" s="1"/>
  <c r="M60" i="2"/>
  <c r="C60" i="4" s="1"/>
  <c r="D60" i="4" s="1"/>
  <c r="L60" i="2"/>
  <c r="A60" i="4" s="1"/>
  <c r="K60" i="2"/>
  <c r="B60" i="4" s="1"/>
  <c r="M66" i="2"/>
  <c r="C66" i="4" s="1"/>
  <c r="D66" i="4" s="1"/>
  <c r="K66" i="2"/>
  <c r="B66" i="4" s="1"/>
  <c r="L66" i="2"/>
  <c r="A66" i="4" s="1"/>
  <c r="L50" i="2"/>
  <c r="A50" i="4" s="1"/>
  <c r="M50" i="2"/>
  <c r="C50" i="4" s="1"/>
  <c r="D50" i="4" s="1"/>
  <c r="K50" i="2"/>
  <c r="B50" i="4" s="1"/>
  <c r="A86" i="5"/>
  <c r="B86" i="5" s="1"/>
  <c r="L28" i="2" l="1"/>
  <c r="A28" i="4" s="1"/>
  <c r="M28" i="2"/>
  <c r="C28" i="4" s="1"/>
  <c r="D28" i="4" s="1"/>
  <c r="K64" i="2"/>
  <c r="B64" i="4" s="1"/>
  <c r="M57" i="2"/>
  <c r="C57" i="4" s="1"/>
  <c r="D57" i="4" s="1"/>
  <c r="L105" i="2"/>
  <c r="A105" i="4" s="1"/>
  <c r="K24" i="2"/>
  <c r="B24" i="4" s="1"/>
  <c r="M59" i="2"/>
  <c r="C59" i="4" s="1"/>
  <c r="D59" i="4" s="1"/>
  <c r="K62" i="2"/>
  <c r="B62" i="4" s="1"/>
  <c r="A355" i="2"/>
  <c r="B355" i="2" s="1"/>
  <c r="A399" i="2"/>
  <c r="B399" i="2" s="1"/>
  <c r="A613" i="2"/>
  <c r="B613" i="2" s="1"/>
  <c r="A458" i="2"/>
  <c r="B458" i="2" s="1"/>
  <c r="C458" i="2" s="1"/>
  <c r="E458" i="2" s="1"/>
  <c r="A365" i="2"/>
  <c r="B365" i="2" s="1"/>
  <c r="A376" i="2"/>
  <c r="B376" i="2" s="1"/>
  <c r="D376" i="2" s="1"/>
  <c r="A754" i="2"/>
  <c r="B754" i="2" s="1"/>
  <c r="A704" i="2"/>
  <c r="B704" i="2" s="1"/>
  <c r="C704" i="2" s="1"/>
  <c r="E704" i="2" s="1"/>
  <c r="A753" i="2"/>
  <c r="B753" i="2" s="1"/>
  <c r="A547" i="2"/>
  <c r="B547" i="2" s="1"/>
  <c r="D547" i="2" s="1"/>
  <c r="A535" i="2"/>
  <c r="B535" i="2" s="1"/>
  <c r="A772" i="2"/>
  <c r="B772" i="2" s="1"/>
  <c r="C772" i="2" s="1"/>
  <c r="E772" i="2" s="1"/>
  <c r="A598" i="2"/>
  <c r="B598" i="2" s="1"/>
  <c r="A403" i="2"/>
  <c r="B403" i="2" s="1"/>
  <c r="A386" i="2"/>
  <c r="B386" i="2" s="1"/>
  <c r="D386" i="2" s="1"/>
  <c r="A611" i="2"/>
  <c r="B611" i="2" s="1"/>
  <c r="D611" i="2" s="1"/>
  <c r="A675" i="2"/>
  <c r="B675" i="2" s="1"/>
  <c r="A440" i="2"/>
  <c r="B440" i="2" s="1"/>
  <c r="A745" i="2"/>
  <c r="B745" i="2" s="1"/>
  <c r="A343" i="2"/>
  <c r="B343" i="2" s="1"/>
  <c r="D343" i="2" s="1"/>
  <c r="A764" i="2"/>
  <c r="B764" i="2" s="1"/>
  <c r="A635" i="2"/>
  <c r="B635" i="2" s="1"/>
  <c r="C635" i="2" s="1"/>
  <c r="E635" i="2" s="1"/>
  <c r="A625" i="2"/>
  <c r="B625" i="2" s="1"/>
  <c r="A387" i="2"/>
  <c r="B387" i="2" s="1"/>
  <c r="C387" i="2" s="1"/>
  <c r="E387" i="2" s="1"/>
  <c r="A721" i="2"/>
  <c r="B721" i="2" s="1"/>
  <c r="A408" i="2"/>
  <c r="B408" i="2" s="1"/>
  <c r="A765" i="2"/>
  <c r="B765" i="2" s="1"/>
  <c r="A521" i="2"/>
  <c r="B521" i="2" s="1"/>
  <c r="D521" i="2" s="1"/>
  <c r="A573" i="2"/>
  <c r="B573" i="2" s="1"/>
  <c r="A463" i="2"/>
  <c r="B463" i="2" s="1"/>
  <c r="A774" i="2"/>
  <c r="B774" i="2" s="1"/>
  <c r="A395" i="2"/>
  <c r="B395" i="2" s="1"/>
  <c r="D395" i="2" s="1"/>
  <c r="A405" i="2"/>
  <c r="B405" i="2" s="1"/>
  <c r="A397" i="2"/>
  <c r="B397" i="2" s="1"/>
  <c r="A624" i="2"/>
  <c r="B624" i="2" s="1"/>
  <c r="A432" i="2"/>
  <c r="B432" i="2" s="1"/>
  <c r="D432" i="2" s="1"/>
  <c r="A389" i="2"/>
  <c r="B389" i="2" s="1"/>
  <c r="A478" i="2"/>
  <c r="B478" i="2" s="1"/>
  <c r="A391" i="2"/>
  <c r="B391" i="2" s="1"/>
  <c r="A480" i="2"/>
  <c r="B480" i="2" s="1"/>
  <c r="C480" i="2" s="1"/>
  <c r="E480" i="2" s="1"/>
  <c r="A351" i="2"/>
  <c r="B351" i="2" s="1"/>
  <c r="A735" i="2"/>
  <c r="B735" i="2" s="1"/>
  <c r="A449" i="2"/>
  <c r="B449" i="2" s="1"/>
  <c r="C449" i="2" s="1"/>
  <c r="E449" i="2" s="1"/>
  <c r="A732" i="2"/>
  <c r="B732" i="2" s="1"/>
  <c r="A349" i="2"/>
  <c r="B349" i="2" s="1"/>
  <c r="A436" i="2"/>
  <c r="B436" i="2" s="1"/>
  <c r="A454" i="2"/>
  <c r="B454" i="2" s="1"/>
  <c r="A589" i="2"/>
  <c r="B589" i="2" s="1"/>
  <c r="A720" i="2"/>
  <c r="B720" i="2" s="1"/>
  <c r="A627" i="2"/>
  <c r="B627" i="2" s="1"/>
  <c r="A755" i="2"/>
  <c r="B755" i="2" s="1"/>
  <c r="A486" i="2"/>
  <c r="B486" i="2" s="1"/>
  <c r="A616" i="2"/>
  <c r="B616" i="2" s="1"/>
  <c r="A550" i="2"/>
  <c r="B550" i="2" s="1"/>
  <c r="A506" i="2"/>
  <c r="B506" i="2" s="1"/>
  <c r="A670" i="2"/>
  <c r="B670" i="2" s="1"/>
  <c r="A426" i="2"/>
  <c r="B426" i="2" s="1"/>
  <c r="A421" i="2"/>
  <c r="B421" i="2" s="1"/>
  <c r="A394" i="2"/>
  <c r="B394" i="2" s="1"/>
  <c r="A604" i="2"/>
  <c r="B604" i="2" s="1"/>
  <c r="A682" i="2"/>
  <c r="B682" i="2" s="1"/>
  <c r="A727" i="2"/>
  <c r="B727" i="2" s="1"/>
  <c r="A381" i="2"/>
  <c r="B381" i="2" s="1"/>
  <c r="A723" i="2"/>
  <c r="B723" i="2" s="1"/>
  <c r="A767" i="2"/>
  <c r="B767" i="2" s="1"/>
  <c r="A372" i="2"/>
  <c r="B372" i="2" s="1"/>
  <c r="A738" i="2"/>
  <c r="B738" i="2" s="1"/>
  <c r="A639" i="2"/>
  <c r="B639" i="2" s="1"/>
  <c r="A602" i="2"/>
  <c r="B602" i="2" s="1"/>
  <c r="A477" i="2"/>
  <c r="B477" i="2" s="1"/>
  <c r="A510" i="2"/>
  <c r="B510" i="2" s="1"/>
  <c r="A581" i="2"/>
  <c r="B581" i="2" s="1"/>
  <c r="A569" i="2"/>
  <c r="B569" i="2" s="1"/>
  <c r="A733" i="2"/>
  <c r="B733" i="2" s="1"/>
  <c r="A770" i="2"/>
  <c r="B770" i="2" s="1"/>
  <c r="A473" i="2"/>
  <c r="B473" i="2" s="1"/>
  <c r="A507" i="2"/>
  <c r="B507" i="2" s="1"/>
  <c r="A751" i="2"/>
  <c r="B751" i="2" s="1"/>
  <c r="A415" i="2"/>
  <c r="B415" i="2" s="1"/>
  <c r="A392" i="2"/>
  <c r="B392" i="2" s="1"/>
  <c r="A584" i="2"/>
  <c r="B584" i="2" s="1"/>
  <c r="A661" i="2"/>
  <c r="B661" i="2" s="1"/>
  <c r="A690" i="2"/>
  <c r="B690" i="2" s="1"/>
  <c r="A703" i="2"/>
  <c r="B703" i="2" s="1"/>
  <c r="A548" i="2"/>
  <c r="B548" i="2" s="1"/>
  <c r="A665" i="2"/>
  <c r="B665" i="2" s="1"/>
  <c r="A448" i="2"/>
  <c r="B448" i="2" s="1"/>
  <c r="A607" i="2"/>
  <c r="B607" i="2" s="1"/>
  <c r="A576" i="2"/>
  <c r="B576" i="2" s="1"/>
  <c r="A493" i="2"/>
  <c r="B493" i="2" s="1"/>
  <c r="A630" i="2"/>
  <c r="B630" i="2" s="1"/>
  <c r="A526" i="2"/>
  <c r="B526" i="2" s="1"/>
  <c r="A368" i="2"/>
  <c r="B368" i="2" s="1"/>
  <c r="A684" i="2"/>
  <c r="B684" i="2" s="1"/>
  <c r="A359" i="2"/>
  <c r="B359" i="2" s="1"/>
  <c r="A545" i="2"/>
  <c r="B545" i="2" s="1"/>
  <c r="A633" i="2"/>
  <c r="B633" i="2" s="1"/>
  <c r="F6" i="2"/>
  <c r="G6" i="2" s="1"/>
  <c r="A671" i="2"/>
  <c r="B671" i="2" s="1"/>
  <c r="A568" i="2"/>
  <c r="B568" i="2" s="1"/>
  <c r="A522" i="2"/>
  <c r="B522" i="2" s="1"/>
  <c r="A382" i="2"/>
  <c r="B382" i="2" s="1"/>
  <c r="A666" i="2"/>
  <c r="B666" i="2" s="1"/>
  <c r="A517" i="2"/>
  <c r="B517" i="2" s="1"/>
  <c r="A542" i="2"/>
  <c r="B542" i="2" s="1"/>
  <c r="A412" i="2"/>
  <c r="B412" i="2" s="1"/>
  <c r="A596" i="2"/>
  <c r="B596" i="2" s="1"/>
  <c r="A741" i="2"/>
  <c r="B741" i="2" s="1"/>
  <c r="A539" i="2"/>
  <c r="B539" i="2" s="1"/>
  <c r="A468" i="2"/>
  <c r="B468" i="2" s="1"/>
  <c r="A551" i="2"/>
  <c r="B551" i="2" s="1"/>
  <c r="A465" i="2"/>
  <c r="B465" i="2" s="1"/>
  <c r="A657" i="2"/>
  <c r="B657" i="2" s="1"/>
  <c r="A452" i="2"/>
  <c r="B452" i="2" s="1"/>
  <c r="A512" i="2"/>
  <c r="B512" i="2" s="1"/>
  <c r="A701" i="2"/>
  <c r="B701" i="2" s="1"/>
  <c r="A416" i="2"/>
  <c r="B416" i="2" s="1"/>
  <c r="A414" i="2"/>
  <c r="B414" i="2" s="1"/>
  <c r="A484" i="2"/>
  <c r="B484" i="2" s="1"/>
  <c r="A651" i="2"/>
  <c r="B651" i="2" s="1"/>
  <c r="A644" i="2"/>
  <c r="B644" i="2" s="1"/>
  <c r="A385" i="2"/>
  <c r="B385" i="2" s="1"/>
  <c r="A481" i="2"/>
  <c r="B481" i="2" s="1"/>
  <c r="A360" i="2"/>
  <c r="B360" i="2" s="1"/>
  <c r="A646" i="2"/>
  <c r="B646" i="2" s="1"/>
  <c r="A406" i="2"/>
  <c r="B406" i="2" s="1"/>
  <c r="A354" i="2"/>
  <c r="B354" i="2" s="1"/>
  <c r="A350" i="2"/>
  <c r="B350" i="2" s="1"/>
  <c r="C350" i="2" s="1"/>
  <c r="E350" i="2" s="1"/>
  <c r="A504" i="2"/>
  <c r="B504" i="2" s="1"/>
  <c r="A494" i="2"/>
  <c r="B494" i="2" s="1"/>
  <c r="A396" i="2"/>
  <c r="B396" i="2" s="1"/>
  <c r="A475" i="2"/>
  <c r="B475" i="2" s="1"/>
  <c r="D475" i="2" s="1"/>
  <c r="A637" i="2"/>
  <c r="B637" i="2" s="1"/>
  <c r="A341" i="2"/>
  <c r="B341" i="2" s="1"/>
  <c r="A667" i="2"/>
  <c r="B667" i="2" s="1"/>
  <c r="A588" i="2"/>
  <c r="B588" i="2" s="1"/>
  <c r="C588" i="2" s="1"/>
  <c r="E588" i="2" s="1"/>
  <c r="A623" i="2"/>
  <c r="B623" i="2" s="1"/>
  <c r="A761" i="2"/>
  <c r="B761" i="2" s="1"/>
  <c r="A445" i="2"/>
  <c r="B445" i="2" s="1"/>
  <c r="A503" i="2"/>
  <c r="B503" i="2" s="1"/>
  <c r="D503" i="2" s="1"/>
  <c r="A356" i="2"/>
  <c r="B356" i="2" s="1"/>
  <c r="A736" i="2"/>
  <c r="B736" i="2" s="1"/>
  <c r="A692" i="2"/>
  <c r="B692" i="2" s="1"/>
  <c r="A677" i="2"/>
  <c r="B677" i="2" s="1"/>
  <c r="D677" i="2" s="1"/>
  <c r="A362" i="2"/>
  <c r="B362" i="2" s="1"/>
  <c r="A518" i="2"/>
  <c r="B518" i="2" s="1"/>
  <c r="C518" i="2" s="1"/>
  <c r="E518" i="2" s="1"/>
  <c r="A519" i="2"/>
  <c r="B519" i="2" s="1"/>
  <c r="A734" i="2"/>
  <c r="B734" i="2" s="1"/>
  <c r="C734" i="2" s="1"/>
  <c r="E734" i="2" s="1"/>
  <c r="A347" i="2"/>
  <c r="B347" i="2" s="1"/>
  <c r="A586" i="2"/>
  <c r="B586" i="2" s="1"/>
  <c r="A629" i="2"/>
  <c r="B629" i="2" s="1"/>
  <c r="A587" i="2"/>
  <c r="B587" i="2" s="1"/>
  <c r="C587" i="2" s="1"/>
  <c r="E587" i="2" s="1"/>
  <c r="A533" i="2"/>
  <c r="B533" i="2" s="1"/>
  <c r="A495" i="2"/>
  <c r="B495" i="2" s="1"/>
  <c r="A698" i="2"/>
  <c r="B698" i="2" s="1"/>
  <c r="A557" i="2"/>
  <c r="B557" i="2" s="1"/>
  <c r="C557" i="2" s="1"/>
  <c r="E557" i="2" s="1"/>
  <c r="A714" i="2"/>
  <c r="B714" i="2" s="1"/>
  <c r="A427" i="2"/>
  <c r="B427" i="2" s="1"/>
  <c r="A388" i="2"/>
  <c r="B388" i="2" s="1"/>
  <c r="A501" i="2"/>
  <c r="B501" i="2" s="1"/>
  <c r="C501" i="2" s="1"/>
  <c r="E501" i="2" s="1"/>
  <c r="A655" i="2"/>
  <c r="B655" i="2" s="1"/>
  <c r="A410" i="2"/>
  <c r="B410" i="2" s="1"/>
  <c r="A509" i="2"/>
  <c r="B509" i="2" s="1"/>
  <c r="A694" i="2"/>
  <c r="B694" i="2" s="1"/>
  <c r="D694" i="2" s="1"/>
  <c r="A712" i="2"/>
  <c r="B712" i="2" s="1"/>
  <c r="A658" i="2"/>
  <c r="B658" i="2" s="1"/>
  <c r="A546" i="2"/>
  <c r="B546" i="2" s="1"/>
  <c r="A499" i="2"/>
  <c r="B499" i="2" s="1"/>
  <c r="D499" i="2" s="1"/>
  <c r="A715" i="2"/>
  <c r="B715" i="2" s="1"/>
  <c r="A511" i="2"/>
  <c r="B511" i="2" s="1"/>
  <c r="C511" i="2" s="1"/>
  <c r="E511" i="2" s="1"/>
  <c r="A541" i="2"/>
  <c r="B541" i="2" s="1"/>
  <c r="A705" i="2"/>
  <c r="B705" i="2" s="1"/>
  <c r="D705" i="2" s="1"/>
  <c r="A722" i="2"/>
  <c r="B722" i="2" s="1"/>
  <c r="A419" i="2"/>
  <c r="B419" i="2" s="1"/>
  <c r="A435" i="2"/>
  <c r="B435" i="2" s="1"/>
  <c r="A642" i="2"/>
  <c r="B642" i="2" s="1"/>
  <c r="C642" i="2" s="1"/>
  <c r="E642" i="2" s="1"/>
  <c r="A668" i="2"/>
  <c r="B668" i="2" s="1"/>
  <c r="A676" i="2"/>
  <c r="B676" i="2" s="1"/>
  <c r="A524" i="2"/>
  <c r="B524" i="2" s="1"/>
  <c r="A757" i="2"/>
  <c r="B757" i="2" s="1"/>
  <c r="C757" i="2" s="1"/>
  <c r="E757" i="2" s="1"/>
  <c r="A622" i="2"/>
  <c r="B622" i="2" s="1"/>
  <c r="A768" i="2"/>
  <c r="B768" i="2" s="1"/>
  <c r="A645" i="2"/>
  <c r="B645" i="2" s="1"/>
  <c r="A649" i="2"/>
  <c r="B649" i="2" s="1"/>
  <c r="C649" i="2" s="1"/>
  <c r="E649" i="2" s="1"/>
  <c r="A537" i="2"/>
  <c r="B537" i="2" s="1"/>
  <c r="A731" i="2"/>
  <c r="B731" i="2" s="1"/>
  <c r="A763" i="2"/>
  <c r="B763" i="2" s="1"/>
  <c r="A680" i="2"/>
  <c r="B680" i="2" s="1"/>
  <c r="C680" i="2" s="1"/>
  <c r="E680" i="2" s="1"/>
  <c r="A441" i="2"/>
  <c r="B441" i="2" s="1"/>
  <c r="A464" i="2"/>
  <c r="B464" i="2" s="1"/>
  <c r="A554" i="2"/>
  <c r="B554" i="2" s="1"/>
  <c r="A459" i="2"/>
  <c r="B459" i="2" s="1"/>
  <c r="D459" i="2" s="1"/>
  <c r="A379" i="2"/>
  <c r="B379" i="2" s="1"/>
  <c r="A628" i="2"/>
  <c r="B628" i="2" s="1"/>
  <c r="A558" i="2"/>
  <c r="B558" i="2" s="1"/>
  <c r="A492" i="2"/>
  <c r="B492" i="2" s="1"/>
  <c r="D492" i="2" s="1"/>
  <c r="A423" i="2"/>
  <c r="B423" i="2" s="1"/>
  <c r="A578" i="2"/>
  <c r="B578" i="2" s="1"/>
  <c r="A656" i="2"/>
  <c r="B656" i="2" s="1"/>
  <c r="A653" i="2"/>
  <c r="B653" i="2" s="1"/>
  <c r="C653" i="2" s="1"/>
  <c r="E653" i="2" s="1"/>
  <c r="A515" i="2"/>
  <c r="B515" i="2" s="1"/>
  <c r="A555" i="2"/>
  <c r="B555" i="2" s="1"/>
  <c r="A528" i="2"/>
  <c r="B528" i="2" s="1"/>
  <c r="A361" i="2"/>
  <c r="B361" i="2" s="1"/>
  <c r="C361" i="2" s="1"/>
  <c r="E361" i="2" s="1"/>
  <c r="A687" i="2"/>
  <c r="B687" i="2" s="1"/>
  <c r="A749" i="2"/>
  <c r="B749" i="2" s="1"/>
  <c r="A443" i="2"/>
  <c r="B443" i="2" s="1"/>
  <c r="A567" i="2"/>
  <c r="B567" i="2" s="1"/>
  <c r="C567" i="2" s="1"/>
  <c r="E567" i="2" s="1"/>
  <c r="A752" i="2"/>
  <c r="B752" i="2" s="1"/>
  <c r="A433" i="2"/>
  <c r="B433" i="2" s="1"/>
  <c r="A532" i="2"/>
  <c r="B532" i="2" s="1"/>
  <c r="A603" i="2"/>
  <c r="B603" i="2" s="1"/>
  <c r="C603" i="2" s="1"/>
  <c r="E603" i="2" s="1"/>
  <c r="A713" i="2"/>
  <c r="B713" i="2" s="1"/>
  <c r="A643" i="2"/>
  <c r="B643" i="2" s="1"/>
  <c r="A724" i="2"/>
  <c r="B724" i="2" s="1"/>
  <c r="A683" i="2"/>
  <c r="B683" i="2" s="1"/>
  <c r="C683" i="2" s="1"/>
  <c r="E683" i="2" s="1"/>
  <c r="A664" i="2"/>
  <c r="B664" i="2" s="1"/>
  <c r="A597" i="2"/>
  <c r="B597" i="2" s="1"/>
  <c r="A647" i="2"/>
  <c r="B647" i="2" s="1"/>
  <c r="A648" i="2"/>
  <c r="B648" i="2" s="1"/>
  <c r="D648" i="2" s="1"/>
  <c r="A498" i="2"/>
  <c r="B498" i="2" s="1"/>
  <c r="A447" i="2"/>
  <c r="B447" i="2" s="1"/>
  <c r="A346" i="2"/>
  <c r="B346" i="2" s="1"/>
  <c r="D346" i="2" s="1"/>
  <c r="A593" i="2"/>
  <c r="B593" i="2" s="1"/>
  <c r="A434" i="2"/>
  <c r="B434" i="2" s="1"/>
  <c r="A367" i="2"/>
  <c r="B367" i="2" s="1"/>
  <c r="C367" i="2" s="1"/>
  <c r="E367" i="2" s="1"/>
  <c r="A631" i="2"/>
  <c r="B631" i="2" s="1"/>
  <c r="A620" i="2"/>
  <c r="B620" i="2" s="1"/>
  <c r="D620" i="2" s="1"/>
  <c r="A538" i="2"/>
  <c r="B538" i="2" s="1"/>
  <c r="A591" i="2"/>
  <c r="B591" i="2" s="1"/>
  <c r="A700" i="2"/>
  <c r="B700" i="2" s="1"/>
  <c r="A380" i="2"/>
  <c r="B380" i="2" s="1"/>
  <c r="C380" i="2" s="1"/>
  <c r="E380" i="2" s="1"/>
  <c r="A766" i="2"/>
  <c r="B766" i="2" s="1"/>
  <c r="A617" i="2"/>
  <c r="B617" i="2" s="1"/>
  <c r="A500" i="2"/>
  <c r="B500" i="2" s="1"/>
  <c r="D500" i="2" s="1"/>
  <c r="A487" i="2"/>
  <c r="B487" i="2" s="1"/>
  <c r="C487" i="2" s="1"/>
  <c r="E487" i="2" s="1"/>
  <c r="A632" i="2"/>
  <c r="B632" i="2" s="1"/>
  <c r="A756" i="2"/>
  <c r="B756" i="2" s="1"/>
  <c r="D756" i="2" s="1"/>
  <c r="A739" i="2"/>
  <c r="B739" i="2" s="1"/>
  <c r="A758" i="2"/>
  <c r="B758" i="2" s="1"/>
  <c r="C758" i="2" s="1"/>
  <c r="E758" i="2" s="1"/>
  <c r="A424" i="2"/>
  <c r="B424" i="2" s="1"/>
  <c r="A728" i="2"/>
  <c r="B728" i="2" s="1"/>
  <c r="A638" i="2"/>
  <c r="B638" i="2" s="1"/>
  <c r="D638" i="2" s="1"/>
  <c r="A491" i="2"/>
  <c r="B491" i="2" s="1"/>
  <c r="C491" i="2" s="1"/>
  <c r="E491" i="2" s="1"/>
  <c r="A461" i="2"/>
  <c r="B461" i="2" s="1"/>
  <c r="A455" i="2"/>
  <c r="B455" i="2" s="1"/>
  <c r="A773" i="2"/>
  <c r="B773" i="2" s="1"/>
  <c r="C773" i="2" s="1"/>
  <c r="E773" i="2" s="1"/>
  <c r="A759" i="2"/>
  <c r="B759" i="2" s="1"/>
  <c r="C759" i="2" s="1"/>
  <c r="E759" i="2" s="1"/>
  <c r="A525" i="2"/>
  <c r="B525" i="2" s="1"/>
  <c r="A456" i="2"/>
  <c r="B456" i="2" s="1"/>
  <c r="C456" i="2" s="1"/>
  <c r="E456" i="2" s="1"/>
  <c r="A418" i="2"/>
  <c r="B418" i="2" s="1"/>
  <c r="A474" i="2"/>
  <c r="B474" i="2" s="1"/>
  <c r="C474" i="2" s="1"/>
  <c r="E474" i="2" s="1"/>
  <c r="A679" i="2"/>
  <c r="B679" i="2" s="1"/>
  <c r="A527" i="2"/>
  <c r="B527" i="2" s="1"/>
  <c r="A626" i="2"/>
  <c r="B626" i="2" s="1"/>
  <c r="C626" i="2" s="1"/>
  <c r="E626" i="2" s="1"/>
  <c r="A422" i="2"/>
  <c r="B422" i="2" s="1"/>
  <c r="D422" i="2" s="1"/>
  <c r="A553" i="2"/>
  <c r="B553" i="2" s="1"/>
  <c r="A652" i="2"/>
  <c r="B652" i="2" s="1"/>
  <c r="A358" i="2"/>
  <c r="B358" i="2" s="1"/>
  <c r="A729" i="2"/>
  <c r="B729" i="2" s="1"/>
  <c r="C729" i="2" s="1"/>
  <c r="E729" i="2" s="1"/>
  <c r="A439" i="2"/>
  <c r="B439" i="2" s="1"/>
  <c r="A746" i="2"/>
  <c r="B746" i="2" s="1"/>
  <c r="A430" i="2"/>
  <c r="B430" i="2" s="1"/>
  <c r="C430" i="2" s="1"/>
  <c r="E430" i="2" s="1"/>
  <c r="A483" i="2"/>
  <c r="B483" i="2" s="1"/>
  <c r="C483" i="2" s="1"/>
  <c r="E483" i="2" s="1"/>
  <c r="A582" i="2"/>
  <c r="B582" i="2" s="1"/>
  <c r="A673" i="2"/>
  <c r="B673" i="2" s="1"/>
  <c r="A363" i="2"/>
  <c r="B363" i="2" s="1"/>
  <c r="C363" i="2" s="1"/>
  <c r="E363" i="2" s="1"/>
  <c r="A612" i="2"/>
  <c r="B612" i="2" s="1"/>
  <c r="D612" i="2" s="1"/>
  <c r="A689" i="2"/>
  <c r="B689" i="2" s="1"/>
  <c r="A577" i="2"/>
  <c r="B577" i="2" s="1"/>
  <c r="C577" i="2" s="1"/>
  <c r="E577" i="2" s="1"/>
  <c r="A401" i="2"/>
  <c r="B401" i="2" s="1"/>
  <c r="A370" i="2"/>
  <c r="B370" i="2" s="1"/>
  <c r="C370" i="2" s="1"/>
  <c r="E370" i="2" s="1"/>
  <c r="A413" i="2"/>
  <c r="B413" i="2" s="1"/>
  <c r="A390" i="2"/>
  <c r="B390" i="2" s="1"/>
  <c r="A502" i="2"/>
  <c r="B502" i="2" s="1"/>
  <c r="D502" i="2" s="1"/>
  <c r="A563" i="2"/>
  <c r="B563" i="2" s="1"/>
  <c r="C563" i="2" s="1"/>
  <c r="E563" i="2" s="1"/>
  <c r="A457" i="2"/>
  <c r="B457" i="2" s="1"/>
  <c r="A592" i="2"/>
  <c r="B592" i="2" s="1"/>
  <c r="D592" i="2" s="1"/>
  <c r="A469" i="2"/>
  <c r="B469" i="2" s="1"/>
  <c r="A669" i="2"/>
  <c r="B669" i="2" s="1"/>
  <c r="D669" i="2" s="1"/>
  <c r="A730" i="2"/>
  <c r="B730" i="2" s="1"/>
  <c r="A561" i="2"/>
  <c r="B561" i="2" s="1"/>
  <c r="D561" i="2" s="1"/>
  <c r="A659" i="2"/>
  <c r="B659" i="2" s="1"/>
  <c r="A462" i="2"/>
  <c r="B462" i="2" s="1"/>
  <c r="C462" i="2" s="1"/>
  <c r="E462" i="2" s="1"/>
  <c r="A660" i="2"/>
  <c r="B660" i="2" s="1"/>
  <c r="A574" i="2"/>
  <c r="B574" i="2" s="1"/>
  <c r="C574" i="2" s="1"/>
  <c r="E574" i="2" s="1"/>
  <c r="A740" i="2"/>
  <c r="B740" i="2" s="1"/>
  <c r="A718" i="2"/>
  <c r="B718" i="2" s="1"/>
  <c r="D718" i="2" s="1"/>
  <c r="A369" i="2"/>
  <c r="B369" i="2" s="1"/>
  <c r="A470" i="2"/>
  <c r="B470" i="2" s="1"/>
  <c r="C470" i="2" s="1"/>
  <c r="E470" i="2" s="1"/>
  <c r="A544" i="2"/>
  <c r="B544" i="2" s="1"/>
  <c r="A357" i="2"/>
  <c r="B357" i="2" s="1"/>
  <c r="C357" i="2" s="1"/>
  <c r="E357" i="2" s="1"/>
  <c r="A708" i="2"/>
  <c r="B708" i="2" s="1"/>
  <c r="A534" i="2"/>
  <c r="B534" i="2" s="1"/>
  <c r="D534" i="2" s="1"/>
  <c r="A485" i="2"/>
  <c r="B485" i="2" s="1"/>
  <c r="A402" i="2"/>
  <c r="B402" i="2" s="1"/>
  <c r="C402" i="2" s="1"/>
  <c r="E402" i="2" s="1"/>
  <c r="A726" i="2"/>
  <c r="B726" i="2" s="1"/>
  <c r="A556" i="2"/>
  <c r="B556" i="2" s="1"/>
  <c r="D556" i="2" s="1"/>
  <c r="A428" i="2"/>
  <c r="B428" i="2" s="1"/>
  <c r="A560" i="2"/>
  <c r="B560" i="2" s="1"/>
  <c r="C560" i="2" s="1"/>
  <c r="E560" i="2" s="1"/>
  <c r="M45" i="2"/>
  <c r="C45" i="4" s="1"/>
  <c r="D45" i="4" s="1"/>
  <c r="L54" i="2"/>
  <c r="A54" i="4" s="1"/>
  <c r="M64" i="2"/>
  <c r="C64" i="4" s="1"/>
  <c r="D64" i="4" s="1"/>
  <c r="K104" i="2"/>
  <c r="B104" i="4" s="1"/>
  <c r="L55" i="2"/>
  <c r="A55" i="4" s="1"/>
  <c r="K40" i="2"/>
  <c r="B40" i="4" s="1"/>
  <c r="A662" i="2"/>
  <c r="B662" i="2" s="1"/>
  <c r="D662" i="2" s="1"/>
  <c r="A345" i="2"/>
  <c r="B345" i="2" s="1"/>
  <c r="A384" i="2"/>
  <c r="B384" i="2" s="1"/>
  <c r="A641" i="2"/>
  <c r="B641" i="2" s="1"/>
  <c r="A640" i="2"/>
  <c r="B640" i="2" s="1"/>
  <c r="A737" i="2"/>
  <c r="B737" i="2" s="1"/>
  <c r="A543" i="2"/>
  <c r="B543" i="2" s="1"/>
  <c r="A404" i="2"/>
  <c r="B404" i="2" s="1"/>
  <c r="A600" i="2"/>
  <c r="B600" i="2" s="1"/>
  <c r="A681" i="2"/>
  <c r="B681" i="2" s="1"/>
  <c r="A490" i="2"/>
  <c r="B490" i="2" s="1"/>
  <c r="A699" i="2"/>
  <c r="B699" i="2" s="1"/>
  <c r="A425" i="2"/>
  <c r="B425" i="2" s="1"/>
  <c r="A605" i="2"/>
  <c r="B605" i="2" s="1"/>
  <c r="D605" i="2" s="1"/>
  <c r="A398" i="2"/>
  <c r="B398" i="2" s="1"/>
  <c r="A377" i="2"/>
  <c r="B377" i="2" s="1"/>
  <c r="A444" i="2"/>
  <c r="B444" i="2" s="1"/>
  <c r="A717" i="2"/>
  <c r="B717" i="2" s="1"/>
  <c r="C717" i="2" s="1"/>
  <c r="E717" i="2" s="1"/>
  <c r="A562" i="2"/>
  <c r="B562" i="2" s="1"/>
  <c r="A378" i="2"/>
  <c r="B378" i="2" s="1"/>
  <c r="A570" i="2"/>
  <c r="B570" i="2" s="1"/>
  <c r="D570" i="2" s="1"/>
  <c r="A417" i="2"/>
  <c r="B417" i="2" s="1"/>
  <c r="C417" i="2" s="1"/>
  <c r="E417" i="2" s="1"/>
  <c r="A411" i="2"/>
  <c r="B411" i="2" s="1"/>
  <c r="A564" i="2"/>
  <c r="B564" i="2" s="1"/>
  <c r="C564" i="2" s="1"/>
  <c r="E564" i="2" s="1"/>
  <c r="A374" i="2"/>
  <c r="B374" i="2" s="1"/>
  <c r="A571" i="2"/>
  <c r="B571" i="2" s="1"/>
  <c r="C571" i="2" s="1"/>
  <c r="E571" i="2" s="1"/>
  <c r="A686" i="2"/>
  <c r="B686" i="2" s="1"/>
  <c r="A513" i="2"/>
  <c r="B513" i="2" s="1"/>
  <c r="A429" i="2"/>
  <c r="B429" i="2" s="1"/>
  <c r="C429" i="2" s="1"/>
  <c r="E429" i="2" s="1"/>
  <c r="A725" i="2"/>
  <c r="B725" i="2" s="1"/>
  <c r="D725" i="2" s="1"/>
  <c r="A342" i="2"/>
  <c r="B342" i="2" s="1"/>
  <c r="A364" i="2"/>
  <c r="B364" i="2" s="1"/>
  <c r="D364" i="2" s="1"/>
  <c r="A508" i="2"/>
  <c r="B508" i="2" s="1"/>
  <c r="A529" i="2"/>
  <c r="B529" i="2" s="1"/>
  <c r="C529" i="2" s="1"/>
  <c r="E529" i="2" s="1"/>
  <c r="A615" i="2"/>
  <c r="B615" i="2" s="1"/>
  <c r="A520" i="2"/>
  <c r="B520" i="2" s="1"/>
  <c r="A674" i="2"/>
  <c r="B674" i="2" s="1"/>
  <c r="A407" i="2"/>
  <c r="B407" i="2" s="1"/>
  <c r="C407" i="2" s="1"/>
  <c r="E407" i="2" s="1"/>
  <c r="A719" i="2"/>
  <c r="B719" i="2" s="1"/>
  <c r="A748" i="2"/>
  <c r="B748" i="2" s="1"/>
  <c r="A453" i="2"/>
  <c r="B453" i="2" s="1"/>
  <c r="A353" i="2"/>
  <c r="B353" i="2" s="1"/>
  <c r="C353" i="2" s="1"/>
  <c r="E353" i="2" s="1"/>
  <c r="A747" i="2"/>
  <c r="B747" i="2" s="1"/>
  <c r="A352" i="2"/>
  <c r="B352" i="2" s="1"/>
  <c r="A614" i="2"/>
  <c r="B614" i="2" s="1"/>
  <c r="A393" i="2"/>
  <c r="B393" i="2" s="1"/>
  <c r="C393" i="2" s="1"/>
  <c r="E393" i="2" s="1"/>
  <c r="L41" i="2"/>
  <c r="A41" i="4" s="1"/>
  <c r="M41" i="2"/>
  <c r="C41" i="4" s="1"/>
  <c r="D41" i="4" s="1"/>
  <c r="K224" i="2"/>
  <c r="B224" i="4" s="1"/>
  <c r="M224" i="2"/>
  <c r="C224" i="4" s="1"/>
  <c r="D224" i="4" s="1"/>
  <c r="M58" i="2"/>
  <c r="C58" i="4" s="1"/>
  <c r="D58" i="4" s="1"/>
  <c r="K48" i="2"/>
  <c r="B48" i="4" s="1"/>
  <c r="K112" i="2"/>
  <c r="B112" i="4" s="1"/>
  <c r="K55" i="2"/>
  <c r="B55" i="4" s="1"/>
  <c r="A601" i="2"/>
  <c r="B601" i="2" s="1"/>
  <c r="A599" i="2"/>
  <c r="B599" i="2" s="1"/>
  <c r="A496" i="2"/>
  <c r="B496" i="2" s="1"/>
  <c r="D496" i="2" s="1"/>
  <c r="A742" i="2"/>
  <c r="B742" i="2" s="1"/>
  <c r="D742" i="2" s="1"/>
  <c r="A579" i="2"/>
  <c r="B579" i="2" s="1"/>
  <c r="A634" i="2"/>
  <c r="B634" i="2" s="1"/>
  <c r="A771" i="2"/>
  <c r="B771" i="2" s="1"/>
  <c r="C771" i="2" s="1"/>
  <c r="E771" i="2" s="1"/>
  <c r="A375" i="2"/>
  <c r="B375" i="2" s="1"/>
  <c r="D375" i="2" s="1"/>
  <c r="A479" i="2"/>
  <c r="B479" i="2" s="1"/>
  <c r="A409" i="2"/>
  <c r="B409" i="2" s="1"/>
  <c r="C409" i="2" s="1"/>
  <c r="E409" i="2" s="1"/>
  <c r="A371" i="2"/>
  <c r="B371" i="2" s="1"/>
  <c r="D371" i="2" s="1"/>
  <c r="A610" i="2"/>
  <c r="B610" i="2" s="1"/>
  <c r="D610" i="2" s="1"/>
  <c r="A536" i="2"/>
  <c r="B536" i="2" s="1"/>
  <c r="A707" i="2"/>
  <c r="B707" i="2" s="1"/>
  <c r="A743" i="2"/>
  <c r="B743" i="2" s="1"/>
  <c r="C743" i="2" s="1"/>
  <c r="E743" i="2" s="1"/>
  <c r="A706" i="2"/>
  <c r="B706" i="2" s="1"/>
  <c r="C706" i="2" s="1"/>
  <c r="E706" i="2" s="1"/>
  <c r="A497" i="2"/>
  <c r="B497" i="2" s="1"/>
  <c r="A431" i="2"/>
  <c r="B431" i="2" s="1"/>
  <c r="C431" i="2" s="1"/>
  <c r="E431" i="2" s="1"/>
  <c r="A710" i="2"/>
  <c r="B710" i="2" s="1"/>
  <c r="A514" i="2"/>
  <c r="B514" i="2" s="1"/>
  <c r="D514" i="2" s="1"/>
  <c r="A691" i="2"/>
  <c r="B691" i="2" s="1"/>
  <c r="A594" i="2"/>
  <c r="B594" i="2" s="1"/>
  <c r="A696" i="2"/>
  <c r="B696" i="2" s="1"/>
  <c r="D696" i="2" s="1"/>
  <c r="A744" i="2"/>
  <c r="B744" i="2" s="1"/>
  <c r="D744" i="2" s="1"/>
  <c r="A618" i="2"/>
  <c r="B618" i="2" s="1"/>
  <c r="A400" i="2"/>
  <c r="B400" i="2" s="1"/>
  <c r="A559" i="2"/>
  <c r="B559" i="2" s="1"/>
  <c r="C559" i="2" s="1"/>
  <c r="E559" i="2" s="1"/>
  <c r="A608" i="2"/>
  <c r="B608" i="2" s="1"/>
  <c r="D608" i="2" s="1"/>
  <c r="A572" i="2"/>
  <c r="B572" i="2" s="1"/>
  <c r="A437" i="2"/>
  <c r="B437" i="2" s="1"/>
  <c r="A516" i="2"/>
  <c r="B516" i="2" s="1"/>
  <c r="A530" i="2"/>
  <c r="B530" i="2" s="1"/>
  <c r="D530" i="2" s="1"/>
  <c r="A621" i="2"/>
  <c r="B621" i="2" s="1"/>
  <c r="A531" i="2"/>
  <c r="B531" i="2" s="1"/>
  <c r="A366" i="2"/>
  <c r="B366" i="2" s="1"/>
  <c r="A672" i="2"/>
  <c r="B672" i="2" s="1"/>
  <c r="C672" i="2" s="1"/>
  <c r="E672" i="2" s="1"/>
  <c r="A663" i="2"/>
  <c r="B663" i="2" s="1"/>
  <c r="A565" i="2"/>
  <c r="B565" i="2" s="1"/>
  <c r="C565" i="2" s="1"/>
  <c r="E565" i="2" s="1"/>
  <c r="A585" i="2"/>
  <c r="B585" i="2" s="1"/>
  <c r="A476" i="2"/>
  <c r="B476" i="2" s="1"/>
  <c r="C476" i="2" s="1"/>
  <c r="E476" i="2" s="1"/>
  <c r="A575" i="2"/>
  <c r="B575" i="2" s="1"/>
  <c r="A709" i="2"/>
  <c r="B709" i="2" s="1"/>
  <c r="A552" i="2"/>
  <c r="B552" i="2" s="1"/>
  <c r="C552" i="2" s="1"/>
  <c r="E552" i="2" s="1"/>
  <c r="A654" i="2"/>
  <c r="B654" i="2" s="1"/>
  <c r="C654" i="2" s="1"/>
  <c r="E654" i="2" s="1"/>
  <c r="K116" i="2"/>
  <c r="B116" i="4" s="1"/>
  <c r="H208" i="2"/>
  <c r="J208" i="2" s="1"/>
  <c r="I208" i="2"/>
  <c r="H212" i="2"/>
  <c r="J212" i="2" s="1"/>
  <c r="I212" i="2"/>
  <c r="H206" i="2"/>
  <c r="J206" i="2" s="1"/>
  <c r="I206" i="2"/>
  <c r="I207" i="2"/>
  <c r="H207" i="2"/>
  <c r="J207" i="2" s="1"/>
  <c r="I198" i="2"/>
  <c r="H198" i="2"/>
  <c r="J198" i="2" s="1"/>
  <c r="I199" i="2"/>
  <c r="H199" i="2"/>
  <c r="J199" i="2" s="1"/>
  <c r="K98" i="2"/>
  <c r="B98" i="4" s="1"/>
  <c r="K108" i="2"/>
  <c r="B108" i="4" s="1"/>
  <c r="K106" i="2"/>
  <c r="B106" i="4" s="1"/>
  <c r="K89" i="2"/>
  <c r="B89" i="4" s="1"/>
  <c r="K52" i="2"/>
  <c r="B52" i="4" s="1"/>
  <c r="K63" i="2"/>
  <c r="B63" i="4" s="1"/>
  <c r="K81" i="2"/>
  <c r="B81" i="4" s="1"/>
  <c r="K53" i="2"/>
  <c r="B53" i="4" s="1"/>
  <c r="K33" i="2"/>
  <c r="B33" i="4" s="1"/>
  <c r="K37" i="2"/>
  <c r="B37" i="4" s="1"/>
  <c r="I200" i="2"/>
  <c r="H200" i="2"/>
  <c r="J200" i="2" s="1"/>
  <c r="I202" i="2"/>
  <c r="H202" i="2"/>
  <c r="J202" i="2" s="1"/>
  <c r="H213" i="2"/>
  <c r="J213" i="2" s="1"/>
  <c r="I213" i="2"/>
  <c r="H215" i="2"/>
  <c r="J215" i="2" s="1"/>
  <c r="I215" i="2"/>
  <c r="H211" i="2"/>
  <c r="J211" i="2" s="1"/>
  <c r="I211" i="2"/>
  <c r="H209" i="2"/>
  <c r="J209" i="2" s="1"/>
  <c r="I209" i="2"/>
  <c r="I201" i="2"/>
  <c r="H201" i="2"/>
  <c r="J201" i="2" s="1"/>
  <c r="H217" i="2"/>
  <c r="J217" i="2" s="1"/>
  <c r="I217" i="2"/>
  <c r="H220" i="2"/>
  <c r="J220" i="2" s="1"/>
  <c r="I220" i="2"/>
  <c r="H214" i="2"/>
  <c r="J214" i="2" s="1"/>
  <c r="I214" i="2"/>
  <c r="H216" i="2"/>
  <c r="J216" i="2" s="1"/>
  <c r="I216" i="2"/>
  <c r="O51" i="2"/>
  <c r="O147" i="2" s="1"/>
  <c r="O243" i="2" s="1"/>
  <c r="V48" i="5"/>
  <c r="O52" i="2" s="1"/>
  <c r="O148" i="2" s="1"/>
  <c r="O244" i="2" s="1"/>
  <c r="O340" i="2" s="1"/>
  <c r="O436" i="2" s="1"/>
  <c r="O532" i="2" s="1"/>
  <c r="O628" i="2" s="1"/>
  <c r="O724" i="2" s="1"/>
  <c r="K119" i="2"/>
  <c r="B119" i="4" s="1"/>
  <c r="K99" i="2"/>
  <c r="B99" i="4" s="1"/>
  <c r="K26" i="2"/>
  <c r="B26" i="4" s="1"/>
  <c r="K23" i="2"/>
  <c r="B23" i="4" s="1"/>
  <c r="K42" i="2"/>
  <c r="B42" i="4" s="1"/>
  <c r="K56" i="2"/>
  <c r="B56" i="4" s="1"/>
  <c r="K115" i="2"/>
  <c r="B115" i="4" s="1"/>
  <c r="K51" i="2"/>
  <c r="B51" i="4" s="1"/>
  <c r="H218" i="2"/>
  <c r="J218" i="2" s="1"/>
  <c r="I218" i="2"/>
  <c r="H210" i="2"/>
  <c r="J210" i="2" s="1"/>
  <c r="I210" i="2"/>
  <c r="H204" i="2"/>
  <c r="J204" i="2" s="1"/>
  <c r="I204" i="2"/>
  <c r="H197" i="2"/>
  <c r="J197" i="2" s="1"/>
  <c r="I197" i="2"/>
  <c r="I203" i="2"/>
  <c r="H203" i="2"/>
  <c r="J203" i="2" s="1"/>
  <c r="I205" i="2"/>
  <c r="H205" i="2"/>
  <c r="J205" i="2" s="1"/>
  <c r="O338" i="2"/>
  <c r="O434" i="2" s="1"/>
  <c r="O530" i="2" s="1"/>
  <c r="O626" i="2" s="1"/>
  <c r="O722" i="2" s="1"/>
  <c r="A283" i="2"/>
  <c r="B283" i="2" s="1"/>
  <c r="A301" i="2"/>
  <c r="B301" i="2" s="1"/>
  <c r="A303" i="2"/>
  <c r="B303" i="2" s="1"/>
  <c r="A306" i="2"/>
  <c r="B306" i="2" s="1"/>
  <c r="A282" i="2"/>
  <c r="B282" i="2" s="1"/>
  <c r="A308" i="2"/>
  <c r="B308" i="2" s="1"/>
  <c r="A295" i="2"/>
  <c r="B295" i="2" s="1"/>
  <c r="A300" i="2"/>
  <c r="B300" i="2" s="1"/>
  <c r="A302" i="2"/>
  <c r="B302" i="2" s="1"/>
  <c r="A299" i="2"/>
  <c r="B299" i="2" s="1"/>
  <c r="A293" i="2"/>
  <c r="B293" i="2" s="1"/>
  <c r="A281" i="2"/>
  <c r="B281" i="2" s="1"/>
  <c r="A310" i="2"/>
  <c r="B310" i="2" s="1"/>
  <c r="A304" i="2"/>
  <c r="B304" i="2" s="1"/>
  <c r="A272" i="2"/>
  <c r="B272" i="2" s="1"/>
  <c r="A307" i="2"/>
  <c r="B307" i="2" s="1"/>
  <c r="A305" i="2"/>
  <c r="B305" i="2" s="1"/>
  <c r="A287" i="2"/>
  <c r="B287" i="2" s="1"/>
  <c r="A270" i="2"/>
  <c r="B270" i="2" s="1"/>
  <c r="A298" i="2"/>
  <c r="B298" i="2" s="1"/>
  <c r="A311" i="2"/>
  <c r="B311" i="2" s="1"/>
  <c r="A285" i="2"/>
  <c r="B285" i="2" s="1"/>
  <c r="A284" i="2"/>
  <c r="B284" i="2" s="1"/>
  <c r="A277" i="2"/>
  <c r="B277" i="2" s="1"/>
  <c r="A271" i="2"/>
  <c r="B271" i="2" s="1"/>
  <c r="A312" i="2"/>
  <c r="B312" i="2" s="1"/>
  <c r="A291" i="2"/>
  <c r="B291" i="2" s="1"/>
  <c r="A289" i="2"/>
  <c r="B289" i="2" s="1"/>
  <c r="A278" i="2"/>
  <c r="B278" i="2" s="1"/>
  <c r="A288" i="2"/>
  <c r="B288" i="2" s="1"/>
  <c r="A294" i="2"/>
  <c r="B294" i="2" s="1"/>
  <c r="A296" i="2"/>
  <c r="B296" i="2" s="1"/>
  <c r="A297" i="2"/>
  <c r="B297" i="2" s="1"/>
  <c r="A290" i="2"/>
  <c r="B290" i="2" s="1"/>
  <c r="A292" i="2"/>
  <c r="B292" i="2" s="1"/>
  <c r="A279" i="2"/>
  <c r="B279" i="2" s="1"/>
  <c r="A309" i="2"/>
  <c r="B309" i="2" s="1"/>
  <c r="A286" i="2"/>
  <c r="B286" i="2" s="1"/>
  <c r="A280" i="2"/>
  <c r="B280" i="2" s="1"/>
  <c r="A269" i="2"/>
  <c r="B269" i="2" s="1"/>
  <c r="A268" i="2"/>
  <c r="B268" i="2" s="1"/>
  <c r="A266" i="2"/>
  <c r="B266" i="2" s="1"/>
  <c r="A265" i="2"/>
  <c r="B265" i="2" s="1"/>
  <c r="A267" i="2"/>
  <c r="B267" i="2" s="1"/>
  <c r="A263" i="2"/>
  <c r="B263" i="2" s="1"/>
  <c r="A260" i="2"/>
  <c r="B260" i="2" s="1"/>
  <c r="A257" i="2"/>
  <c r="B257" i="2" s="1"/>
  <c r="A262" i="2"/>
  <c r="B262" i="2" s="1"/>
  <c r="A259" i="2"/>
  <c r="B259" i="2" s="1"/>
  <c r="A258" i="2"/>
  <c r="B258" i="2" s="1"/>
  <c r="A264" i="2"/>
  <c r="B264" i="2" s="1"/>
  <c r="A253" i="2"/>
  <c r="B253" i="2" s="1"/>
  <c r="A255" i="2"/>
  <c r="B255" i="2" s="1"/>
  <c r="A256" i="2"/>
  <c r="B256" i="2" s="1"/>
  <c r="A254" i="2"/>
  <c r="B254" i="2" s="1"/>
  <c r="A261" i="2"/>
  <c r="B261" i="2" s="1"/>
  <c r="M144" i="2"/>
  <c r="C144" i="4" s="1"/>
  <c r="D144" i="4" s="1"/>
  <c r="L115" i="2"/>
  <c r="A115" i="4" s="1"/>
  <c r="L70" i="2"/>
  <c r="A70" i="4" s="1"/>
  <c r="M51" i="2"/>
  <c r="C51" i="4" s="1"/>
  <c r="D51" i="4" s="1"/>
  <c r="M80" i="2"/>
  <c r="C80" i="4" s="1"/>
  <c r="D80" i="4" s="1"/>
  <c r="K132" i="2"/>
  <c r="B132" i="4" s="1"/>
  <c r="L56" i="2"/>
  <c r="A56" i="4" s="1"/>
  <c r="M40" i="2"/>
  <c r="C40" i="4" s="1"/>
  <c r="D40" i="4" s="1"/>
  <c r="L27" i="2"/>
  <c r="A27" i="4" s="1"/>
  <c r="K92" i="2"/>
  <c r="B92" i="4" s="1"/>
  <c r="M26" i="2"/>
  <c r="C26" i="4" s="1"/>
  <c r="D26" i="4" s="1"/>
  <c r="L23" i="2"/>
  <c r="A23" i="4" s="1"/>
  <c r="L29" i="2"/>
  <c r="A29" i="4" s="1"/>
  <c r="K32" i="2"/>
  <c r="B32" i="4" s="1"/>
  <c r="L96" i="2"/>
  <c r="A96" i="4" s="1"/>
  <c r="K29" i="2"/>
  <c r="B29" i="4" s="1"/>
  <c r="M32" i="2"/>
  <c r="C32" i="4" s="1"/>
  <c r="D32" i="4" s="1"/>
  <c r="L31" i="2"/>
  <c r="A31" i="4" s="1"/>
  <c r="K39" i="2"/>
  <c r="B39" i="4" s="1"/>
  <c r="K96" i="2"/>
  <c r="B96" i="4" s="1"/>
  <c r="L75" i="2"/>
  <c r="A75" i="4" s="1"/>
  <c r="K65" i="2"/>
  <c r="B65" i="4" s="1"/>
  <c r="L126" i="2"/>
  <c r="A126" i="4" s="1"/>
  <c r="M39" i="2"/>
  <c r="C39" i="4" s="1"/>
  <c r="D39" i="4" s="1"/>
  <c r="K80" i="2"/>
  <c r="B80" i="4" s="1"/>
  <c r="K76" i="2"/>
  <c r="B76" i="4" s="1"/>
  <c r="M92" i="2"/>
  <c r="C92" i="4" s="1"/>
  <c r="D92" i="4" s="1"/>
  <c r="L26" i="2"/>
  <c r="A26" i="4" s="1"/>
  <c r="K75" i="2"/>
  <c r="B75" i="4" s="1"/>
  <c r="K71" i="2"/>
  <c r="B71" i="4" s="1"/>
  <c r="M99" i="2"/>
  <c r="C99" i="4" s="1"/>
  <c r="D99" i="4" s="1"/>
  <c r="K72" i="2"/>
  <c r="B72" i="4" s="1"/>
  <c r="L99" i="2"/>
  <c r="A99" i="4" s="1"/>
  <c r="M117" i="2"/>
  <c r="C365" i="4" s="1"/>
  <c r="D365" i="4" s="1"/>
  <c r="L150" i="2"/>
  <c r="A150" i="4" s="1"/>
  <c r="K34" i="2"/>
  <c r="B34" i="4" s="1"/>
  <c r="K21" i="2"/>
  <c r="B21" i="4" s="1"/>
  <c r="K144" i="2"/>
  <c r="B144" i="4" s="1"/>
  <c r="M104" i="2"/>
  <c r="C104" i="4" s="1"/>
  <c r="D104" i="4" s="1"/>
  <c r="K45" i="2"/>
  <c r="B45" i="4" s="1"/>
  <c r="M100" i="2"/>
  <c r="C100" i="4" s="1"/>
  <c r="D100" i="4" s="1"/>
  <c r="L112" i="2"/>
  <c r="A112" i="4" s="1"/>
  <c r="K152" i="2"/>
  <c r="B152" i="4" s="1"/>
  <c r="M24" i="2"/>
  <c r="C24" i="4" s="1"/>
  <c r="D24" i="4" s="1"/>
  <c r="L59" i="2"/>
  <c r="A59" i="4" s="1"/>
  <c r="K102" i="2"/>
  <c r="B102" i="4" s="1"/>
  <c r="M72" i="2"/>
  <c r="C72" i="4" s="1"/>
  <c r="D72" i="4" s="1"/>
  <c r="L85" i="2"/>
  <c r="A85" i="4" s="1"/>
  <c r="K100" i="2"/>
  <c r="B100" i="4" s="1"/>
  <c r="L152" i="2"/>
  <c r="A152" i="4" s="1"/>
  <c r="K28" i="2"/>
  <c r="B28" i="4" s="1"/>
  <c r="M116" i="2"/>
  <c r="C116" i="4" s="1"/>
  <c r="D116" i="4" s="1"/>
  <c r="M54" i="2"/>
  <c r="C54" i="4" s="1"/>
  <c r="D54" i="4" s="1"/>
  <c r="M34" i="2"/>
  <c r="C34" i="4" s="1"/>
  <c r="D34" i="4" s="1"/>
  <c r="L186" i="2"/>
  <c r="A186" i="4" s="1"/>
  <c r="M108" i="2"/>
  <c r="C108" i="4" s="1"/>
  <c r="D108" i="4" s="1"/>
  <c r="M89" i="2"/>
  <c r="C89" i="4" s="1"/>
  <c r="D89" i="4" s="1"/>
  <c r="L95" i="2"/>
  <c r="A95" i="4" s="1"/>
  <c r="K17" i="2"/>
  <c r="B17" i="4" s="1"/>
  <c r="M52" i="2"/>
  <c r="C52" i="4" s="1"/>
  <c r="D52" i="4" s="1"/>
  <c r="M86" i="2"/>
  <c r="C86" i="4" s="1"/>
  <c r="D86" i="4" s="1"/>
  <c r="M90" i="2"/>
  <c r="C90" i="4" s="1"/>
  <c r="D90" i="4" s="1"/>
  <c r="M25" i="2"/>
  <c r="C25" i="4" s="1"/>
  <c r="D25" i="4" s="1"/>
  <c r="K83" i="2"/>
  <c r="B83" i="4" s="1"/>
  <c r="M37" i="2"/>
  <c r="C37" i="4" s="1"/>
  <c r="D37" i="4" s="1"/>
  <c r="L106" i="2"/>
  <c r="A106" i="4" s="1"/>
  <c r="K140" i="2"/>
  <c r="B140" i="4" s="1"/>
  <c r="K141" i="2"/>
  <c r="B141" i="4" s="1"/>
  <c r="L82" i="2"/>
  <c r="A82" i="4" s="1"/>
  <c r="L93" i="2"/>
  <c r="A93" i="4" s="1"/>
  <c r="M81" i="2"/>
  <c r="C81" i="4" s="1"/>
  <c r="D81" i="4" s="1"/>
  <c r="K22" i="2"/>
  <c r="B22" i="4" s="1"/>
  <c r="M36" i="2"/>
  <c r="C36" i="4" s="1"/>
  <c r="D36" i="4" s="1"/>
  <c r="K88" i="2"/>
  <c r="B88" i="4" s="1"/>
  <c r="M53" i="2"/>
  <c r="C53" i="4" s="1"/>
  <c r="D53" i="4" s="1"/>
  <c r="L94" i="2"/>
  <c r="A94" i="4" s="1"/>
  <c r="K110" i="2"/>
  <c r="B110" i="4" s="1"/>
  <c r="M98" i="2"/>
  <c r="C98" i="4" s="1"/>
  <c r="D98" i="4" s="1"/>
  <c r="K113" i="2"/>
  <c r="B173" i="4" s="1"/>
  <c r="K87" i="2"/>
  <c r="B87" i="4" s="1"/>
  <c r="L46" i="2"/>
  <c r="A46" i="4" s="1"/>
  <c r="K86" i="2"/>
  <c r="B86" i="4" s="1"/>
  <c r="L37" i="2"/>
  <c r="A37" i="4" s="1"/>
  <c r="L81" i="2"/>
  <c r="A81" i="4" s="1"/>
  <c r="L108" i="2"/>
  <c r="A108" i="4" s="1"/>
  <c r="L109" i="2"/>
  <c r="A113" i="4" s="1"/>
  <c r="K94" i="2"/>
  <c r="B94" i="4" s="1"/>
  <c r="K46" i="2"/>
  <c r="B46" i="4" s="1"/>
  <c r="M63" i="2"/>
  <c r="C63" i="4" s="1"/>
  <c r="D63" i="4" s="1"/>
  <c r="K25" i="2"/>
  <c r="B25" i="4" s="1"/>
  <c r="K146" i="2"/>
  <c r="B146" i="4" s="1"/>
  <c r="K168" i="2"/>
  <c r="B168" i="4" s="1"/>
  <c r="K143" i="2"/>
  <c r="B143" i="4" s="1"/>
  <c r="K161" i="2"/>
  <c r="B161" i="4" s="1"/>
  <c r="K134" i="2"/>
  <c r="B134" i="4" s="1"/>
  <c r="K137" i="2"/>
  <c r="B137" i="4" s="1"/>
  <c r="K129" i="2"/>
  <c r="B129" i="4" s="1"/>
  <c r="K139" i="2"/>
  <c r="B139" i="4" s="1"/>
  <c r="L139" i="2"/>
  <c r="A139" i="4" s="1"/>
  <c r="K162" i="2"/>
  <c r="B162" i="4" s="1"/>
  <c r="K173" i="2"/>
  <c r="B373" i="4" s="1"/>
  <c r="M172" i="2"/>
  <c r="C172" i="4" s="1"/>
  <c r="D172" i="4" s="1"/>
  <c r="K171" i="2"/>
  <c r="B171" i="4" s="1"/>
  <c r="K150" i="2"/>
  <c r="B150" i="4" s="1"/>
  <c r="M171" i="2"/>
  <c r="C171" i="4" s="1"/>
  <c r="D171" i="4" s="1"/>
  <c r="K176" i="2"/>
  <c r="B176" i="4" s="1"/>
  <c r="K172" i="2"/>
  <c r="B172" i="4" s="1"/>
  <c r="D479" i="2"/>
  <c r="C479" i="2"/>
  <c r="E479" i="2" s="1"/>
  <c r="C371" i="2"/>
  <c r="E371" i="2" s="1"/>
  <c r="D536" i="2"/>
  <c r="C536" i="2"/>
  <c r="E536" i="2" s="1"/>
  <c r="C398" i="2"/>
  <c r="E398" i="2" s="1"/>
  <c r="D398" i="2"/>
  <c r="C413" i="2"/>
  <c r="E413" i="2" s="1"/>
  <c r="D413" i="2"/>
  <c r="D363" i="2"/>
  <c r="D524" i="2"/>
  <c r="C524" i="2"/>
  <c r="E524" i="2" s="1"/>
  <c r="D691" i="2"/>
  <c r="C691" i="2"/>
  <c r="E691" i="2" s="1"/>
  <c r="C451" i="2"/>
  <c r="E451" i="2" s="1"/>
  <c r="D451" i="2"/>
  <c r="D564" i="2"/>
  <c r="D456" i="2"/>
  <c r="C719" i="2"/>
  <c r="E719" i="2" s="1"/>
  <c r="D719" i="2"/>
  <c r="C355" i="2"/>
  <c r="E355" i="2" s="1"/>
  <c r="D355" i="2"/>
  <c r="C599" i="2"/>
  <c r="E599" i="2" s="1"/>
  <c r="D599" i="2"/>
  <c r="C496" i="2"/>
  <c r="E496" i="2" s="1"/>
  <c r="D579" i="2"/>
  <c r="C579" i="2"/>
  <c r="E579" i="2" s="1"/>
  <c r="D634" i="2"/>
  <c r="C634" i="2"/>
  <c r="E634" i="2" s="1"/>
  <c r="D771" i="2"/>
  <c r="C547" i="2"/>
  <c r="E547" i="2" s="1"/>
  <c r="D535" i="2"/>
  <c r="C535" i="2"/>
  <c r="E535" i="2" s="1"/>
  <c r="C610" i="2"/>
  <c r="E610" i="2" s="1"/>
  <c r="C697" i="2"/>
  <c r="E697" i="2" s="1"/>
  <c r="D697" i="2"/>
  <c r="D563" i="2"/>
  <c r="C611" i="2"/>
  <c r="E611" i="2" s="1"/>
  <c r="D537" i="2"/>
  <c r="C537" i="2"/>
  <c r="E537" i="2" s="1"/>
  <c r="D431" i="2"/>
  <c r="C745" i="2"/>
  <c r="E745" i="2" s="1"/>
  <c r="D745" i="2"/>
  <c r="C570" i="2"/>
  <c r="E570" i="2" s="1"/>
  <c r="C439" i="2"/>
  <c r="E439" i="2" s="1"/>
  <c r="D439" i="2"/>
  <c r="D635" i="2"/>
  <c r="C652" i="2"/>
  <c r="E652" i="2" s="1"/>
  <c r="D652" i="2"/>
  <c r="D511" i="2"/>
  <c r="C618" i="2"/>
  <c r="E618" i="2" s="1"/>
  <c r="D618" i="2"/>
  <c r="D679" i="2"/>
  <c r="C679" i="2"/>
  <c r="E679" i="2" s="1"/>
  <c r="D408" i="2"/>
  <c r="C408" i="2"/>
  <c r="E408" i="2" s="1"/>
  <c r="D429" i="2"/>
  <c r="D410" i="2"/>
  <c r="C410" i="2"/>
  <c r="E410" i="2" s="1"/>
  <c r="C348" i="2"/>
  <c r="E348" i="2" s="1"/>
  <c r="D348" i="2"/>
  <c r="D388" i="2"/>
  <c r="C388" i="2"/>
  <c r="E388" i="2" s="1"/>
  <c r="C364" i="2"/>
  <c r="E364" i="2" s="1"/>
  <c r="D540" i="2"/>
  <c r="C540" i="2"/>
  <c r="E540" i="2" s="1"/>
  <c r="C533" i="2"/>
  <c r="E533" i="2" s="1"/>
  <c r="D533" i="2"/>
  <c r="C615" i="2"/>
  <c r="E615" i="2" s="1"/>
  <c r="D615" i="2"/>
  <c r="D586" i="2"/>
  <c r="C586" i="2"/>
  <c r="E586" i="2" s="1"/>
  <c r="C500" i="2"/>
  <c r="E500" i="2" s="1"/>
  <c r="D366" i="2"/>
  <c r="C366" i="2"/>
  <c r="E366" i="2" s="1"/>
  <c r="D518" i="2"/>
  <c r="C389" i="2"/>
  <c r="E389" i="2" s="1"/>
  <c r="D389" i="2"/>
  <c r="C538" i="2"/>
  <c r="E538" i="2" s="1"/>
  <c r="D538" i="2"/>
  <c r="D583" i="2"/>
  <c r="C583" i="2"/>
  <c r="E583" i="2" s="1"/>
  <c r="D367" i="2"/>
  <c r="C346" i="2"/>
  <c r="E346" i="2" s="1"/>
  <c r="D650" i="2"/>
  <c r="C650" i="2"/>
  <c r="E650" i="2" s="1"/>
  <c r="C648" i="2"/>
  <c r="E648" i="2" s="1"/>
  <c r="D396" i="2"/>
  <c r="C396" i="2"/>
  <c r="E396" i="2" s="1"/>
  <c r="D654" i="2"/>
  <c r="I14" i="2"/>
  <c r="H14" i="2"/>
  <c r="J14" i="2" s="1"/>
  <c r="M128" i="2"/>
  <c r="C128" i="4" s="1"/>
  <c r="D128" i="4" s="1"/>
  <c r="C466" i="2"/>
  <c r="E466" i="2" s="1"/>
  <c r="D466" i="2"/>
  <c r="D613" i="2"/>
  <c r="C613" i="2"/>
  <c r="E613" i="2" s="1"/>
  <c r="D365" i="2"/>
  <c r="C365" i="2"/>
  <c r="E365" i="2" s="1"/>
  <c r="C376" i="2"/>
  <c r="E376" i="2" s="1"/>
  <c r="C754" i="2"/>
  <c r="E754" i="2" s="1"/>
  <c r="D754" i="2"/>
  <c r="D753" i="2"/>
  <c r="C753" i="2"/>
  <c r="E753" i="2" s="1"/>
  <c r="D409" i="2"/>
  <c r="D772" i="2"/>
  <c r="D598" i="2"/>
  <c r="C598" i="2"/>
  <c r="E598" i="2" s="1"/>
  <c r="C464" i="2"/>
  <c r="E464" i="2" s="1"/>
  <c r="D464" i="2"/>
  <c r="D743" i="2"/>
  <c r="C590" i="2"/>
  <c r="E590" i="2" s="1"/>
  <c r="D590" i="2"/>
  <c r="D577" i="2"/>
  <c r="C768" i="2"/>
  <c r="E768" i="2" s="1"/>
  <c r="D768" i="2"/>
  <c r="C442" i="2"/>
  <c r="E442" i="2" s="1"/>
  <c r="D442" i="2"/>
  <c r="D483" i="2"/>
  <c r="C722" i="2"/>
  <c r="E722" i="2" s="1"/>
  <c r="D722" i="2"/>
  <c r="I7" i="2"/>
  <c r="H7" i="2"/>
  <c r="J7" i="2" s="1"/>
  <c r="C505" i="2"/>
  <c r="E505" i="2" s="1"/>
  <c r="D505" i="2"/>
  <c r="C712" i="2"/>
  <c r="E712" i="2" s="1"/>
  <c r="D712" i="2"/>
  <c r="C608" i="2"/>
  <c r="E608" i="2" s="1"/>
  <c r="D773" i="2"/>
  <c r="C573" i="2"/>
  <c r="E573" i="2" s="1"/>
  <c r="D573" i="2"/>
  <c r="D516" i="2"/>
  <c r="C516" i="2"/>
  <c r="E516" i="2" s="1"/>
  <c r="C424" i="2"/>
  <c r="E424" i="2" s="1"/>
  <c r="D424" i="2"/>
  <c r="C395" i="2"/>
  <c r="E395" i="2" s="1"/>
  <c r="C756" i="2"/>
  <c r="E756" i="2" s="1"/>
  <c r="D531" i="2"/>
  <c r="C531" i="2"/>
  <c r="E531" i="2" s="1"/>
  <c r="D347" i="2"/>
  <c r="C347" i="2"/>
  <c r="E347" i="2" s="1"/>
  <c r="C716" i="2"/>
  <c r="E716" i="2" s="1"/>
  <c r="D716" i="2"/>
  <c r="C692" i="2"/>
  <c r="E692" i="2" s="1"/>
  <c r="D692" i="2"/>
  <c r="D565" i="2"/>
  <c r="C503" i="2"/>
  <c r="E503" i="2" s="1"/>
  <c r="D623" i="2"/>
  <c r="C623" i="2"/>
  <c r="E623" i="2" s="1"/>
  <c r="D575" i="2"/>
  <c r="C575" i="2"/>
  <c r="E575" i="2" s="1"/>
  <c r="D341" i="2"/>
  <c r="C341" i="2"/>
  <c r="E341" i="2" s="1"/>
  <c r="D449" i="2"/>
  <c r="D614" i="2"/>
  <c r="C614" i="2"/>
  <c r="E614" i="2" s="1"/>
  <c r="D664" i="2"/>
  <c r="C664" i="2"/>
  <c r="E664" i="2" s="1"/>
  <c r="D619" i="2"/>
  <c r="C619" i="2"/>
  <c r="E619" i="2" s="1"/>
  <c r="L178" i="2"/>
  <c r="A178" i="4" s="1"/>
  <c r="M178" i="2"/>
  <c r="C178" i="4" s="1"/>
  <c r="D178" i="4" s="1"/>
  <c r="L174" i="2"/>
  <c r="A174" i="4" s="1"/>
  <c r="M174" i="2"/>
  <c r="C174" i="4" s="1"/>
  <c r="D174" i="4" s="1"/>
  <c r="L119" i="2"/>
  <c r="A119" i="4" s="1"/>
  <c r="M119" i="2"/>
  <c r="C119" i="4" s="1"/>
  <c r="D119" i="4" s="1"/>
  <c r="K175" i="2"/>
  <c r="B175" i="4" s="1"/>
  <c r="C662" i="2"/>
  <c r="E662" i="2" s="1"/>
  <c r="C399" i="2"/>
  <c r="E399" i="2" s="1"/>
  <c r="D399" i="2"/>
  <c r="D560" i="2"/>
  <c r="D428" i="2"/>
  <c r="C428" i="2"/>
  <c r="E428" i="2" s="1"/>
  <c r="C556" i="2"/>
  <c r="E556" i="2" s="1"/>
  <c r="D726" i="2"/>
  <c r="C726" i="2"/>
  <c r="E726" i="2" s="1"/>
  <c r="D402" i="2"/>
  <c r="D485" i="2"/>
  <c r="C485" i="2"/>
  <c r="E485" i="2" s="1"/>
  <c r="C534" i="2"/>
  <c r="E534" i="2" s="1"/>
  <c r="D708" i="2"/>
  <c r="C708" i="2"/>
  <c r="E708" i="2" s="1"/>
  <c r="D357" i="2"/>
  <c r="C544" i="2"/>
  <c r="E544" i="2" s="1"/>
  <c r="D544" i="2"/>
  <c r="D470" i="2"/>
  <c r="C369" i="2"/>
  <c r="E369" i="2" s="1"/>
  <c r="D369" i="2"/>
  <c r="C718" i="2"/>
  <c r="E718" i="2" s="1"/>
  <c r="D740" i="2"/>
  <c r="C740" i="2"/>
  <c r="E740" i="2" s="1"/>
  <c r="D574" i="2"/>
  <c r="C660" i="2"/>
  <c r="E660" i="2" s="1"/>
  <c r="D660" i="2"/>
  <c r="D462" i="2"/>
  <c r="C659" i="2"/>
  <c r="E659" i="2" s="1"/>
  <c r="D659" i="2"/>
  <c r="C561" i="2"/>
  <c r="E561" i="2" s="1"/>
  <c r="D730" i="2"/>
  <c r="C730" i="2"/>
  <c r="E730" i="2" s="1"/>
  <c r="C669" i="2"/>
  <c r="E669" i="2" s="1"/>
  <c r="C469" i="2"/>
  <c r="E469" i="2" s="1"/>
  <c r="D469" i="2"/>
  <c r="C592" i="2"/>
  <c r="E592" i="2" s="1"/>
  <c r="C403" i="2"/>
  <c r="E403" i="2" s="1"/>
  <c r="D403" i="2"/>
  <c r="C605" i="2"/>
  <c r="E605" i="2" s="1"/>
  <c r="H8" i="2"/>
  <c r="J8" i="2" s="1"/>
  <c r="I8" i="2"/>
  <c r="C502" i="2"/>
  <c r="E502" i="2" s="1"/>
  <c r="D472" i="2"/>
  <c r="C472" i="2"/>
  <c r="E472" i="2" s="1"/>
  <c r="C386" i="2"/>
  <c r="E386" i="2" s="1"/>
  <c r="C763" i="2"/>
  <c r="E763" i="2" s="1"/>
  <c r="D763" i="2"/>
  <c r="D370" i="2"/>
  <c r="C444" i="2"/>
  <c r="E444" i="2" s="1"/>
  <c r="D444" i="2"/>
  <c r="C497" i="2"/>
  <c r="E497" i="2" s="1"/>
  <c r="D497" i="2"/>
  <c r="D689" i="2"/>
  <c r="C689" i="2"/>
  <c r="E689" i="2" s="1"/>
  <c r="D488" i="2"/>
  <c r="C488" i="2"/>
  <c r="E488" i="2" s="1"/>
  <c r="C440" i="2"/>
  <c r="E440" i="2" s="1"/>
  <c r="D440" i="2"/>
  <c r="D622" i="2"/>
  <c r="C622" i="2"/>
  <c r="E622" i="2" s="1"/>
  <c r="C673" i="2"/>
  <c r="E673" i="2" s="1"/>
  <c r="D673" i="2"/>
  <c r="D378" i="2"/>
  <c r="C378" i="2"/>
  <c r="E378" i="2" s="1"/>
  <c r="C514" i="2"/>
  <c r="E514" i="2" s="1"/>
  <c r="C676" i="2"/>
  <c r="E676" i="2" s="1"/>
  <c r="D676" i="2"/>
  <c r="D430" i="2"/>
  <c r="C678" i="2"/>
  <c r="E678" i="2" s="1"/>
  <c r="D678" i="2"/>
  <c r="D764" i="2"/>
  <c r="C764" i="2"/>
  <c r="E764" i="2" s="1"/>
  <c r="C435" i="2"/>
  <c r="E435" i="2" s="1"/>
  <c r="D435" i="2"/>
  <c r="D729" i="2"/>
  <c r="D411" i="2"/>
  <c r="C411" i="2"/>
  <c r="E411" i="2" s="1"/>
  <c r="C696" i="2"/>
  <c r="E696" i="2" s="1"/>
  <c r="C553" i="2"/>
  <c r="E553" i="2" s="1"/>
  <c r="D553" i="2"/>
  <c r="D606" i="2"/>
  <c r="C606" i="2"/>
  <c r="E606" i="2" s="1"/>
  <c r="D387" i="2"/>
  <c r="H13" i="2"/>
  <c r="J13" i="2" s="1"/>
  <c r="I13" i="2"/>
  <c r="D626" i="2"/>
  <c r="D373" i="2"/>
  <c r="C373" i="2"/>
  <c r="E373" i="2" s="1"/>
  <c r="D721" i="2"/>
  <c r="C721" i="2"/>
  <c r="E721" i="2" s="1"/>
  <c r="D546" i="2"/>
  <c r="C546" i="2"/>
  <c r="E546" i="2" s="1"/>
  <c r="D474" i="2"/>
  <c r="D513" i="2"/>
  <c r="C513" i="2"/>
  <c r="E513" i="2" s="1"/>
  <c r="D559" i="2"/>
  <c r="C525" i="2"/>
  <c r="E525" i="2" s="1"/>
  <c r="D525" i="2"/>
  <c r="D344" i="2"/>
  <c r="C344" i="2"/>
  <c r="E344" i="2" s="1"/>
  <c r="C521" i="2"/>
  <c r="E521" i="2" s="1"/>
  <c r="C655" i="2"/>
  <c r="E655" i="2" s="1"/>
  <c r="D655" i="2"/>
  <c r="C455" i="2"/>
  <c r="E455" i="2" s="1"/>
  <c r="D455" i="2"/>
  <c r="D342" i="2"/>
  <c r="C342" i="2"/>
  <c r="E342" i="2" s="1"/>
  <c r="C437" i="2"/>
  <c r="E437" i="2" s="1"/>
  <c r="D437" i="2"/>
  <c r="D427" i="2"/>
  <c r="C427" i="2"/>
  <c r="E427" i="2" s="1"/>
  <c r="C638" i="2"/>
  <c r="E638" i="2" s="1"/>
  <c r="D566" i="2"/>
  <c r="C566" i="2"/>
  <c r="E566" i="2" s="1"/>
  <c r="C774" i="2"/>
  <c r="E774" i="2" s="1"/>
  <c r="D774" i="2"/>
  <c r="D698" i="2"/>
  <c r="C698" i="2"/>
  <c r="E698" i="2" s="1"/>
  <c r="D758" i="2"/>
  <c r="C621" i="2"/>
  <c r="E621" i="2" s="1"/>
  <c r="D621" i="2"/>
  <c r="C632" i="2"/>
  <c r="E632" i="2" s="1"/>
  <c r="D632" i="2"/>
  <c r="D446" i="2"/>
  <c r="C446" i="2"/>
  <c r="E446" i="2" s="1"/>
  <c r="C397" i="2"/>
  <c r="E397" i="2" s="1"/>
  <c r="D397" i="2"/>
  <c r="D471" i="2"/>
  <c r="C471" i="2"/>
  <c r="E471" i="2" s="1"/>
  <c r="D734" i="2"/>
  <c r="D617" i="2"/>
  <c r="C617" i="2"/>
  <c r="E617" i="2" s="1"/>
  <c r="C432" i="2"/>
  <c r="E432" i="2" s="1"/>
  <c r="C362" i="2"/>
  <c r="E362" i="2" s="1"/>
  <c r="D362" i="2"/>
  <c r="D700" i="2"/>
  <c r="C700" i="2"/>
  <c r="E700" i="2" s="1"/>
  <c r="D663" i="2"/>
  <c r="C663" i="2"/>
  <c r="E663" i="2" s="1"/>
  <c r="C460" i="2"/>
  <c r="E460" i="2" s="1"/>
  <c r="D460" i="2"/>
  <c r="D736" i="2"/>
  <c r="C736" i="2"/>
  <c r="E736" i="2" s="1"/>
  <c r="C391" i="2"/>
  <c r="E391" i="2" s="1"/>
  <c r="D391" i="2"/>
  <c r="D453" i="2"/>
  <c r="C453" i="2"/>
  <c r="E453" i="2" s="1"/>
  <c r="D445" i="2"/>
  <c r="C445" i="2"/>
  <c r="E445" i="2" s="1"/>
  <c r="D434" i="2"/>
  <c r="C434" i="2"/>
  <c r="E434" i="2" s="1"/>
  <c r="D476" i="2"/>
  <c r="D523" i="2"/>
  <c r="C523" i="2"/>
  <c r="E523" i="2" s="1"/>
  <c r="D588" i="2"/>
  <c r="D447" i="2"/>
  <c r="C447" i="2"/>
  <c r="E447" i="2" s="1"/>
  <c r="C735" i="2"/>
  <c r="E735" i="2" s="1"/>
  <c r="D735" i="2"/>
  <c r="C352" i="2"/>
  <c r="E352" i="2" s="1"/>
  <c r="D352" i="2"/>
  <c r="D637" i="2"/>
  <c r="C637" i="2"/>
  <c r="E637" i="2" s="1"/>
  <c r="D647" i="2"/>
  <c r="C647" i="2"/>
  <c r="E647" i="2" s="1"/>
  <c r="D552" i="2"/>
  <c r="D711" i="2"/>
  <c r="C711" i="2"/>
  <c r="E711" i="2" s="1"/>
  <c r="C494" i="2"/>
  <c r="E494" i="2" s="1"/>
  <c r="D494" i="2"/>
  <c r="D683" i="2"/>
  <c r="I9" i="2"/>
  <c r="H9" i="2"/>
  <c r="J9" i="2" s="1"/>
  <c r="C724" i="2"/>
  <c r="E724" i="2" s="1"/>
  <c r="D724" i="2"/>
  <c r="D643" i="2"/>
  <c r="C643" i="2"/>
  <c r="E643" i="2" s="1"/>
  <c r="C713" i="2"/>
  <c r="E713" i="2" s="1"/>
  <c r="D713" i="2"/>
  <c r="D603" i="2"/>
  <c r="C532" i="2"/>
  <c r="E532" i="2" s="1"/>
  <c r="D532" i="2"/>
  <c r="D433" i="2"/>
  <c r="C433" i="2"/>
  <c r="E433" i="2" s="1"/>
  <c r="D752" i="2"/>
  <c r="C752" i="2"/>
  <c r="E752" i="2" s="1"/>
  <c r="D567" i="2"/>
  <c r="C443" i="2"/>
  <c r="E443" i="2" s="1"/>
  <c r="D443" i="2"/>
  <c r="D749" i="2"/>
  <c r="C749" i="2"/>
  <c r="E749" i="2" s="1"/>
  <c r="D687" i="2"/>
  <c r="C687" i="2"/>
  <c r="E687" i="2" s="1"/>
  <c r="D361" i="2"/>
  <c r="D528" i="2"/>
  <c r="C528" i="2"/>
  <c r="E528" i="2" s="1"/>
  <c r="C555" i="2"/>
  <c r="E555" i="2" s="1"/>
  <c r="D555" i="2"/>
  <c r="D515" i="2"/>
  <c r="C515" i="2"/>
  <c r="E515" i="2" s="1"/>
  <c r="D653" i="2"/>
  <c r="C656" i="2"/>
  <c r="E656" i="2" s="1"/>
  <c r="D656" i="2"/>
  <c r="C578" i="2"/>
  <c r="E578" i="2" s="1"/>
  <c r="D578" i="2"/>
  <c r="D423" i="2"/>
  <c r="C423" i="2"/>
  <c r="E423" i="2" s="1"/>
  <c r="C492" i="2"/>
  <c r="E492" i="2" s="1"/>
  <c r="C558" i="2"/>
  <c r="E558" i="2" s="1"/>
  <c r="D558" i="2"/>
  <c r="D628" i="2"/>
  <c r="C628" i="2"/>
  <c r="E628" i="2" s="1"/>
  <c r="C379" i="2"/>
  <c r="E379" i="2" s="1"/>
  <c r="D379" i="2"/>
  <c r="C459" i="2"/>
  <c r="E459" i="2" s="1"/>
  <c r="D554" i="2"/>
  <c r="C554" i="2"/>
  <c r="E554" i="2" s="1"/>
  <c r="C457" i="2"/>
  <c r="E457" i="2" s="1"/>
  <c r="D457" i="2"/>
  <c r="D707" i="2"/>
  <c r="C707" i="2"/>
  <c r="E707" i="2" s="1"/>
  <c r="I10" i="2"/>
  <c r="H10" i="2"/>
  <c r="J10" i="2" s="1"/>
  <c r="C441" i="2"/>
  <c r="E441" i="2" s="1"/>
  <c r="D441" i="2"/>
  <c r="D390" i="2"/>
  <c r="C390" i="2"/>
  <c r="E390" i="2" s="1"/>
  <c r="D377" i="2"/>
  <c r="C377" i="2"/>
  <c r="E377" i="2" s="1"/>
  <c r="D706" i="2"/>
  <c r="C731" i="2"/>
  <c r="E731" i="2" s="1"/>
  <c r="D731" i="2"/>
  <c r="D401" i="2"/>
  <c r="C401" i="2"/>
  <c r="E401" i="2" s="1"/>
  <c r="C420" i="2"/>
  <c r="E420" i="2" s="1"/>
  <c r="D420" i="2"/>
  <c r="C675" i="2"/>
  <c r="E675" i="2" s="1"/>
  <c r="D675" i="2"/>
  <c r="C645" i="2"/>
  <c r="E645" i="2" s="1"/>
  <c r="D645" i="2"/>
  <c r="C612" i="2"/>
  <c r="E612" i="2" s="1"/>
  <c r="D562" i="2"/>
  <c r="C562" i="2"/>
  <c r="E562" i="2" s="1"/>
  <c r="C710" i="2"/>
  <c r="E710" i="2" s="1"/>
  <c r="D710" i="2"/>
  <c r="D757" i="2"/>
  <c r="C582" i="2"/>
  <c r="E582" i="2" s="1"/>
  <c r="D582" i="2"/>
  <c r="C685" i="2"/>
  <c r="E685" i="2" s="1"/>
  <c r="D685" i="2"/>
  <c r="C343" i="2"/>
  <c r="E343" i="2" s="1"/>
  <c r="C668" i="2"/>
  <c r="E668" i="2" s="1"/>
  <c r="D668" i="2"/>
  <c r="C746" i="2"/>
  <c r="E746" i="2" s="1"/>
  <c r="D746" i="2"/>
  <c r="D417" i="2"/>
  <c r="C594" i="2"/>
  <c r="E594" i="2" s="1"/>
  <c r="D594" i="2"/>
  <c r="D419" i="2"/>
  <c r="C419" i="2"/>
  <c r="E419" i="2" s="1"/>
  <c r="C358" i="2"/>
  <c r="E358" i="2" s="1"/>
  <c r="D358" i="2"/>
  <c r="C580" i="2"/>
  <c r="E580" i="2" s="1"/>
  <c r="D580" i="2"/>
  <c r="C625" i="2"/>
  <c r="E625" i="2" s="1"/>
  <c r="D625" i="2"/>
  <c r="D541" i="2"/>
  <c r="C541" i="2"/>
  <c r="E541" i="2" s="1"/>
  <c r="C422" i="2"/>
  <c r="E422" i="2" s="1"/>
  <c r="D374" i="2"/>
  <c r="C374" i="2"/>
  <c r="E374" i="2" s="1"/>
  <c r="H12" i="2"/>
  <c r="J12" i="2" s="1"/>
  <c r="I12" i="2"/>
  <c r="C715" i="2"/>
  <c r="E715" i="2" s="1"/>
  <c r="D715" i="2"/>
  <c r="D527" i="2"/>
  <c r="C527" i="2"/>
  <c r="E527" i="2" s="1"/>
  <c r="D686" i="2"/>
  <c r="C686" i="2"/>
  <c r="E686" i="2" s="1"/>
  <c r="C400" i="2"/>
  <c r="E400" i="2" s="1"/>
  <c r="D400" i="2"/>
  <c r="C658" i="2"/>
  <c r="E658" i="2" s="1"/>
  <c r="D658" i="2"/>
  <c r="C418" i="2"/>
  <c r="E418" i="2" s="1"/>
  <c r="D418" i="2"/>
  <c r="C769" i="2"/>
  <c r="E769" i="2" s="1"/>
  <c r="D769" i="2"/>
  <c r="D765" i="2"/>
  <c r="C765" i="2"/>
  <c r="E765" i="2" s="1"/>
  <c r="C509" i="2"/>
  <c r="E509" i="2" s="1"/>
  <c r="D509" i="2"/>
  <c r="D759" i="2"/>
  <c r="C725" i="2"/>
  <c r="E725" i="2" s="1"/>
  <c r="D572" i="2"/>
  <c r="C572" i="2"/>
  <c r="E572" i="2" s="1"/>
  <c r="D501" i="2"/>
  <c r="D461" i="2"/>
  <c r="C461" i="2"/>
  <c r="E461" i="2" s="1"/>
  <c r="D760" i="2"/>
  <c r="C760" i="2"/>
  <c r="E760" i="2" s="1"/>
  <c r="C463" i="2"/>
  <c r="E463" i="2" s="1"/>
  <c r="D463" i="2"/>
  <c r="D714" i="2"/>
  <c r="C714" i="2"/>
  <c r="E714" i="2" s="1"/>
  <c r="C728" i="2"/>
  <c r="E728" i="2" s="1"/>
  <c r="D728" i="2"/>
  <c r="C508" i="2"/>
  <c r="E508" i="2" s="1"/>
  <c r="D508" i="2"/>
  <c r="C530" i="2"/>
  <c r="E530" i="2" s="1"/>
  <c r="D495" i="2"/>
  <c r="C495" i="2"/>
  <c r="E495" i="2" s="1"/>
  <c r="C739" i="2"/>
  <c r="E739" i="2" s="1"/>
  <c r="D739" i="2"/>
  <c r="D438" i="2"/>
  <c r="C438" i="2"/>
  <c r="E438" i="2" s="1"/>
  <c r="D405" i="2"/>
  <c r="C405" i="2"/>
  <c r="E405" i="2" s="1"/>
  <c r="D629" i="2"/>
  <c r="C629" i="2"/>
  <c r="E629" i="2" s="1"/>
  <c r="D487" i="2"/>
  <c r="D520" i="2"/>
  <c r="C520" i="2"/>
  <c r="E520" i="2" s="1"/>
  <c r="C624" i="2"/>
  <c r="E624" i="2" s="1"/>
  <c r="D624" i="2"/>
  <c r="D674" i="2"/>
  <c r="C674" i="2"/>
  <c r="E674" i="2" s="1"/>
  <c r="D519" i="2"/>
  <c r="C519" i="2"/>
  <c r="E519" i="2" s="1"/>
  <c r="D766" i="2"/>
  <c r="C766" i="2"/>
  <c r="E766" i="2" s="1"/>
  <c r="D672" i="2"/>
  <c r="D609" i="2"/>
  <c r="C609" i="2"/>
  <c r="E609" i="2" s="1"/>
  <c r="C677" i="2"/>
  <c r="E677" i="2" s="1"/>
  <c r="D591" i="2"/>
  <c r="C591" i="2"/>
  <c r="E591" i="2" s="1"/>
  <c r="C478" i="2"/>
  <c r="E478" i="2" s="1"/>
  <c r="D478" i="2"/>
  <c r="D748" i="2"/>
  <c r="C748" i="2"/>
  <c r="E748" i="2" s="1"/>
  <c r="D356" i="2"/>
  <c r="C356" i="2"/>
  <c r="E356" i="2" s="1"/>
  <c r="D631" i="2"/>
  <c r="C631" i="2"/>
  <c r="E631" i="2" s="1"/>
  <c r="D585" i="2"/>
  <c r="C585" i="2"/>
  <c r="E585" i="2" s="1"/>
  <c r="C549" i="2"/>
  <c r="E549" i="2" s="1"/>
  <c r="D549" i="2"/>
  <c r="D761" i="2"/>
  <c r="C761" i="2"/>
  <c r="E761" i="2" s="1"/>
  <c r="C593" i="2"/>
  <c r="E593" i="2" s="1"/>
  <c r="D593" i="2"/>
  <c r="C351" i="2"/>
  <c r="E351" i="2" s="1"/>
  <c r="D351" i="2"/>
  <c r="C747" i="2"/>
  <c r="E747" i="2" s="1"/>
  <c r="D747" i="2"/>
  <c r="C667" i="2"/>
  <c r="E667" i="2" s="1"/>
  <c r="D667" i="2"/>
  <c r="C498" i="2"/>
  <c r="E498" i="2" s="1"/>
  <c r="D498" i="2"/>
  <c r="D709" i="2"/>
  <c r="C709" i="2"/>
  <c r="E709" i="2" s="1"/>
  <c r="C750" i="2"/>
  <c r="E750" i="2" s="1"/>
  <c r="D750" i="2"/>
  <c r="C475" i="2"/>
  <c r="E475" i="2" s="1"/>
  <c r="D597" i="2"/>
  <c r="C597" i="2"/>
  <c r="E597" i="2" s="1"/>
  <c r="C383" i="2"/>
  <c r="E383" i="2" s="1"/>
  <c r="D383" i="2"/>
  <c r="D393" i="2"/>
  <c r="D504" i="2"/>
  <c r="C504" i="2"/>
  <c r="E504" i="2" s="1"/>
  <c r="H16" i="2"/>
  <c r="J16" i="2" s="1"/>
  <c r="I16" i="2"/>
  <c r="K128" i="2"/>
  <c r="B128" i="4" s="1"/>
  <c r="C601" i="2"/>
  <c r="E601" i="2" s="1"/>
  <c r="D601" i="2"/>
  <c r="D345" i="2"/>
  <c r="C345" i="2"/>
  <c r="E345" i="2" s="1"/>
  <c r="C482" i="2"/>
  <c r="E482" i="2" s="1"/>
  <c r="D482" i="2"/>
  <c r="C384" i="2"/>
  <c r="E384" i="2" s="1"/>
  <c r="D384" i="2"/>
  <c r="D695" i="2"/>
  <c r="C695" i="2"/>
  <c r="E695" i="2" s="1"/>
  <c r="D641" i="2"/>
  <c r="C641" i="2"/>
  <c r="E641" i="2" s="1"/>
  <c r="C489" i="2"/>
  <c r="E489" i="2" s="1"/>
  <c r="D489" i="2"/>
  <c r="D640" i="2"/>
  <c r="C640" i="2"/>
  <c r="E640" i="2" s="1"/>
  <c r="D693" i="2"/>
  <c r="C693" i="2"/>
  <c r="E693" i="2" s="1"/>
  <c r="C737" i="2"/>
  <c r="E737" i="2" s="1"/>
  <c r="D737" i="2"/>
  <c r="C636" i="2"/>
  <c r="E636" i="2" s="1"/>
  <c r="D636" i="2"/>
  <c r="C543" i="2"/>
  <c r="E543" i="2" s="1"/>
  <c r="D543" i="2"/>
  <c r="D702" i="2"/>
  <c r="C702" i="2"/>
  <c r="E702" i="2" s="1"/>
  <c r="C404" i="2"/>
  <c r="E404" i="2" s="1"/>
  <c r="D404" i="2"/>
  <c r="C467" i="2"/>
  <c r="E467" i="2" s="1"/>
  <c r="D467" i="2"/>
  <c r="D600" i="2"/>
  <c r="C600" i="2"/>
  <c r="E600" i="2" s="1"/>
  <c r="D450" i="2"/>
  <c r="C450" i="2"/>
  <c r="E450" i="2" s="1"/>
  <c r="C681" i="2"/>
  <c r="E681" i="2" s="1"/>
  <c r="D681" i="2"/>
  <c r="D688" i="2"/>
  <c r="C688" i="2"/>
  <c r="E688" i="2" s="1"/>
  <c r="C490" i="2"/>
  <c r="E490" i="2" s="1"/>
  <c r="D490" i="2"/>
  <c r="C595" i="2"/>
  <c r="E595" i="2" s="1"/>
  <c r="D595" i="2"/>
  <c r="C699" i="2"/>
  <c r="E699" i="2" s="1"/>
  <c r="D699" i="2"/>
  <c r="C762" i="2"/>
  <c r="E762" i="2" s="1"/>
  <c r="D762" i="2"/>
  <c r="D425" i="2"/>
  <c r="C425" i="2"/>
  <c r="E425" i="2" s="1"/>
  <c r="D350" i="2"/>
  <c r="C354" i="2"/>
  <c r="E354" i="2" s="1"/>
  <c r="D354" i="2"/>
  <c r="D406" i="2"/>
  <c r="C406" i="2"/>
  <c r="E406" i="2" s="1"/>
  <c r="D646" i="2"/>
  <c r="C646" i="2"/>
  <c r="E646" i="2" s="1"/>
  <c r="D360" i="2"/>
  <c r="C360" i="2"/>
  <c r="E360" i="2" s="1"/>
  <c r="C481" i="2"/>
  <c r="E481" i="2" s="1"/>
  <c r="D481" i="2"/>
  <c r="D385" i="2"/>
  <c r="C385" i="2"/>
  <c r="E385" i="2" s="1"/>
  <c r="D644" i="2"/>
  <c r="C644" i="2"/>
  <c r="E644" i="2" s="1"/>
  <c r="D651" i="2"/>
  <c r="C651" i="2"/>
  <c r="E651" i="2" s="1"/>
  <c r="D484" i="2"/>
  <c r="C484" i="2"/>
  <c r="E484" i="2" s="1"/>
  <c r="D414" i="2"/>
  <c r="C414" i="2"/>
  <c r="E414" i="2" s="1"/>
  <c r="D416" i="2"/>
  <c r="C416" i="2"/>
  <c r="E416" i="2" s="1"/>
  <c r="C701" i="2"/>
  <c r="E701" i="2" s="1"/>
  <c r="D701" i="2"/>
  <c r="D512" i="2"/>
  <c r="C512" i="2"/>
  <c r="E512" i="2" s="1"/>
  <c r="D452" i="2"/>
  <c r="C452" i="2"/>
  <c r="E452" i="2" s="1"/>
  <c r="C657" i="2"/>
  <c r="E657" i="2" s="1"/>
  <c r="D657" i="2"/>
  <c r="C465" i="2"/>
  <c r="E465" i="2" s="1"/>
  <c r="D465" i="2"/>
  <c r="C551" i="2"/>
  <c r="E551" i="2" s="1"/>
  <c r="D551" i="2"/>
  <c r="C468" i="2"/>
  <c r="E468" i="2" s="1"/>
  <c r="D468" i="2"/>
  <c r="D539" i="2"/>
  <c r="C539" i="2"/>
  <c r="E539" i="2" s="1"/>
  <c r="C741" i="2"/>
  <c r="E741" i="2" s="1"/>
  <c r="D741" i="2"/>
  <c r="C596" i="2"/>
  <c r="E596" i="2" s="1"/>
  <c r="D596" i="2"/>
  <c r="C412" i="2"/>
  <c r="E412" i="2" s="1"/>
  <c r="D412" i="2"/>
  <c r="C542" i="2"/>
  <c r="E542" i="2" s="1"/>
  <c r="D542" i="2"/>
  <c r="C517" i="2"/>
  <c r="E517" i="2" s="1"/>
  <c r="D517" i="2"/>
  <c r="C666" i="2"/>
  <c r="E666" i="2" s="1"/>
  <c r="D666" i="2"/>
  <c r="D382" i="2"/>
  <c r="C382" i="2"/>
  <c r="E382" i="2" s="1"/>
  <c r="D522" i="2"/>
  <c r="C522" i="2"/>
  <c r="E522" i="2" s="1"/>
  <c r="D568" i="2"/>
  <c r="C568" i="2"/>
  <c r="E568" i="2" s="1"/>
  <c r="D671" i="2"/>
  <c r="C671" i="2"/>
  <c r="E671" i="2" s="1"/>
  <c r="I6" i="2"/>
  <c r="H6" i="2"/>
  <c r="J6" i="2" s="1"/>
  <c r="C633" i="2"/>
  <c r="E633" i="2" s="1"/>
  <c r="D633" i="2"/>
  <c r="D545" i="2"/>
  <c r="C545" i="2"/>
  <c r="E545" i="2" s="1"/>
  <c r="D359" i="2"/>
  <c r="C359" i="2"/>
  <c r="E359" i="2" s="1"/>
  <c r="D684" i="2"/>
  <c r="C684" i="2"/>
  <c r="E684" i="2" s="1"/>
  <c r="D368" i="2"/>
  <c r="C368" i="2"/>
  <c r="E368" i="2" s="1"/>
  <c r="D526" i="2"/>
  <c r="C526" i="2"/>
  <c r="E526" i="2" s="1"/>
  <c r="C630" i="2"/>
  <c r="E630" i="2" s="1"/>
  <c r="D630" i="2"/>
  <c r="D493" i="2"/>
  <c r="C493" i="2"/>
  <c r="E493" i="2" s="1"/>
  <c r="C576" i="2"/>
  <c r="E576" i="2" s="1"/>
  <c r="D576" i="2"/>
  <c r="D607" i="2"/>
  <c r="C607" i="2"/>
  <c r="E607" i="2" s="1"/>
  <c r="D448" i="2"/>
  <c r="C448" i="2"/>
  <c r="E448" i="2" s="1"/>
  <c r="D665" i="2"/>
  <c r="C665" i="2"/>
  <c r="E665" i="2" s="1"/>
  <c r="C548" i="2"/>
  <c r="E548" i="2" s="1"/>
  <c r="D548" i="2"/>
  <c r="C703" i="2"/>
  <c r="E703" i="2" s="1"/>
  <c r="D703" i="2"/>
  <c r="C690" i="2"/>
  <c r="E690" i="2" s="1"/>
  <c r="D690" i="2"/>
  <c r="C661" i="2"/>
  <c r="E661" i="2" s="1"/>
  <c r="D661" i="2"/>
  <c r="C584" i="2"/>
  <c r="E584" i="2" s="1"/>
  <c r="D584" i="2"/>
  <c r="D392" i="2"/>
  <c r="C392" i="2"/>
  <c r="E392" i="2" s="1"/>
  <c r="C415" i="2"/>
  <c r="E415" i="2" s="1"/>
  <c r="D415" i="2"/>
  <c r="D751" i="2"/>
  <c r="C751" i="2"/>
  <c r="E751" i="2" s="1"/>
  <c r="D507" i="2"/>
  <c r="C507" i="2"/>
  <c r="E507" i="2" s="1"/>
  <c r="C473" i="2"/>
  <c r="E473" i="2" s="1"/>
  <c r="D473" i="2"/>
  <c r="C770" i="2"/>
  <c r="E770" i="2" s="1"/>
  <c r="D770" i="2"/>
  <c r="D733" i="2"/>
  <c r="C733" i="2"/>
  <c r="E733" i="2" s="1"/>
  <c r="C569" i="2"/>
  <c r="E569" i="2" s="1"/>
  <c r="D569" i="2"/>
  <c r="D581" i="2"/>
  <c r="C581" i="2"/>
  <c r="E581" i="2" s="1"/>
  <c r="D510" i="2"/>
  <c r="C510" i="2"/>
  <c r="E510" i="2" s="1"/>
  <c r="I11" i="2"/>
  <c r="H11" i="2"/>
  <c r="J11" i="2" s="1"/>
  <c r="D477" i="2"/>
  <c r="C477" i="2"/>
  <c r="E477" i="2" s="1"/>
  <c r="D602" i="2"/>
  <c r="C602" i="2"/>
  <c r="E602" i="2" s="1"/>
  <c r="D639" i="2"/>
  <c r="C639" i="2"/>
  <c r="E639" i="2" s="1"/>
  <c r="C738" i="2"/>
  <c r="E738" i="2" s="1"/>
  <c r="D738" i="2"/>
  <c r="C372" i="2"/>
  <c r="E372" i="2" s="1"/>
  <c r="D372" i="2"/>
  <c r="C767" i="2"/>
  <c r="E767" i="2" s="1"/>
  <c r="D767" i="2"/>
  <c r="C723" i="2"/>
  <c r="E723" i="2" s="1"/>
  <c r="D723" i="2"/>
  <c r="D381" i="2"/>
  <c r="C381" i="2"/>
  <c r="E381" i="2" s="1"/>
  <c r="D727" i="2"/>
  <c r="C727" i="2"/>
  <c r="E727" i="2" s="1"/>
  <c r="C682" i="2"/>
  <c r="E682" i="2" s="1"/>
  <c r="D682" i="2"/>
  <c r="C604" i="2"/>
  <c r="E604" i="2" s="1"/>
  <c r="D604" i="2"/>
  <c r="D394" i="2"/>
  <c r="C394" i="2"/>
  <c r="E394" i="2" s="1"/>
  <c r="C421" i="2"/>
  <c r="E421" i="2" s="1"/>
  <c r="D421" i="2"/>
  <c r="D426" i="2"/>
  <c r="C426" i="2"/>
  <c r="E426" i="2" s="1"/>
  <c r="C670" i="2"/>
  <c r="E670" i="2" s="1"/>
  <c r="D670" i="2"/>
  <c r="D506" i="2"/>
  <c r="C506" i="2"/>
  <c r="E506" i="2" s="1"/>
  <c r="D550" i="2"/>
  <c r="C550" i="2"/>
  <c r="E550" i="2" s="1"/>
  <c r="D616" i="2"/>
  <c r="C616" i="2"/>
  <c r="E616" i="2" s="1"/>
  <c r="D486" i="2"/>
  <c r="C486" i="2"/>
  <c r="E486" i="2" s="1"/>
  <c r="D755" i="2"/>
  <c r="C755" i="2"/>
  <c r="E755" i="2" s="1"/>
  <c r="D627" i="2"/>
  <c r="C627" i="2"/>
  <c r="E627" i="2" s="1"/>
  <c r="C720" i="2"/>
  <c r="E720" i="2" s="1"/>
  <c r="D720" i="2"/>
  <c r="D589" i="2"/>
  <c r="C589" i="2"/>
  <c r="E589" i="2" s="1"/>
  <c r="C454" i="2"/>
  <c r="E454" i="2" s="1"/>
  <c r="D454" i="2"/>
  <c r="D436" i="2"/>
  <c r="C436" i="2"/>
  <c r="E436" i="2" s="1"/>
  <c r="C349" i="2"/>
  <c r="E349" i="2" s="1"/>
  <c r="D349" i="2"/>
  <c r="D732" i="2"/>
  <c r="C732" i="2"/>
  <c r="E732" i="2" s="1"/>
  <c r="H15" i="2"/>
  <c r="J15" i="2" s="1"/>
  <c r="I15" i="2"/>
  <c r="M168" i="2"/>
  <c r="C168" i="4" s="1"/>
  <c r="D168" i="4" s="1"/>
  <c r="M133" i="2"/>
  <c r="C133" i="4" s="1"/>
  <c r="D133" i="4" s="1"/>
  <c r="M123" i="2"/>
  <c r="C123" i="4" s="1"/>
  <c r="D123" i="4" s="1"/>
  <c r="L124" i="2"/>
  <c r="A124" i="4" s="1"/>
  <c r="K174" i="2"/>
  <c r="B174" i="4" s="1"/>
  <c r="K142" i="2"/>
  <c r="B142" i="4" s="1"/>
  <c r="M147" i="2"/>
  <c r="C147" i="4" s="1"/>
  <c r="D147" i="4" s="1"/>
  <c r="L165" i="2"/>
  <c r="A165" i="4" s="1"/>
  <c r="M183" i="2"/>
  <c r="C183" i="4" s="1"/>
  <c r="D183" i="4" s="1"/>
  <c r="M142" i="2"/>
  <c r="C142" i="4" s="1"/>
  <c r="D142" i="4" s="1"/>
  <c r="L134" i="2"/>
  <c r="A134" i="4" s="1"/>
  <c r="K188" i="2"/>
  <c r="B188" i="4" s="1"/>
  <c r="K124" i="2"/>
  <c r="B124" i="4" s="1"/>
  <c r="K153" i="2"/>
  <c r="B153" i="4" s="1"/>
  <c r="K185" i="2"/>
  <c r="B185" i="4" s="1"/>
  <c r="H233" i="2"/>
  <c r="J233" i="2" s="1"/>
  <c r="I233" i="2"/>
  <c r="I235" i="2"/>
  <c r="H235" i="2"/>
  <c r="J235" i="2" s="1"/>
  <c r="I236" i="2"/>
  <c r="H236" i="2"/>
  <c r="J236" i="2" s="1"/>
  <c r="O432" i="2"/>
  <c r="O528" i="2" s="1"/>
  <c r="O624" i="2" s="1"/>
  <c r="O720" i="2" s="1"/>
  <c r="A275" i="2"/>
  <c r="B275" i="2" s="1"/>
  <c r="A274" i="2"/>
  <c r="B274" i="2" s="1"/>
  <c r="A276" i="2"/>
  <c r="B276" i="2" s="1"/>
  <c r="A273" i="2"/>
  <c r="B273" i="2" s="1"/>
  <c r="H234" i="2"/>
  <c r="J234" i="2" s="1"/>
  <c r="I234" i="2"/>
  <c r="K133" i="2"/>
  <c r="B133" i="4" s="1"/>
  <c r="K191" i="2"/>
  <c r="B191" i="4" s="1"/>
  <c r="K123" i="2"/>
  <c r="B123" i="4" s="1"/>
  <c r="K186" i="2"/>
  <c r="B186" i="4" s="1"/>
  <c r="L164" i="2"/>
  <c r="A164" i="4" s="1"/>
  <c r="L125" i="2"/>
  <c r="A125" i="4" s="1"/>
  <c r="L155" i="2"/>
  <c r="A155" i="4" s="1"/>
  <c r="L187" i="2"/>
  <c r="A187" i="4" s="1"/>
  <c r="K193" i="2"/>
  <c r="B193" i="4" s="1"/>
  <c r="M170" i="2"/>
  <c r="C170" i="4" s="1"/>
  <c r="D170" i="4" s="1"/>
  <c r="L166" i="2"/>
  <c r="A166" i="4" s="1"/>
  <c r="K136" i="2"/>
  <c r="B136" i="4" s="1"/>
  <c r="K189" i="2"/>
  <c r="B189" i="4" s="1"/>
  <c r="K160" i="2"/>
  <c r="B160" i="4" s="1"/>
  <c r="L136" i="2"/>
  <c r="A136" i="4" s="1"/>
  <c r="L137" i="2"/>
  <c r="A137" i="4" s="1"/>
  <c r="K183" i="2"/>
  <c r="B183" i="4" s="1"/>
  <c r="K126" i="2"/>
  <c r="B126" i="4" s="1"/>
  <c r="K131" i="2"/>
  <c r="B131" i="4" s="1"/>
  <c r="K149" i="2"/>
  <c r="B149" i="4" s="1"/>
  <c r="M134" i="2"/>
  <c r="C134" i="4" s="1"/>
  <c r="D134" i="4" s="1"/>
  <c r="K178" i="2"/>
  <c r="B178" i="4" s="1"/>
  <c r="M192" i="2"/>
  <c r="C192" i="4" s="1"/>
  <c r="D192" i="4" s="1"/>
  <c r="L162" i="2"/>
  <c r="A162" i="4" s="1"/>
  <c r="K167" i="2"/>
  <c r="B167" i="4" s="1"/>
  <c r="K187" i="2"/>
  <c r="B187" i="4" s="1"/>
  <c r="K159" i="2"/>
  <c r="B159" i="4" s="1"/>
  <c r="M164" i="2"/>
  <c r="C164" i="4" s="1"/>
  <c r="D164" i="4" s="1"/>
  <c r="M189" i="2"/>
  <c r="C189" i="4" s="1"/>
  <c r="D189" i="4" s="1"/>
  <c r="M165" i="2"/>
  <c r="C165" i="4" s="1"/>
  <c r="D165" i="4" s="1"/>
  <c r="K179" i="2"/>
  <c r="B179" i="4" s="1"/>
  <c r="K177" i="2"/>
  <c r="B177" i="4" s="1"/>
  <c r="M185" i="2"/>
  <c r="C185" i="4" s="1"/>
  <c r="D185" i="4" s="1"/>
  <c r="M157" i="2"/>
  <c r="C157" i="4" s="1"/>
  <c r="D157" i="4" s="1"/>
  <c r="M143" i="2"/>
  <c r="C143" i="4" s="1"/>
  <c r="D143" i="4" s="1"/>
  <c r="K147" i="2"/>
  <c r="B147" i="4" s="1"/>
  <c r="K180" i="2"/>
  <c r="B180" i="4" s="1"/>
  <c r="L182" i="2"/>
  <c r="A182" i="4" s="1"/>
  <c r="D217" i="2"/>
  <c r="C217" i="2"/>
  <c r="E217" i="2" s="1"/>
  <c r="K184" i="2"/>
  <c r="B184" i="4" s="1"/>
  <c r="L148" i="2"/>
  <c r="A148" i="4" s="1"/>
  <c r="L121" i="2"/>
  <c r="A121" i="4" s="1"/>
  <c r="L131" i="2"/>
  <c r="A131" i="4" s="1"/>
  <c r="M137" i="2"/>
  <c r="C137" i="4" s="1"/>
  <c r="D137" i="4" s="1"/>
  <c r="M169" i="2"/>
  <c r="C169" i="4" s="1"/>
  <c r="D169" i="4" s="1"/>
  <c r="L167" i="2"/>
  <c r="A167" i="4" s="1"/>
  <c r="D220" i="2"/>
  <c r="C220" i="2"/>
  <c r="E220" i="2" s="1"/>
  <c r="K151" i="2"/>
  <c r="B151" i="4" s="1"/>
  <c r="K156" i="2"/>
  <c r="B156" i="4" s="1"/>
  <c r="M122" i="2"/>
  <c r="C122" i="4" s="1"/>
  <c r="D122" i="4" s="1"/>
  <c r="K157" i="2"/>
  <c r="B157" i="4" s="1"/>
  <c r="K170" i="2"/>
  <c r="B170" i="4" s="1"/>
  <c r="K166" i="2"/>
  <c r="B166" i="4" s="1"/>
  <c r="M191" i="2"/>
  <c r="C191" i="4" s="1"/>
  <c r="D191" i="4" s="1"/>
  <c r="L179" i="2"/>
  <c r="A179" i="4" s="1"/>
  <c r="K182" i="2"/>
  <c r="B182" i="4" s="1"/>
  <c r="L146" i="2"/>
  <c r="A146" i="4" s="1"/>
  <c r="M138" i="2"/>
  <c r="C138" i="4" s="1"/>
  <c r="D138" i="4" s="1"/>
  <c r="L140" i="2"/>
  <c r="A140" i="4" s="1"/>
  <c r="M163" i="2"/>
  <c r="C163" i="4" s="1"/>
  <c r="D163" i="4" s="1"/>
  <c r="K192" i="2"/>
  <c r="B192" i="4" s="1"/>
  <c r="M180" i="2"/>
  <c r="C180" i="4" s="1"/>
  <c r="D180" i="4" s="1"/>
  <c r="K195" i="2"/>
  <c r="B195" i="4" s="1"/>
  <c r="M196" i="2"/>
  <c r="C196" i="4" s="1"/>
  <c r="D196" i="4" s="1"/>
  <c r="M177" i="2"/>
  <c r="C177" i="4" s="1"/>
  <c r="D177" i="4" s="1"/>
  <c r="M175" i="2"/>
  <c r="C175" i="4" s="1"/>
  <c r="D175" i="4" s="1"/>
  <c r="M145" i="2"/>
  <c r="C145" i="4" s="1"/>
  <c r="D145" i="4" s="1"/>
  <c r="K130" i="2"/>
  <c r="B130" i="4" s="1"/>
  <c r="L135" i="2"/>
  <c r="A135" i="4" s="1"/>
  <c r="M153" i="2"/>
  <c r="C153" i="4" s="1"/>
  <c r="D153" i="4" s="1"/>
  <c r="M193" i="2"/>
  <c r="C193" i="4" s="1"/>
  <c r="D193" i="4" s="1"/>
  <c r="M194" i="2"/>
  <c r="C194" i="4" s="1"/>
  <c r="D194" i="4" s="1"/>
  <c r="L141" i="2"/>
  <c r="A141" i="4" s="1"/>
  <c r="L181" i="2"/>
  <c r="A181" i="4" s="1"/>
  <c r="M118" i="2"/>
  <c r="C118" i="4" s="1"/>
  <c r="D118" i="4" s="1"/>
  <c r="L149" i="2"/>
  <c r="A149" i="4" s="1"/>
  <c r="K190" i="2"/>
  <c r="B190" i="4" s="1"/>
  <c r="K127" i="2"/>
  <c r="B127" i="4" s="1"/>
  <c r="L188" i="2"/>
  <c r="A188" i="4" s="1"/>
  <c r="M161" i="2"/>
  <c r="C161" i="4" s="1"/>
  <c r="D161" i="4" s="1"/>
  <c r="K158" i="2"/>
  <c r="B158" i="4" s="1"/>
  <c r="K148" i="2"/>
  <c r="B148" i="4" s="1"/>
  <c r="M121" i="2"/>
  <c r="C121" i="4" s="1"/>
  <c r="D121" i="4" s="1"/>
  <c r="K169" i="2"/>
  <c r="B169" i="4" s="1"/>
  <c r="C219" i="2"/>
  <c r="E219" i="2" s="1"/>
  <c r="D219" i="2"/>
  <c r="K138" i="2"/>
  <c r="B138" i="4" s="1"/>
  <c r="M140" i="2"/>
  <c r="C140" i="4" s="1"/>
  <c r="D140" i="4" s="1"/>
  <c r="K163" i="2"/>
  <c r="B163" i="4" s="1"/>
  <c r="K154" i="2"/>
  <c r="B154" i="4" s="1"/>
  <c r="L180" i="2"/>
  <c r="A180" i="4" s="1"/>
  <c r="M176" i="2"/>
  <c r="C176" i="4" s="1"/>
  <c r="D176" i="4" s="1"/>
  <c r="M195" i="2"/>
  <c r="C195" i="4" s="1"/>
  <c r="D195" i="4" s="1"/>
  <c r="K196" i="2"/>
  <c r="B196" i="4" s="1"/>
  <c r="K120" i="2"/>
  <c r="B120" i="4" s="1"/>
  <c r="L175" i="2"/>
  <c r="A175" i="4" s="1"/>
  <c r="M130" i="2"/>
  <c r="C130" i="4" s="1"/>
  <c r="D130" i="4" s="1"/>
  <c r="K135" i="2"/>
  <c r="B135" i="4" s="1"/>
  <c r="L153" i="2"/>
  <c r="A153" i="4" s="1"/>
  <c r="L193" i="2"/>
  <c r="A193" i="4" s="1"/>
  <c r="K194" i="2"/>
  <c r="B194" i="4" s="1"/>
  <c r="M141" i="2"/>
  <c r="C141" i="4" s="1"/>
  <c r="D141" i="4" s="1"/>
  <c r="K181" i="2"/>
  <c r="B181" i="4" s="1"/>
  <c r="K118" i="2"/>
  <c r="B118" i="4" s="1"/>
  <c r="M149" i="2"/>
  <c r="C149" i="4" s="1"/>
  <c r="D149" i="4" s="1"/>
  <c r="M160" i="2"/>
  <c r="C160" i="4" s="1"/>
  <c r="D160" i="4" s="1"/>
  <c r="M188" i="2"/>
  <c r="C188" i="4" s="1"/>
  <c r="D188" i="4" s="1"/>
  <c r="L158" i="2"/>
  <c r="A158" i="4" s="1"/>
  <c r="L159" i="2"/>
  <c r="A159" i="4" s="1"/>
  <c r="M151" i="2"/>
  <c r="C151" i="4" s="1"/>
  <c r="D151" i="4" s="1"/>
  <c r="M184" i="2"/>
  <c r="C184" i="4" s="1"/>
  <c r="D184" i="4" s="1"/>
  <c r="K155" i="2"/>
  <c r="B155" i="4" s="1"/>
  <c r="L156" i="2"/>
  <c r="A156" i="4" s="1"/>
  <c r="K122" i="2"/>
  <c r="B122" i="4" s="1"/>
  <c r="L143" i="2"/>
  <c r="A143" i="4" s="1"/>
  <c r="C218" i="2"/>
  <c r="E218" i="2" s="1"/>
  <c r="D218" i="2"/>
  <c r="K125" i="2"/>
  <c r="B125" i="4" s="1"/>
  <c r="K117" i="2"/>
  <c r="B365" i="4" s="1"/>
  <c r="M179" i="2"/>
  <c r="C179" i="4" s="1"/>
  <c r="D179" i="4" s="1"/>
  <c r="M146" i="2"/>
  <c r="C146" i="4" s="1"/>
  <c r="D146" i="4" s="1"/>
  <c r="L154" i="2"/>
  <c r="A154" i="4" s="1"/>
  <c r="L176" i="2"/>
  <c r="A176" i="4" s="1"/>
  <c r="L177" i="2"/>
  <c r="A177" i="4" s="1"/>
  <c r="M120" i="2"/>
  <c r="C120" i="4" s="1"/>
  <c r="D120" i="4" s="1"/>
  <c r="K145" i="2"/>
  <c r="B145" i="4" s="1"/>
  <c r="M190" i="2"/>
  <c r="C190" i="4" s="1"/>
  <c r="D190" i="4" s="1"/>
  <c r="L160" i="2"/>
  <c r="A160" i="4" s="1"/>
  <c r="L127" i="2"/>
  <c r="A127" i="4" s="1"/>
  <c r="L161" i="2"/>
  <c r="A161" i="4" s="1"/>
  <c r="A87" i="5"/>
  <c r="B87" i="5" s="1"/>
  <c r="C620" i="2" l="1"/>
  <c r="E620" i="2" s="1"/>
  <c r="D407" i="2"/>
  <c r="D587" i="2"/>
  <c r="D529" i="2"/>
  <c r="C694" i="2"/>
  <c r="E694" i="2" s="1"/>
  <c r="C705" i="2"/>
  <c r="E705" i="2" s="1"/>
  <c r="D649" i="2"/>
  <c r="D353" i="2"/>
  <c r="D557" i="2"/>
  <c r="D680" i="2"/>
  <c r="C375" i="2"/>
  <c r="E375" i="2" s="1"/>
  <c r="C742" i="2"/>
  <c r="E742" i="2" s="1"/>
  <c r="D571" i="2"/>
  <c r="D717" i="2"/>
  <c r="D480" i="2"/>
  <c r="D380" i="2"/>
  <c r="D491" i="2"/>
  <c r="C499" i="2"/>
  <c r="E499" i="2" s="1"/>
  <c r="C744" i="2"/>
  <c r="E744" i="2" s="1"/>
  <c r="D642" i="2"/>
  <c r="D704" i="2"/>
  <c r="D458" i="2"/>
  <c r="D261" i="2"/>
  <c r="C261" i="2"/>
  <c r="E261" i="2" s="1"/>
  <c r="D253" i="2"/>
  <c r="C253" i="2"/>
  <c r="E253" i="2" s="1"/>
  <c r="D262" i="2"/>
  <c r="C262" i="2"/>
  <c r="E262" i="2" s="1"/>
  <c r="C267" i="2"/>
  <c r="E267" i="2" s="1"/>
  <c r="D267" i="2"/>
  <c r="C269" i="2"/>
  <c r="E269" i="2" s="1"/>
  <c r="D269" i="2"/>
  <c r="D279" i="2"/>
  <c r="C279" i="2"/>
  <c r="E279" i="2" s="1"/>
  <c r="C296" i="2"/>
  <c r="E296" i="2" s="1"/>
  <c r="D296" i="2"/>
  <c r="D289" i="2"/>
  <c r="C289" i="2"/>
  <c r="E289" i="2" s="1"/>
  <c r="C277" i="2"/>
  <c r="E277" i="2" s="1"/>
  <c r="D277" i="2"/>
  <c r="D298" i="2"/>
  <c r="C298" i="2"/>
  <c r="E298" i="2" s="1"/>
  <c r="C307" i="2"/>
  <c r="E307" i="2" s="1"/>
  <c r="D307" i="2"/>
  <c r="D310" i="2"/>
  <c r="C310" i="2"/>
  <c r="E310" i="2" s="1"/>
  <c r="C302" i="2"/>
  <c r="E302" i="2" s="1"/>
  <c r="D302" i="2"/>
  <c r="C282" i="2"/>
  <c r="E282" i="2" s="1"/>
  <c r="D282" i="2"/>
  <c r="C283" i="2"/>
  <c r="E283" i="2" s="1"/>
  <c r="D283" i="2"/>
  <c r="L203" i="2"/>
  <c r="A203" i="4" s="1"/>
  <c r="M203" i="2"/>
  <c r="C203" i="4" s="1"/>
  <c r="D203" i="4" s="1"/>
  <c r="K203" i="2"/>
  <c r="B203" i="4" s="1"/>
  <c r="L201" i="2"/>
  <c r="A201" i="4" s="1"/>
  <c r="K201" i="2"/>
  <c r="B201" i="4" s="1"/>
  <c r="M201" i="2"/>
  <c r="C201" i="4" s="1"/>
  <c r="D201" i="4" s="1"/>
  <c r="M200" i="2"/>
  <c r="C200" i="4" s="1"/>
  <c r="D200" i="4" s="1"/>
  <c r="K200" i="2"/>
  <c r="B200" i="4" s="1"/>
  <c r="L200" i="2"/>
  <c r="A200" i="4" s="1"/>
  <c r="M199" i="2"/>
  <c r="C199" i="4" s="1"/>
  <c r="D199" i="4" s="1"/>
  <c r="L199" i="2"/>
  <c r="A199" i="4" s="1"/>
  <c r="K199" i="2"/>
  <c r="B199" i="4" s="1"/>
  <c r="M207" i="2"/>
  <c r="C207" i="4" s="1"/>
  <c r="D207" i="4" s="1"/>
  <c r="L207" i="2"/>
  <c r="A207" i="4" s="1"/>
  <c r="K207" i="2"/>
  <c r="B207" i="4" s="1"/>
  <c r="D254" i="2"/>
  <c r="C254" i="2"/>
  <c r="E254" i="2" s="1"/>
  <c r="D264" i="2"/>
  <c r="C264" i="2"/>
  <c r="E264" i="2" s="1"/>
  <c r="D257" i="2"/>
  <c r="C257" i="2"/>
  <c r="E257" i="2" s="1"/>
  <c r="C265" i="2"/>
  <c r="E265" i="2" s="1"/>
  <c r="D265" i="2"/>
  <c r="D280" i="2"/>
  <c r="C280" i="2"/>
  <c r="E280" i="2" s="1"/>
  <c r="C292" i="2"/>
  <c r="E292" i="2" s="1"/>
  <c r="D292" i="2"/>
  <c r="D294" i="2"/>
  <c r="C294" i="2"/>
  <c r="E294" i="2" s="1"/>
  <c r="C291" i="2"/>
  <c r="E291" i="2" s="1"/>
  <c r="D291" i="2"/>
  <c r="C284" i="2"/>
  <c r="E284" i="2" s="1"/>
  <c r="D284" i="2"/>
  <c r="C270" i="2"/>
  <c r="E270" i="2" s="1"/>
  <c r="D270" i="2"/>
  <c r="D272" i="2"/>
  <c r="C272" i="2"/>
  <c r="E272" i="2" s="1"/>
  <c r="D281" i="2"/>
  <c r="C281" i="2"/>
  <c r="E281" i="2" s="1"/>
  <c r="C300" i="2"/>
  <c r="E300" i="2" s="1"/>
  <c r="D300" i="2"/>
  <c r="C306" i="2"/>
  <c r="E306" i="2" s="1"/>
  <c r="D306" i="2"/>
  <c r="K204" i="2"/>
  <c r="B204" i="4" s="1"/>
  <c r="M204" i="2"/>
  <c r="C204" i="4" s="1"/>
  <c r="D204" i="4" s="1"/>
  <c r="L204" i="2"/>
  <c r="A204" i="4" s="1"/>
  <c r="L216" i="2"/>
  <c r="A216" i="4" s="1"/>
  <c r="K216" i="2"/>
  <c r="B216" i="4" s="1"/>
  <c r="M216" i="2"/>
  <c r="C216" i="4" s="1"/>
  <c r="D216" i="4" s="1"/>
  <c r="M211" i="2"/>
  <c r="C211" i="4" s="1"/>
  <c r="D211" i="4" s="1"/>
  <c r="K211" i="2"/>
  <c r="B211" i="4" s="1"/>
  <c r="L211" i="2"/>
  <c r="A211" i="4" s="1"/>
  <c r="L213" i="2"/>
  <c r="A213" i="4" s="1"/>
  <c r="K213" i="2"/>
  <c r="B213" i="4" s="1"/>
  <c r="M213" i="2"/>
  <c r="C213" i="4" s="1"/>
  <c r="D213" i="4" s="1"/>
  <c r="M212" i="2"/>
  <c r="C212" i="4" s="1"/>
  <c r="D212" i="4" s="1"/>
  <c r="K212" i="2"/>
  <c r="B212" i="4" s="1"/>
  <c r="L212" i="2"/>
  <c r="A212" i="4" s="1"/>
  <c r="D256" i="2"/>
  <c r="C256" i="2"/>
  <c r="E256" i="2" s="1"/>
  <c r="D258" i="2"/>
  <c r="C258" i="2"/>
  <c r="E258" i="2" s="1"/>
  <c r="C260" i="2"/>
  <c r="E260" i="2" s="1"/>
  <c r="D260" i="2"/>
  <c r="C266" i="2"/>
  <c r="E266" i="2" s="1"/>
  <c r="D266" i="2"/>
  <c r="D286" i="2"/>
  <c r="C286" i="2"/>
  <c r="E286" i="2" s="1"/>
  <c r="C290" i="2"/>
  <c r="E290" i="2" s="1"/>
  <c r="D290" i="2"/>
  <c r="D288" i="2"/>
  <c r="C288" i="2"/>
  <c r="E288" i="2" s="1"/>
  <c r="D312" i="2"/>
  <c r="C312" i="2"/>
  <c r="E312" i="2" s="1"/>
  <c r="C285" i="2"/>
  <c r="E285" i="2" s="1"/>
  <c r="D285" i="2"/>
  <c r="C287" i="2"/>
  <c r="E287" i="2" s="1"/>
  <c r="D287" i="2"/>
  <c r="D304" i="2"/>
  <c r="C304" i="2"/>
  <c r="E304" i="2" s="1"/>
  <c r="C293" i="2"/>
  <c r="E293" i="2" s="1"/>
  <c r="D293" i="2"/>
  <c r="D295" i="2"/>
  <c r="C295" i="2"/>
  <c r="E295" i="2" s="1"/>
  <c r="D303" i="2"/>
  <c r="C303" i="2"/>
  <c r="E303" i="2" s="1"/>
  <c r="L205" i="2"/>
  <c r="A205" i="4" s="1"/>
  <c r="K205" i="2"/>
  <c r="B205" i="4" s="1"/>
  <c r="M205" i="2"/>
  <c r="C205" i="4" s="1"/>
  <c r="D205" i="4" s="1"/>
  <c r="M202" i="2"/>
  <c r="C202" i="4" s="1"/>
  <c r="D202" i="4" s="1"/>
  <c r="L202" i="2"/>
  <c r="A202" i="4" s="1"/>
  <c r="K202" i="2"/>
  <c r="B202" i="4" s="1"/>
  <c r="M198" i="2"/>
  <c r="C198" i="4" s="1"/>
  <c r="D198" i="4" s="1"/>
  <c r="L198" i="2"/>
  <c r="A198" i="4" s="1"/>
  <c r="K198" i="2"/>
  <c r="B198" i="4" s="1"/>
  <c r="D255" i="2"/>
  <c r="C255" i="2"/>
  <c r="E255" i="2" s="1"/>
  <c r="D259" i="2"/>
  <c r="C259" i="2"/>
  <c r="E259" i="2" s="1"/>
  <c r="C263" i="2"/>
  <c r="E263" i="2" s="1"/>
  <c r="D263" i="2"/>
  <c r="D268" i="2"/>
  <c r="C268" i="2"/>
  <c r="E268" i="2" s="1"/>
  <c r="D309" i="2"/>
  <c r="C309" i="2"/>
  <c r="E309" i="2" s="1"/>
  <c r="C297" i="2"/>
  <c r="E297" i="2" s="1"/>
  <c r="D297" i="2"/>
  <c r="D278" i="2"/>
  <c r="C278" i="2"/>
  <c r="E278" i="2" s="1"/>
  <c r="C271" i="2"/>
  <c r="E271" i="2" s="1"/>
  <c r="D271" i="2"/>
  <c r="C311" i="2"/>
  <c r="E311" i="2" s="1"/>
  <c r="D311" i="2"/>
  <c r="C305" i="2"/>
  <c r="E305" i="2" s="1"/>
  <c r="D305" i="2"/>
  <c r="A313" i="2"/>
  <c r="B313" i="2" s="1"/>
  <c r="D299" i="2"/>
  <c r="C299" i="2"/>
  <c r="E299" i="2" s="1"/>
  <c r="C308" i="2"/>
  <c r="E308" i="2" s="1"/>
  <c r="D308" i="2"/>
  <c r="C301" i="2"/>
  <c r="E301" i="2" s="1"/>
  <c r="D301" i="2"/>
  <c r="L197" i="2"/>
  <c r="A197" i="4" s="1"/>
  <c r="M197" i="2"/>
  <c r="C197" i="4" s="1"/>
  <c r="D197" i="4" s="1"/>
  <c r="K197" i="2"/>
  <c r="B197" i="4" s="1"/>
  <c r="K210" i="2"/>
  <c r="B210" i="4" s="1"/>
  <c r="M210" i="2"/>
  <c r="C210" i="4" s="1"/>
  <c r="D210" i="4" s="1"/>
  <c r="L210" i="2"/>
  <c r="A210" i="4" s="1"/>
  <c r="O339" i="2"/>
  <c r="A338" i="2"/>
  <c r="B338" i="2" s="1"/>
  <c r="A334" i="2"/>
  <c r="B334" i="2" s="1"/>
  <c r="A327" i="2"/>
  <c r="B327" i="2" s="1"/>
  <c r="A340" i="2"/>
  <c r="B340" i="2" s="1"/>
  <c r="A315" i="2"/>
  <c r="B315" i="2" s="1"/>
  <c r="A324" i="2"/>
  <c r="B324" i="2" s="1"/>
  <c r="A335" i="2"/>
  <c r="B335" i="2" s="1"/>
  <c r="A337" i="2"/>
  <c r="B337" i="2" s="1"/>
  <c r="A319" i="2"/>
  <c r="B319" i="2" s="1"/>
  <c r="A322" i="2"/>
  <c r="B322" i="2" s="1"/>
  <c r="A321" i="2"/>
  <c r="B321" i="2" s="1"/>
  <c r="A328" i="2"/>
  <c r="B328" i="2" s="1"/>
  <c r="A332" i="2"/>
  <c r="B332" i="2" s="1"/>
  <c r="A318" i="2"/>
  <c r="B318" i="2" s="1"/>
  <c r="A314" i="2"/>
  <c r="B314" i="2" s="1"/>
  <c r="A316" i="2"/>
  <c r="B316" i="2" s="1"/>
  <c r="A333" i="2"/>
  <c r="B333" i="2" s="1"/>
  <c r="A326" i="2"/>
  <c r="B326" i="2" s="1"/>
  <c r="A331" i="2"/>
  <c r="B331" i="2" s="1"/>
  <c r="A336" i="2"/>
  <c r="B336" i="2" s="1"/>
  <c r="A323" i="2"/>
  <c r="B323" i="2" s="1"/>
  <c r="A325" i="2"/>
  <c r="B325" i="2" s="1"/>
  <c r="A320" i="2"/>
  <c r="B320" i="2" s="1"/>
  <c r="A317" i="2"/>
  <c r="B317" i="2" s="1"/>
  <c r="A330" i="2"/>
  <c r="B330" i="2" s="1"/>
  <c r="A339" i="2"/>
  <c r="B339" i="2" s="1"/>
  <c r="A329" i="2"/>
  <c r="B329" i="2" s="1"/>
  <c r="L214" i="2"/>
  <c r="A214" i="4" s="1"/>
  <c r="K214" i="2"/>
  <c r="B214" i="4" s="1"/>
  <c r="M214" i="2"/>
  <c r="C214" i="4" s="1"/>
  <c r="D214" i="4" s="1"/>
  <c r="K209" i="2"/>
  <c r="B209" i="4" s="1"/>
  <c r="M209" i="2"/>
  <c r="C209" i="4" s="1"/>
  <c r="D209" i="4" s="1"/>
  <c r="L209" i="2"/>
  <c r="A209" i="4" s="1"/>
  <c r="L215" i="2"/>
  <c r="A215" i="4" s="1"/>
  <c r="M215" i="2"/>
  <c r="C215" i="4" s="1"/>
  <c r="D215" i="4" s="1"/>
  <c r="K215" i="2"/>
  <c r="B215" i="4" s="1"/>
  <c r="K206" i="2"/>
  <c r="B206" i="4" s="1"/>
  <c r="M206" i="2"/>
  <c r="C206" i="4" s="1"/>
  <c r="D206" i="4" s="1"/>
  <c r="L206" i="2"/>
  <c r="A206" i="4" s="1"/>
  <c r="K208" i="2"/>
  <c r="B208" i="4" s="1"/>
  <c r="M208" i="2"/>
  <c r="C208" i="4" s="1"/>
  <c r="D208" i="4" s="1"/>
  <c r="L208" i="2"/>
  <c r="A208" i="4" s="1"/>
  <c r="K372" i="2"/>
  <c r="B372" i="4" s="1"/>
  <c r="M372" i="2"/>
  <c r="C372" i="4" s="1"/>
  <c r="D372" i="4" s="1"/>
  <c r="L372" i="2"/>
  <c r="A372" i="4" s="1"/>
  <c r="L690" i="2"/>
  <c r="A690" i="4" s="1"/>
  <c r="M690" i="2"/>
  <c r="C690" i="4" s="1"/>
  <c r="D690" i="4" s="1"/>
  <c r="K690" i="2"/>
  <c r="B690" i="4" s="1"/>
  <c r="K576" i="2"/>
  <c r="B576" i="4" s="1"/>
  <c r="L576" i="2"/>
  <c r="A576" i="4" s="1"/>
  <c r="M576" i="2"/>
  <c r="C576" i="4" s="1"/>
  <c r="D576" i="4" s="1"/>
  <c r="M542" i="2"/>
  <c r="C542" i="4" s="1"/>
  <c r="D542" i="4" s="1"/>
  <c r="K542" i="2"/>
  <c r="B542" i="4" s="1"/>
  <c r="L542" i="2"/>
  <c r="A542" i="4" s="1"/>
  <c r="L384" i="2"/>
  <c r="A384" i="4" s="1"/>
  <c r="M384" i="2"/>
  <c r="C384" i="4" s="1"/>
  <c r="D384" i="4" s="1"/>
  <c r="K384" i="2"/>
  <c r="B384" i="4" s="1"/>
  <c r="M591" i="2"/>
  <c r="C591" i="4" s="1"/>
  <c r="D591" i="4" s="1"/>
  <c r="K591" i="2"/>
  <c r="B591" i="4" s="1"/>
  <c r="L591" i="2"/>
  <c r="A591" i="4" s="1"/>
  <c r="L674" i="2"/>
  <c r="A674" i="4" s="1"/>
  <c r="M674" i="2"/>
  <c r="C674" i="4" s="1"/>
  <c r="D674" i="4" s="1"/>
  <c r="K674" i="2"/>
  <c r="B674" i="4" s="1"/>
  <c r="K714" i="2"/>
  <c r="B714" i="4" s="1"/>
  <c r="M714" i="2"/>
  <c r="C714" i="4" s="1"/>
  <c r="D714" i="4" s="1"/>
  <c r="L714" i="2"/>
  <c r="A714" i="4" s="1"/>
  <c r="L760" i="2"/>
  <c r="A760" i="4" s="1"/>
  <c r="M760" i="2"/>
  <c r="C760" i="4" s="1"/>
  <c r="D760" i="4" s="1"/>
  <c r="K760" i="2"/>
  <c r="B760" i="4" s="1"/>
  <c r="L686" i="2"/>
  <c r="A686" i="4" s="1"/>
  <c r="M686" i="2"/>
  <c r="C686" i="4" s="1"/>
  <c r="D686" i="4" s="1"/>
  <c r="K686" i="2"/>
  <c r="B686" i="4" s="1"/>
  <c r="K377" i="2"/>
  <c r="B377" i="4" s="1"/>
  <c r="L377" i="2"/>
  <c r="A377" i="4" s="1"/>
  <c r="M377" i="2"/>
  <c r="C377" i="4" s="1"/>
  <c r="D377" i="4" s="1"/>
  <c r="K515" i="2"/>
  <c r="B515" i="4" s="1"/>
  <c r="M515" i="2"/>
  <c r="C515" i="4" s="1"/>
  <c r="D515" i="4" s="1"/>
  <c r="L515" i="2"/>
  <c r="A515" i="4" s="1"/>
  <c r="L528" i="2"/>
  <c r="A528" i="4" s="1"/>
  <c r="M528" i="2"/>
  <c r="C528" i="4" s="1"/>
  <c r="D528" i="4" s="1"/>
  <c r="K528" i="2"/>
  <c r="B528" i="4" s="1"/>
  <c r="M687" i="2"/>
  <c r="C687" i="4" s="1"/>
  <c r="D687" i="4" s="1"/>
  <c r="K687" i="2"/>
  <c r="B687" i="4" s="1"/>
  <c r="L687" i="2"/>
  <c r="A687" i="4" s="1"/>
  <c r="M434" i="2"/>
  <c r="C434" i="4" s="1"/>
  <c r="D434" i="4" s="1"/>
  <c r="L434" i="2"/>
  <c r="A434" i="4" s="1"/>
  <c r="K434" i="2"/>
  <c r="B434" i="4" s="1"/>
  <c r="L700" i="2"/>
  <c r="A700" i="4" s="1"/>
  <c r="K700" i="2"/>
  <c r="B700" i="4" s="1"/>
  <c r="M700" i="2"/>
  <c r="C700" i="4" s="1"/>
  <c r="D700" i="4" s="1"/>
  <c r="M617" i="2"/>
  <c r="C617" i="4" s="1"/>
  <c r="D617" i="4" s="1"/>
  <c r="L617" i="2"/>
  <c r="A617" i="4" s="1"/>
  <c r="K617" i="2"/>
  <c r="B617" i="4" s="1"/>
  <c r="K446" i="2"/>
  <c r="B446" i="4" s="1"/>
  <c r="L446" i="2"/>
  <c r="A446" i="4" s="1"/>
  <c r="M446" i="2"/>
  <c r="C446" i="4" s="1"/>
  <c r="D446" i="4" s="1"/>
  <c r="M694" i="2"/>
  <c r="C694" i="4" s="1"/>
  <c r="D694" i="4" s="1"/>
  <c r="K694" i="2"/>
  <c r="B694" i="4" s="1"/>
  <c r="L694" i="2"/>
  <c r="A694" i="4" s="1"/>
  <c r="M513" i="2"/>
  <c r="C513" i="4" s="1"/>
  <c r="D513" i="4" s="1"/>
  <c r="K513" i="2"/>
  <c r="B513" i="4" s="1"/>
  <c r="L513" i="2"/>
  <c r="A513" i="4" s="1"/>
  <c r="M546" i="2"/>
  <c r="C546" i="4" s="1"/>
  <c r="D546" i="4" s="1"/>
  <c r="K546" i="2"/>
  <c r="B546" i="4" s="1"/>
  <c r="L546" i="2"/>
  <c r="A546" i="4" s="1"/>
  <c r="K373" i="2"/>
  <c r="B257" i="4" s="1"/>
  <c r="M373" i="2"/>
  <c r="C257" i="4" s="1"/>
  <c r="D257" i="4" s="1"/>
  <c r="L373" i="2"/>
  <c r="A257" i="4" s="1"/>
  <c r="L378" i="2"/>
  <c r="A378" i="4" s="1"/>
  <c r="M378" i="2"/>
  <c r="C378" i="4" s="1"/>
  <c r="D378" i="4" s="1"/>
  <c r="K378" i="2"/>
  <c r="B378" i="4" s="1"/>
  <c r="L622" i="2"/>
  <c r="A622" i="4" s="1"/>
  <c r="M622" i="2"/>
  <c r="C622" i="4" s="1"/>
  <c r="D622" i="4" s="1"/>
  <c r="K622" i="2"/>
  <c r="B622" i="4" s="1"/>
  <c r="M488" i="2"/>
  <c r="C488" i="4" s="1"/>
  <c r="D488" i="4" s="1"/>
  <c r="L488" i="2"/>
  <c r="A488" i="4" s="1"/>
  <c r="K488" i="2"/>
  <c r="B488" i="4" s="1"/>
  <c r="L472" i="2"/>
  <c r="A472" i="4" s="1"/>
  <c r="K472" i="2"/>
  <c r="B472" i="4" s="1"/>
  <c r="M472" i="2"/>
  <c r="C472" i="4" s="1"/>
  <c r="D472" i="4" s="1"/>
  <c r="L740" i="2"/>
  <c r="A740" i="4" s="1"/>
  <c r="M740" i="2"/>
  <c r="C740" i="4" s="1"/>
  <c r="D740" i="4" s="1"/>
  <c r="K740" i="2"/>
  <c r="B740" i="4" s="1"/>
  <c r="K485" i="2"/>
  <c r="B485" i="4" s="1"/>
  <c r="L485" i="2"/>
  <c r="A485" i="4" s="1"/>
  <c r="M485" i="2"/>
  <c r="C485" i="4" s="1"/>
  <c r="D485" i="4" s="1"/>
  <c r="L692" i="2"/>
  <c r="A692" i="4" s="1"/>
  <c r="M692" i="2"/>
  <c r="C692" i="4" s="1"/>
  <c r="D692" i="4" s="1"/>
  <c r="K692" i="2"/>
  <c r="B692" i="4" s="1"/>
  <c r="L716" i="2"/>
  <c r="A716" i="4" s="1"/>
  <c r="K716" i="2"/>
  <c r="B716" i="4" s="1"/>
  <c r="M716" i="2"/>
  <c r="C716" i="4" s="1"/>
  <c r="D716" i="4" s="1"/>
  <c r="K573" i="2"/>
  <c r="B573" i="4" s="1"/>
  <c r="M573" i="2"/>
  <c r="C573" i="4" s="1"/>
  <c r="D573" i="4" s="1"/>
  <c r="L573" i="2"/>
  <c r="A573" i="4" s="1"/>
  <c r="L505" i="2"/>
  <c r="A505" i="4" s="1"/>
  <c r="K505" i="2"/>
  <c r="B505" i="4" s="1"/>
  <c r="M505" i="2"/>
  <c r="C505" i="4" s="1"/>
  <c r="D505" i="4" s="1"/>
  <c r="L722" i="2"/>
  <c r="A722" i="4" s="1"/>
  <c r="K722" i="2"/>
  <c r="B722" i="4" s="1"/>
  <c r="M722" i="2"/>
  <c r="C722" i="4" s="1"/>
  <c r="D722" i="4" s="1"/>
  <c r="M483" i="2"/>
  <c r="C483" i="4" s="1"/>
  <c r="D483" i="4" s="1"/>
  <c r="L483" i="2"/>
  <c r="A483" i="4" s="1"/>
  <c r="K483" i="2"/>
  <c r="B483" i="4" s="1"/>
  <c r="L768" i="2"/>
  <c r="A768" i="4" s="1"/>
  <c r="K768" i="2"/>
  <c r="B768" i="4" s="1"/>
  <c r="M768" i="2"/>
  <c r="C768" i="4" s="1"/>
  <c r="D768" i="4" s="1"/>
  <c r="K590" i="2"/>
  <c r="B590" i="4" s="1"/>
  <c r="M590" i="2"/>
  <c r="C590" i="4" s="1"/>
  <c r="D590" i="4" s="1"/>
  <c r="L590" i="2"/>
  <c r="A590" i="4" s="1"/>
  <c r="L464" i="2"/>
  <c r="A464" i="4" s="1"/>
  <c r="M464" i="2"/>
  <c r="C464" i="4" s="1"/>
  <c r="D464" i="4" s="1"/>
  <c r="K464" i="2"/>
  <c r="B464" i="4" s="1"/>
  <c r="K772" i="2"/>
  <c r="B772" i="4" s="1"/>
  <c r="L772" i="2"/>
  <c r="A772" i="4" s="1"/>
  <c r="M772" i="2"/>
  <c r="C772" i="4" s="1"/>
  <c r="D772" i="4" s="1"/>
  <c r="K754" i="2"/>
  <c r="B754" i="4" s="1"/>
  <c r="L754" i="2"/>
  <c r="A754" i="4" s="1"/>
  <c r="M754" i="2"/>
  <c r="C754" i="4" s="1"/>
  <c r="D754" i="4" s="1"/>
  <c r="L14" i="2"/>
  <c r="A14" i="4" s="1"/>
  <c r="K14" i="2"/>
  <c r="B14" i="4" s="1"/>
  <c r="M14" i="2"/>
  <c r="C14" i="4" s="1"/>
  <c r="D14" i="4" s="1"/>
  <c r="K396" i="2"/>
  <c r="B396" i="4" s="1"/>
  <c r="M396" i="2"/>
  <c r="C396" i="4" s="1"/>
  <c r="D396" i="4" s="1"/>
  <c r="L396" i="2"/>
  <c r="A396" i="4" s="1"/>
  <c r="L650" i="2"/>
  <c r="A650" i="4" s="1"/>
  <c r="M650" i="2"/>
  <c r="C650" i="4" s="1"/>
  <c r="D650" i="4" s="1"/>
  <c r="K650" i="2"/>
  <c r="B650" i="4" s="1"/>
  <c r="L583" i="2"/>
  <c r="A583" i="4" s="1"/>
  <c r="K583" i="2"/>
  <c r="B583" i="4" s="1"/>
  <c r="M583" i="2"/>
  <c r="C583" i="4" s="1"/>
  <c r="D583" i="4" s="1"/>
  <c r="M366" i="2"/>
  <c r="C366" i="4" s="1"/>
  <c r="D366" i="4" s="1"/>
  <c r="K366" i="2"/>
  <c r="B366" i="4" s="1"/>
  <c r="L366" i="2"/>
  <c r="A366" i="4" s="1"/>
  <c r="K586" i="2"/>
  <c r="B586" i="4" s="1"/>
  <c r="L586" i="2"/>
  <c r="A586" i="4" s="1"/>
  <c r="M586" i="2"/>
  <c r="C586" i="4" s="1"/>
  <c r="D586" i="4" s="1"/>
  <c r="M388" i="2"/>
  <c r="C388" i="4" s="1"/>
  <c r="D388" i="4" s="1"/>
  <c r="L388" i="2"/>
  <c r="A388" i="4" s="1"/>
  <c r="K388" i="2"/>
  <c r="B388" i="4" s="1"/>
  <c r="M410" i="2"/>
  <c r="C410" i="4" s="1"/>
  <c r="D410" i="4" s="1"/>
  <c r="L410" i="2"/>
  <c r="A410" i="4" s="1"/>
  <c r="K410" i="2"/>
  <c r="B410" i="4" s="1"/>
  <c r="L408" i="2"/>
  <c r="A408" i="4" s="1"/>
  <c r="M408" i="2"/>
  <c r="C408" i="4" s="1"/>
  <c r="D408" i="4" s="1"/>
  <c r="K408" i="2"/>
  <c r="B408" i="4" s="1"/>
  <c r="L537" i="2"/>
  <c r="A537" i="4" s="1"/>
  <c r="M537" i="2"/>
  <c r="C537" i="4" s="1"/>
  <c r="D537" i="4" s="1"/>
  <c r="K537" i="2"/>
  <c r="B537" i="4" s="1"/>
  <c r="K535" i="2"/>
  <c r="B535" i="4" s="1"/>
  <c r="M535" i="2"/>
  <c r="C535" i="4" s="1"/>
  <c r="D535" i="4" s="1"/>
  <c r="L535" i="2"/>
  <c r="A535" i="4" s="1"/>
  <c r="K375" i="2"/>
  <c r="B375" i="4" s="1"/>
  <c r="M375" i="2"/>
  <c r="C375" i="4" s="1"/>
  <c r="D375" i="4" s="1"/>
  <c r="L375" i="2"/>
  <c r="A375" i="4" s="1"/>
  <c r="M634" i="2"/>
  <c r="C634" i="4" s="1"/>
  <c r="D634" i="4" s="1"/>
  <c r="K634" i="2"/>
  <c r="B634" i="4" s="1"/>
  <c r="L634" i="2"/>
  <c r="A634" i="4" s="1"/>
  <c r="K742" i="2"/>
  <c r="B742" i="4" s="1"/>
  <c r="M742" i="2"/>
  <c r="C742" i="4" s="1"/>
  <c r="D742" i="4" s="1"/>
  <c r="L742" i="2"/>
  <c r="A742" i="4" s="1"/>
  <c r="M524" i="2"/>
  <c r="C524" i="4" s="1"/>
  <c r="D524" i="4" s="1"/>
  <c r="K524" i="2"/>
  <c r="B524" i="4" s="1"/>
  <c r="L524" i="2"/>
  <c r="A524" i="4" s="1"/>
  <c r="M371" i="2"/>
  <c r="C371" i="4" s="1"/>
  <c r="D371" i="4" s="1"/>
  <c r="L371" i="2"/>
  <c r="A371" i="4" s="1"/>
  <c r="K371" i="2"/>
  <c r="B371" i="4" s="1"/>
  <c r="M604" i="2"/>
  <c r="C604" i="4" s="1"/>
  <c r="D604" i="4" s="1"/>
  <c r="L604" i="2"/>
  <c r="A604" i="4" s="1"/>
  <c r="K604" i="2"/>
  <c r="B604" i="4" s="1"/>
  <c r="L569" i="2"/>
  <c r="A569" i="4" s="1"/>
  <c r="K569" i="2"/>
  <c r="B569" i="4" s="1"/>
  <c r="M569" i="2"/>
  <c r="C569" i="4" s="1"/>
  <c r="D569" i="4" s="1"/>
  <c r="L415" i="2"/>
  <c r="A415" i="4" s="1"/>
  <c r="K415" i="2"/>
  <c r="B415" i="4" s="1"/>
  <c r="M415" i="2"/>
  <c r="C415" i="4" s="1"/>
  <c r="D415" i="4" s="1"/>
  <c r="M548" i="2"/>
  <c r="C548" i="4" s="1"/>
  <c r="D548" i="4" s="1"/>
  <c r="K548" i="2"/>
  <c r="B548" i="4" s="1"/>
  <c r="L548" i="2"/>
  <c r="A548" i="4" s="1"/>
  <c r="L630" i="2"/>
  <c r="A630" i="4" s="1"/>
  <c r="K630" i="2"/>
  <c r="B630" i="4" s="1"/>
  <c r="M630" i="2"/>
  <c r="C630" i="4" s="1"/>
  <c r="D630" i="4" s="1"/>
  <c r="K596" i="2"/>
  <c r="B596" i="4" s="1"/>
  <c r="M596" i="2"/>
  <c r="C596" i="4" s="1"/>
  <c r="D596" i="4" s="1"/>
  <c r="L596" i="2"/>
  <c r="A596" i="4" s="1"/>
  <c r="K551" i="2"/>
  <c r="B551" i="4" s="1"/>
  <c r="L551" i="2"/>
  <c r="A551" i="4" s="1"/>
  <c r="M551" i="2"/>
  <c r="C551" i="4" s="1"/>
  <c r="D551" i="4" s="1"/>
  <c r="L481" i="2"/>
  <c r="A481" i="4" s="1"/>
  <c r="M481" i="2"/>
  <c r="C481" i="4" s="1"/>
  <c r="D481" i="4" s="1"/>
  <c r="K481" i="2"/>
  <c r="B481" i="4" s="1"/>
  <c r="M699" i="2"/>
  <c r="C699" i="4" s="1"/>
  <c r="D699" i="4" s="1"/>
  <c r="K699" i="2"/>
  <c r="B699" i="4" s="1"/>
  <c r="L699" i="2"/>
  <c r="A699" i="4" s="1"/>
  <c r="L597" i="2"/>
  <c r="A597" i="4" s="1"/>
  <c r="M597" i="2"/>
  <c r="C597" i="4" s="1"/>
  <c r="D597" i="4" s="1"/>
  <c r="K597" i="2"/>
  <c r="B597" i="4" s="1"/>
  <c r="K748" i="2"/>
  <c r="B748" i="4" s="1"/>
  <c r="M748" i="2"/>
  <c r="C748" i="4" s="1"/>
  <c r="D748" i="4" s="1"/>
  <c r="L748" i="2"/>
  <c r="A748" i="4" s="1"/>
  <c r="L609" i="2"/>
  <c r="A609" i="4" s="1"/>
  <c r="M609" i="2"/>
  <c r="C609" i="4" s="1"/>
  <c r="D609" i="4" s="1"/>
  <c r="K609" i="2"/>
  <c r="B609" i="4" s="1"/>
  <c r="K766" i="2"/>
  <c r="B766" i="4" s="1"/>
  <c r="L766" i="2"/>
  <c r="A766" i="4" s="1"/>
  <c r="M766" i="2"/>
  <c r="C766" i="4" s="1"/>
  <c r="D766" i="4" s="1"/>
  <c r="M520" i="2"/>
  <c r="C520" i="4" s="1"/>
  <c r="D520" i="4" s="1"/>
  <c r="L520" i="2"/>
  <c r="A520" i="4" s="1"/>
  <c r="K520" i="2"/>
  <c r="B520" i="4" s="1"/>
  <c r="M629" i="2"/>
  <c r="C629" i="4" s="1"/>
  <c r="D629" i="4" s="1"/>
  <c r="K629" i="2"/>
  <c r="B629" i="4" s="1"/>
  <c r="L629" i="2"/>
  <c r="A629" i="4" s="1"/>
  <c r="K438" i="2"/>
  <c r="B438" i="4" s="1"/>
  <c r="M438" i="2"/>
  <c r="C438" i="4" s="1"/>
  <c r="D438" i="4" s="1"/>
  <c r="L438" i="2"/>
  <c r="A438" i="4" s="1"/>
  <c r="K495" i="2"/>
  <c r="B495" i="4" s="1"/>
  <c r="L495" i="2"/>
  <c r="A495" i="4" s="1"/>
  <c r="M495" i="2"/>
  <c r="C495" i="4" s="1"/>
  <c r="D495" i="4" s="1"/>
  <c r="K725" i="2"/>
  <c r="B725" i="4" s="1"/>
  <c r="M725" i="2"/>
  <c r="C725" i="4" s="1"/>
  <c r="D725" i="4" s="1"/>
  <c r="L725" i="2"/>
  <c r="A725" i="4" s="1"/>
  <c r="M374" i="2"/>
  <c r="C374" i="4" s="1"/>
  <c r="D374" i="4" s="1"/>
  <c r="K374" i="2"/>
  <c r="B374" i="4" s="1"/>
  <c r="L374" i="2"/>
  <c r="A374" i="4" s="1"/>
  <c r="L541" i="2"/>
  <c r="A541" i="4" s="1"/>
  <c r="K541" i="2"/>
  <c r="B541" i="4" s="1"/>
  <c r="M541" i="2"/>
  <c r="C541" i="4" s="1"/>
  <c r="D541" i="4" s="1"/>
  <c r="K419" i="2"/>
  <c r="B419" i="4" s="1"/>
  <c r="M419" i="2"/>
  <c r="C419" i="4" s="1"/>
  <c r="D419" i="4" s="1"/>
  <c r="L419" i="2"/>
  <c r="A419" i="4" s="1"/>
  <c r="M562" i="2"/>
  <c r="C562" i="4" s="1"/>
  <c r="D562" i="4" s="1"/>
  <c r="L562" i="2"/>
  <c r="A562" i="4" s="1"/>
  <c r="K562" i="2"/>
  <c r="B562" i="4" s="1"/>
  <c r="L707" i="2"/>
  <c r="A707" i="4" s="1"/>
  <c r="M707" i="2"/>
  <c r="C707" i="4" s="1"/>
  <c r="D707" i="4" s="1"/>
  <c r="K707" i="2"/>
  <c r="B707" i="4" s="1"/>
  <c r="L554" i="2"/>
  <c r="A554" i="4" s="1"/>
  <c r="K554" i="2"/>
  <c r="B554" i="4" s="1"/>
  <c r="M554" i="2"/>
  <c r="C554" i="4" s="1"/>
  <c r="D554" i="4" s="1"/>
  <c r="K423" i="2"/>
  <c r="B423" i="4" s="1"/>
  <c r="M423" i="2"/>
  <c r="C423" i="4" s="1"/>
  <c r="D423" i="4" s="1"/>
  <c r="L423" i="2"/>
  <c r="A423" i="4" s="1"/>
  <c r="K752" i="2"/>
  <c r="B752" i="4" s="1"/>
  <c r="L752" i="2"/>
  <c r="A752" i="4" s="1"/>
  <c r="M752" i="2"/>
  <c r="C752" i="4" s="1"/>
  <c r="D752" i="4" s="1"/>
  <c r="M711" i="2"/>
  <c r="C711" i="4" s="1"/>
  <c r="D711" i="4" s="1"/>
  <c r="K711" i="2"/>
  <c r="B711" i="4" s="1"/>
  <c r="L711" i="2"/>
  <c r="A711" i="4" s="1"/>
  <c r="L647" i="2"/>
  <c r="A647" i="4" s="1"/>
  <c r="M647" i="2"/>
  <c r="C647" i="4" s="1"/>
  <c r="D647" i="4" s="1"/>
  <c r="K647" i="2"/>
  <c r="B647" i="4" s="1"/>
  <c r="K447" i="2"/>
  <c r="B447" i="4" s="1"/>
  <c r="L447" i="2"/>
  <c r="A447" i="4" s="1"/>
  <c r="M447" i="2"/>
  <c r="C447" i="4" s="1"/>
  <c r="D447" i="4" s="1"/>
  <c r="M523" i="2"/>
  <c r="C523" i="4" s="1"/>
  <c r="D523" i="4" s="1"/>
  <c r="K523" i="2"/>
  <c r="B523" i="4" s="1"/>
  <c r="L523" i="2"/>
  <c r="A523" i="4" s="1"/>
  <c r="K453" i="2"/>
  <c r="B453" i="4" s="1"/>
  <c r="M453" i="2"/>
  <c r="C453" i="4" s="1"/>
  <c r="D453" i="4" s="1"/>
  <c r="L453" i="2"/>
  <c r="A453" i="4" s="1"/>
  <c r="L620" i="2"/>
  <c r="A620" i="4" s="1"/>
  <c r="K620" i="2"/>
  <c r="B620" i="4" s="1"/>
  <c r="M620" i="2"/>
  <c r="C620" i="4" s="1"/>
  <c r="D620" i="4" s="1"/>
  <c r="L471" i="2"/>
  <c r="A471" i="4" s="1"/>
  <c r="M471" i="2"/>
  <c r="C471" i="4" s="1"/>
  <c r="D471" i="4" s="1"/>
  <c r="K471" i="2"/>
  <c r="B471" i="4" s="1"/>
  <c r="M698" i="2"/>
  <c r="C698" i="4" s="1"/>
  <c r="D698" i="4" s="1"/>
  <c r="L698" i="2"/>
  <c r="A698" i="4" s="1"/>
  <c r="K698" i="2"/>
  <c r="B698" i="4" s="1"/>
  <c r="M566" i="2"/>
  <c r="C566" i="4" s="1"/>
  <c r="D566" i="4" s="1"/>
  <c r="K566" i="2"/>
  <c r="B566" i="4" s="1"/>
  <c r="L566" i="2"/>
  <c r="A566" i="4" s="1"/>
  <c r="L427" i="2"/>
  <c r="A427" i="4" s="1"/>
  <c r="K427" i="2"/>
  <c r="B427" i="4" s="1"/>
  <c r="M427" i="2"/>
  <c r="C427" i="4" s="1"/>
  <c r="D427" i="4" s="1"/>
  <c r="M342" i="2"/>
  <c r="C342" i="4" s="1"/>
  <c r="D342" i="4" s="1"/>
  <c r="L342" i="2"/>
  <c r="A342" i="4" s="1"/>
  <c r="K342" i="2"/>
  <c r="B342" i="4" s="1"/>
  <c r="L344" i="2"/>
  <c r="A344" i="4" s="1"/>
  <c r="M344" i="2"/>
  <c r="C344" i="4" s="1"/>
  <c r="D344" i="4" s="1"/>
  <c r="K344" i="2"/>
  <c r="B344" i="4" s="1"/>
  <c r="K606" i="2"/>
  <c r="B606" i="4" s="1"/>
  <c r="M606" i="2"/>
  <c r="C606" i="4" s="1"/>
  <c r="D606" i="4" s="1"/>
  <c r="L606" i="2"/>
  <c r="A606" i="4" s="1"/>
  <c r="M705" i="2"/>
  <c r="C705" i="4" s="1"/>
  <c r="D705" i="4" s="1"/>
  <c r="K705" i="2"/>
  <c r="B705" i="4" s="1"/>
  <c r="L705" i="2"/>
  <c r="A705" i="4" s="1"/>
  <c r="M411" i="2"/>
  <c r="C411" i="4" s="1"/>
  <c r="D411" i="4" s="1"/>
  <c r="L411" i="2"/>
  <c r="A411" i="4" s="1"/>
  <c r="K411" i="2"/>
  <c r="B411" i="4" s="1"/>
  <c r="M730" i="2"/>
  <c r="C730" i="4" s="1"/>
  <c r="D730" i="4" s="1"/>
  <c r="K730" i="2"/>
  <c r="B730" i="4" s="1"/>
  <c r="L730" i="2"/>
  <c r="A730" i="4" s="1"/>
  <c r="M708" i="2"/>
  <c r="C708" i="4" s="1"/>
  <c r="D708" i="4" s="1"/>
  <c r="K708" i="2"/>
  <c r="B708" i="4" s="1"/>
  <c r="L708" i="2"/>
  <c r="A708" i="4" s="1"/>
  <c r="L726" i="2"/>
  <c r="A726" i="4" s="1"/>
  <c r="M726" i="2"/>
  <c r="C726" i="4" s="1"/>
  <c r="D726" i="4" s="1"/>
  <c r="K726" i="2"/>
  <c r="B726" i="4" s="1"/>
  <c r="M428" i="2"/>
  <c r="C428" i="4" s="1"/>
  <c r="D428" i="4" s="1"/>
  <c r="L428" i="2"/>
  <c r="A428" i="4" s="1"/>
  <c r="K428" i="2"/>
  <c r="B428" i="4" s="1"/>
  <c r="L755" i="2"/>
  <c r="A755" i="4" s="1"/>
  <c r="M755" i="2"/>
  <c r="C755" i="4" s="1"/>
  <c r="D755" i="4" s="1"/>
  <c r="K755" i="2"/>
  <c r="B755" i="4" s="1"/>
  <c r="L616" i="2"/>
  <c r="A616" i="4" s="1"/>
  <c r="M616" i="2"/>
  <c r="C616" i="4" s="1"/>
  <c r="D616" i="4" s="1"/>
  <c r="K616" i="2"/>
  <c r="B616" i="4" s="1"/>
  <c r="K506" i="2"/>
  <c r="B506" i="4" s="1"/>
  <c r="M506" i="2"/>
  <c r="C506" i="4" s="1"/>
  <c r="D506" i="4" s="1"/>
  <c r="L506" i="2"/>
  <c r="A506" i="4" s="1"/>
  <c r="L426" i="2"/>
  <c r="A426" i="4" s="1"/>
  <c r="K426" i="2"/>
  <c r="B426" i="4" s="1"/>
  <c r="M426" i="2"/>
  <c r="C426" i="4" s="1"/>
  <c r="D426" i="4" s="1"/>
  <c r="K394" i="2"/>
  <c r="B394" i="4" s="1"/>
  <c r="M394" i="2"/>
  <c r="C394" i="4" s="1"/>
  <c r="D394" i="4" s="1"/>
  <c r="L394" i="2"/>
  <c r="A394" i="4" s="1"/>
  <c r="M381" i="2"/>
  <c r="C381" i="4" s="1"/>
  <c r="D381" i="4" s="1"/>
  <c r="L381" i="2"/>
  <c r="A381" i="4" s="1"/>
  <c r="K381" i="2"/>
  <c r="B381" i="4" s="1"/>
  <c r="K602" i="2"/>
  <c r="B602" i="4" s="1"/>
  <c r="L602" i="2"/>
  <c r="A602" i="4" s="1"/>
  <c r="M602" i="2"/>
  <c r="C602" i="4" s="1"/>
  <c r="D602" i="4" s="1"/>
  <c r="M11" i="2"/>
  <c r="C11" i="4" s="1"/>
  <c r="D11" i="4" s="1"/>
  <c r="L11" i="2"/>
  <c r="A11" i="4" s="1"/>
  <c r="K11" i="2"/>
  <c r="B11" i="4" s="1"/>
  <c r="M581" i="2"/>
  <c r="C581" i="4" s="1"/>
  <c r="D581" i="4" s="1"/>
  <c r="K581" i="2"/>
  <c r="B581" i="4" s="1"/>
  <c r="L581" i="2"/>
  <c r="A581" i="4" s="1"/>
  <c r="L733" i="2"/>
  <c r="A733" i="4" s="1"/>
  <c r="M733" i="2"/>
  <c r="C733" i="4" s="1"/>
  <c r="D733" i="4" s="1"/>
  <c r="K733" i="2"/>
  <c r="B733" i="4" s="1"/>
  <c r="M751" i="2"/>
  <c r="C751" i="4" s="1"/>
  <c r="D751" i="4" s="1"/>
  <c r="K751" i="2"/>
  <c r="B751" i="4" s="1"/>
  <c r="L751" i="2"/>
  <c r="A751" i="4" s="1"/>
  <c r="K392" i="2"/>
  <c r="B392" i="4" s="1"/>
  <c r="M392" i="2"/>
  <c r="C392" i="4" s="1"/>
  <c r="D392" i="4" s="1"/>
  <c r="L392" i="2"/>
  <c r="A392" i="4" s="1"/>
  <c r="K665" i="2"/>
  <c r="B665" i="4" s="1"/>
  <c r="M665" i="2"/>
  <c r="C665" i="4" s="1"/>
  <c r="D665" i="4" s="1"/>
  <c r="L665" i="2"/>
  <c r="A665" i="4" s="1"/>
  <c r="M607" i="2"/>
  <c r="C607" i="4" s="1"/>
  <c r="D607" i="4" s="1"/>
  <c r="L607" i="2"/>
  <c r="A607" i="4" s="1"/>
  <c r="K607" i="2"/>
  <c r="B607" i="4" s="1"/>
  <c r="K493" i="2"/>
  <c r="B493" i="4" s="1"/>
  <c r="M493" i="2"/>
  <c r="C493" i="4" s="1"/>
  <c r="D493" i="4" s="1"/>
  <c r="L493" i="2"/>
  <c r="A493" i="4" s="1"/>
  <c r="M526" i="2"/>
  <c r="C526" i="4" s="1"/>
  <c r="D526" i="4" s="1"/>
  <c r="K526" i="2"/>
  <c r="B526" i="4" s="1"/>
  <c r="L526" i="2"/>
  <c r="A526" i="4" s="1"/>
  <c r="L684" i="2"/>
  <c r="A684" i="4" s="1"/>
  <c r="K684" i="2"/>
  <c r="B684" i="4" s="1"/>
  <c r="M684" i="2"/>
  <c r="C684" i="4" s="1"/>
  <c r="D684" i="4" s="1"/>
  <c r="L545" i="2"/>
  <c r="A545" i="4" s="1"/>
  <c r="M545" i="2"/>
  <c r="C545" i="4" s="1"/>
  <c r="D545" i="4" s="1"/>
  <c r="K545" i="2"/>
  <c r="B545" i="4" s="1"/>
  <c r="K6" i="2"/>
  <c r="B6" i="4" s="1"/>
  <c r="M6" i="2"/>
  <c r="C6" i="4" s="1"/>
  <c r="D6" i="4" s="1"/>
  <c r="L6" i="2"/>
  <c r="A6" i="4" s="1"/>
  <c r="L568" i="2"/>
  <c r="A568" i="4" s="1"/>
  <c r="K568" i="2"/>
  <c r="B568" i="4" s="1"/>
  <c r="M568" i="2"/>
  <c r="C568" i="4" s="1"/>
  <c r="D568" i="4" s="1"/>
  <c r="K382" i="2"/>
  <c r="B382" i="4" s="1"/>
  <c r="M382" i="2"/>
  <c r="C382" i="4" s="1"/>
  <c r="D382" i="4" s="1"/>
  <c r="L382" i="2"/>
  <c r="A382" i="4" s="1"/>
  <c r="K452" i="2"/>
  <c r="B452" i="4" s="1"/>
  <c r="M452" i="2"/>
  <c r="C452" i="4" s="1"/>
  <c r="D452" i="4" s="1"/>
  <c r="L452" i="2"/>
  <c r="A452" i="4" s="1"/>
  <c r="M414" i="2"/>
  <c r="C414" i="4" s="1"/>
  <c r="D414" i="4" s="1"/>
  <c r="L414" i="2"/>
  <c r="A414" i="4" s="1"/>
  <c r="K414" i="2"/>
  <c r="B414" i="4" s="1"/>
  <c r="L651" i="2"/>
  <c r="A651" i="4" s="1"/>
  <c r="K651" i="2"/>
  <c r="B651" i="4" s="1"/>
  <c r="M651" i="2"/>
  <c r="C651" i="4" s="1"/>
  <c r="D651" i="4" s="1"/>
  <c r="M385" i="2"/>
  <c r="C385" i="4" s="1"/>
  <c r="D385" i="4" s="1"/>
  <c r="K385" i="2"/>
  <c r="B385" i="4" s="1"/>
  <c r="L385" i="2"/>
  <c r="A385" i="4" s="1"/>
  <c r="L360" i="2"/>
  <c r="A360" i="4" s="1"/>
  <c r="K360" i="2"/>
  <c r="B360" i="4" s="1"/>
  <c r="M360" i="2"/>
  <c r="C360" i="4" s="1"/>
  <c r="D360" i="4" s="1"/>
  <c r="K406" i="2"/>
  <c r="B406" i="4" s="1"/>
  <c r="L406" i="2"/>
  <c r="A406" i="4" s="1"/>
  <c r="M406" i="2"/>
  <c r="C406" i="4" s="1"/>
  <c r="D406" i="4" s="1"/>
  <c r="M688" i="2"/>
  <c r="C688" i="4" s="1"/>
  <c r="D688" i="4" s="1"/>
  <c r="K688" i="2"/>
  <c r="B688" i="4" s="1"/>
  <c r="L688" i="2"/>
  <c r="A688" i="4" s="1"/>
  <c r="L450" i="2"/>
  <c r="A450" i="4" s="1"/>
  <c r="K450" i="2"/>
  <c r="B450" i="4" s="1"/>
  <c r="M450" i="2"/>
  <c r="C450" i="4" s="1"/>
  <c r="D450" i="4" s="1"/>
  <c r="L702" i="2"/>
  <c r="A702" i="4" s="1"/>
  <c r="K702" i="2"/>
  <c r="B702" i="4" s="1"/>
  <c r="M702" i="2"/>
  <c r="C702" i="4" s="1"/>
  <c r="D702" i="4" s="1"/>
  <c r="M693" i="2"/>
  <c r="C693" i="4" s="1"/>
  <c r="D693" i="4" s="1"/>
  <c r="L693" i="2"/>
  <c r="A693" i="4" s="1"/>
  <c r="K693" i="2"/>
  <c r="B693" i="4" s="1"/>
  <c r="L695" i="2"/>
  <c r="A695" i="4" s="1"/>
  <c r="M695" i="2"/>
  <c r="C695" i="4" s="1"/>
  <c r="D695" i="4" s="1"/>
  <c r="K695" i="2"/>
  <c r="B695" i="4" s="1"/>
  <c r="L16" i="2"/>
  <c r="A16" i="4" s="1"/>
  <c r="M16" i="2"/>
  <c r="C16" i="4" s="1"/>
  <c r="D16" i="4" s="1"/>
  <c r="K16" i="2"/>
  <c r="B16" i="4" s="1"/>
  <c r="K393" i="2"/>
  <c r="B393" i="4" s="1"/>
  <c r="M393" i="2"/>
  <c r="C393" i="4" s="1"/>
  <c r="D393" i="4" s="1"/>
  <c r="L393" i="2"/>
  <c r="A393" i="4" s="1"/>
  <c r="M750" i="2"/>
  <c r="C750" i="4" s="1"/>
  <c r="D750" i="4" s="1"/>
  <c r="K750" i="2"/>
  <c r="B750" i="4" s="1"/>
  <c r="L750" i="2"/>
  <c r="A750" i="4" s="1"/>
  <c r="K498" i="2"/>
  <c r="B498" i="4" s="1"/>
  <c r="L498" i="2"/>
  <c r="A498" i="4" s="1"/>
  <c r="M498" i="2"/>
  <c r="C498" i="4" s="1"/>
  <c r="D498" i="4" s="1"/>
  <c r="M747" i="2"/>
  <c r="C747" i="4" s="1"/>
  <c r="D747" i="4" s="1"/>
  <c r="K747" i="2"/>
  <c r="B747" i="4" s="1"/>
  <c r="L747" i="2"/>
  <c r="A747" i="4" s="1"/>
  <c r="K593" i="2"/>
  <c r="B593" i="4" s="1"/>
  <c r="M593" i="2"/>
  <c r="C593" i="4" s="1"/>
  <c r="D593" i="4" s="1"/>
  <c r="L593" i="2"/>
  <c r="A593" i="4" s="1"/>
  <c r="K549" i="2"/>
  <c r="B549" i="4" s="1"/>
  <c r="M549" i="2"/>
  <c r="C549" i="4" s="1"/>
  <c r="D549" i="4" s="1"/>
  <c r="L549" i="2"/>
  <c r="A549" i="4" s="1"/>
  <c r="M508" i="2"/>
  <c r="C508" i="4" s="1"/>
  <c r="D508" i="4" s="1"/>
  <c r="K508" i="2"/>
  <c r="B508" i="4" s="1"/>
  <c r="L508" i="2"/>
  <c r="A508" i="4" s="1"/>
  <c r="L501" i="2"/>
  <c r="A501" i="4" s="1"/>
  <c r="K501" i="2"/>
  <c r="B501" i="4" s="1"/>
  <c r="M501" i="2"/>
  <c r="C501" i="4" s="1"/>
  <c r="D501" i="4" s="1"/>
  <c r="K509" i="2"/>
  <c r="B509" i="4" s="1"/>
  <c r="M509" i="2"/>
  <c r="C509" i="4" s="1"/>
  <c r="D509" i="4" s="1"/>
  <c r="L509" i="2"/>
  <c r="A509" i="4" s="1"/>
  <c r="L769" i="2"/>
  <c r="A769" i="4" s="1"/>
  <c r="M769" i="2"/>
  <c r="C769" i="4" s="1"/>
  <c r="D769" i="4" s="1"/>
  <c r="K769" i="2"/>
  <c r="B769" i="4" s="1"/>
  <c r="K658" i="2"/>
  <c r="B658" i="4" s="1"/>
  <c r="M658" i="2"/>
  <c r="C658" i="4" s="1"/>
  <c r="D658" i="4" s="1"/>
  <c r="L658" i="2"/>
  <c r="A658" i="4" s="1"/>
  <c r="M715" i="2"/>
  <c r="C715" i="4" s="1"/>
  <c r="D715" i="4" s="1"/>
  <c r="L715" i="2"/>
  <c r="A715" i="4" s="1"/>
  <c r="K715" i="2"/>
  <c r="B715" i="4" s="1"/>
  <c r="L580" i="2"/>
  <c r="A580" i="4" s="1"/>
  <c r="K580" i="2"/>
  <c r="B580" i="4" s="1"/>
  <c r="M580" i="2"/>
  <c r="C580" i="4" s="1"/>
  <c r="D580" i="4" s="1"/>
  <c r="L417" i="2"/>
  <c r="A417" i="4" s="1"/>
  <c r="M417" i="2"/>
  <c r="C417" i="4" s="1"/>
  <c r="D417" i="4" s="1"/>
  <c r="K417" i="2"/>
  <c r="B417" i="4" s="1"/>
  <c r="L668" i="2"/>
  <c r="A668" i="4" s="1"/>
  <c r="M668" i="2"/>
  <c r="C668" i="4" s="1"/>
  <c r="D668" i="4" s="1"/>
  <c r="K668" i="2"/>
  <c r="B668" i="4" s="1"/>
  <c r="K685" i="2"/>
  <c r="B685" i="4" s="1"/>
  <c r="M685" i="2"/>
  <c r="C685" i="4" s="1"/>
  <c r="D685" i="4" s="1"/>
  <c r="L685" i="2"/>
  <c r="A685" i="4" s="1"/>
  <c r="L757" i="2"/>
  <c r="A757" i="4" s="1"/>
  <c r="M757" i="2"/>
  <c r="C757" i="4" s="1"/>
  <c r="D757" i="4" s="1"/>
  <c r="K757" i="2"/>
  <c r="B757" i="4" s="1"/>
  <c r="K645" i="2"/>
  <c r="B645" i="4" s="1"/>
  <c r="M645" i="2"/>
  <c r="C645" i="4" s="1"/>
  <c r="D645" i="4" s="1"/>
  <c r="L645" i="2"/>
  <c r="A645" i="4" s="1"/>
  <c r="L420" i="2"/>
  <c r="A420" i="4" s="1"/>
  <c r="M420" i="2"/>
  <c r="C420" i="4" s="1"/>
  <c r="D420" i="4" s="1"/>
  <c r="K420" i="2"/>
  <c r="B420" i="4" s="1"/>
  <c r="M731" i="2"/>
  <c r="C731" i="4" s="1"/>
  <c r="D731" i="4" s="1"/>
  <c r="L731" i="2"/>
  <c r="A731" i="4" s="1"/>
  <c r="K731" i="2"/>
  <c r="B731" i="4" s="1"/>
  <c r="K441" i="2"/>
  <c r="B441" i="4" s="1"/>
  <c r="L441" i="2"/>
  <c r="A441" i="4" s="1"/>
  <c r="M441" i="2"/>
  <c r="C441" i="4" s="1"/>
  <c r="D441" i="4" s="1"/>
  <c r="L379" i="2"/>
  <c r="A379" i="4" s="1"/>
  <c r="M379" i="2"/>
  <c r="C379" i="4" s="1"/>
  <c r="D379" i="4" s="1"/>
  <c r="K379" i="2"/>
  <c r="B379" i="4" s="1"/>
  <c r="L558" i="2"/>
  <c r="A558" i="4" s="1"/>
  <c r="M558" i="2"/>
  <c r="C558" i="4" s="1"/>
  <c r="D558" i="4" s="1"/>
  <c r="K558" i="2"/>
  <c r="B558" i="4" s="1"/>
  <c r="K656" i="2"/>
  <c r="B656" i="4" s="1"/>
  <c r="M656" i="2"/>
  <c r="C656" i="4" s="1"/>
  <c r="D656" i="4" s="1"/>
  <c r="L656" i="2"/>
  <c r="A656" i="4" s="1"/>
  <c r="L443" i="2"/>
  <c r="A443" i="4" s="1"/>
  <c r="K443" i="2"/>
  <c r="B443" i="4" s="1"/>
  <c r="M443" i="2"/>
  <c r="C443" i="4" s="1"/>
  <c r="D443" i="4" s="1"/>
  <c r="K532" i="2"/>
  <c r="B532" i="4" s="1"/>
  <c r="M532" i="2"/>
  <c r="C532" i="4" s="1"/>
  <c r="D532" i="4" s="1"/>
  <c r="L532" i="2"/>
  <c r="A532" i="4" s="1"/>
  <c r="L713" i="2"/>
  <c r="A713" i="4" s="1"/>
  <c r="M713" i="2"/>
  <c r="C713" i="4" s="1"/>
  <c r="D713" i="4" s="1"/>
  <c r="K713" i="2"/>
  <c r="B713" i="4" s="1"/>
  <c r="K724" i="2"/>
  <c r="B724" i="4" s="1"/>
  <c r="M724" i="2"/>
  <c r="C724" i="4" s="1"/>
  <c r="D724" i="4" s="1"/>
  <c r="L724" i="2"/>
  <c r="A724" i="4" s="1"/>
  <c r="L683" i="2"/>
  <c r="A683" i="4" s="1"/>
  <c r="M683" i="2"/>
  <c r="C683" i="4" s="1"/>
  <c r="D683" i="4" s="1"/>
  <c r="K683" i="2"/>
  <c r="B683" i="4" s="1"/>
  <c r="L352" i="2"/>
  <c r="A352" i="4" s="1"/>
  <c r="M352" i="2"/>
  <c r="C352" i="4" s="1"/>
  <c r="D352" i="4" s="1"/>
  <c r="K352" i="2"/>
  <c r="B352" i="4" s="1"/>
  <c r="K460" i="2"/>
  <c r="B460" i="4" s="1"/>
  <c r="L460" i="2"/>
  <c r="A460" i="4" s="1"/>
  <c r="M460" i="2"/>
  <c r="C460" i="4" s="1"/>
  <c r="D460" i="4" s="1"/>
  <c r="K407" i="2"/>
  <c r="B407" i="4" s="1"/>
  <c r="L407" i="2"/>
  <c r="A407" i="4" s="1"/>
  <c r="M407" i="2"/>
  <c r="C407" i="4" s="1"/>
  <c r="D407" i="4" s="1"/>
  <c r="K587" i="2"/>
  <c r="B587" i="4" s="1"/>
  <c r="M587" i="2"/>
  <c r="C587" i="4" s="1"/>
  <c r="D587" i="4" s="1"/>
  <c r="L587" i="2"/>
  <c r="A587" i="4" s="1"/>
  <c r="L529" i="2"/>
  <c r="A529" i="4" s="1"/>
  <c r="M529" i="2"/>
  <c r="C529" i="4" s="1"/>
  <c r="D529" i="4" s="1"/>
  <c r="K529" i="2"/>
  <c r="B529" i="4" s="1"/>
  <c r="M655" i="2"/>
  <c r="C655" i="4" s="1"/>
  <c r="D655" i="4" s="1"/>
  <c r="K655" i="2"/>
  <c r="B655" i="4" s="1"/>
  <c r="L655" i="2"/>
  <c r="A655" i="4" s="1"/>
  <c r="L13" i="2"/>
  <c r="A13" i="4" s="1"/>
  <c r="K13" i="2"/>
  <c r="B13" i="4" s="1"/>
  <c r="M13" i="2"/>
  <c r="C13" i="4" s="1"/>
  <c r="D13" i="4" s="1"/>
  <c r="M435" i="2"/>
  <c r="C435" i="4" s="1"/>
  <c r="D435" i="4" s="1"/>
  <c r="K435" i="2"/>
  <c r="B435" i="4" s="1"/>
  <c r="L435" i="2"/>
  <c r="A435" i="4" s="1"/>
  <c r="K678" i="2"/>
  <c r="B678" i="4" s="1"/>
  <c r="M678" i="2"/>
  <c r="C678" i="4" s="1"/>
  <c r="D678" i="4" s="1"/>
  <c r="L678" i="2"/>
  <c r="A678" i="4" s="1"/>
  <c r="L676" i="2"/>
  <c r="A676" i="4" s="1"/>
  <c r="K676" i="2"/>
  <c r="B676" i="4" s="1"/>
  <c r="M676" i="2"/>
  <c r="C676" i="4" s="1"/>
  <c r="D676" i="4" s="1"/>
  <c r="M649" i="2"/>
  <c r="C649" i="4" s="1"/>
  <c r="D649" i="4" s="1"/>
  <c r="L649" i="2"/>
  <c r="A649" i="4" s="1"/>
  <c r="K649" i="2"/>
  <c r="B649" i="4" s="1"/>
  <c r="L444" i="2"/>
  <c r="A444" i="4" s="1"/>
  <c r="M444" i="2"/>
  <c r="C444" i="4" s="1"/>
  <c r="D444" i="4" s="1"/>
  <c r="K444" i="2"/>
  <c r="B444" i="4" s="1"/>
  <c r="L763" i="2"/>
  <c r="A763" i="4" s="1"/>
  <c r="K763" i="2"/>
  <c r="B763" i="4" s="1"/>
  <c r="M763" i="2"/>
  <c r="C763" i="4" s="1"/>
  <c r="D763" i="4" s="1"/>
  <c r="L8" i="2"/>
  <c r="A8" i="4" s="1"/>
  <c r="M8" i="2"/>
  <c r="C8" i="4" s="1"/>
  <c r="D8" i="4" s="1"/>
  <c r="K8" i="2"/>
  <c r="B8" i="4" s="1"/>
  <c r="M403" i="2"/>
  <c r="C403" i="4" s="1"/>
  <c r="D403" i="4" s="1"/>
  <c r="K403" i="2"/>
  <c r="B403" i="4" s="1"/>
  <c r="L403" i="2"/>
  <c r="A403" i="4" s="1"/>
  <c r="M469" i="2"/>
  <c r="C469" i="4" s="1"/>
  <c r="D469" i="4" s="1"/>
  <c r="L469" i="2"/>
  <c r="A469" i="4" s="1"/>
  <c r="K469" i="2"/>
  <c r="B469" i="4" s="1"/>
  <c r="L659" i="2"/>
  <c r="A659" i="4" s="1"/>
  <c r="M659" i="2"/>
  <c r="C659" i="4" s="1"/>
  <c r="D659" i="4" s="1"/>
  <c r="K659" i="2"/>
  <c r="B659" i="4" s="1"/>
  <c r="L660" i="2"/>
  <c r="A660" i="4" s="1"/>
  <c r="K660" i="2"/>
  <c r="B660" i="4" s="1"/>
  <c r="M660" i="2"/>
  <c r="C660" i="4" s="1"/>
  <c r="D660" i="4" s="1"/>
  <c r="K369" i="2"/>
  <c r="B369" i="4" s="1"/>
  <c r="M369" i="2"/>
  <c r="C369" i="4" s="1"/>
  <c r="D369" i="4" s="1"/>
  <c r="L369" i="2"/>
  <c r="A369" i="4" s="1"/>
  <c r="L544" i="2"/>
  <c r="A544" i="4" s="1"/>
  <c r="K544" i="2"/>
  <c r="B544" i="4" s="1"/>
  <c r="M544" i="2"/>
  <c r="C544" i="4" s="1"/>
  <c r="D544" i="4" s="1"/>
  <c r="K399" i="2"/>
  <c r="B399" i="4" s="1"/>
  <c r="M399" i="2"/>
  <c r="C399" i="4" s="1"/>
  <c r="D399" i="4" s="1"/>
  <c r="L399" i="2"/>
  <c r="A399" i="4" s="1"/>
  <c r="K664" i="2"/>
  <c r="B664" i="4" s="1"/>
  <c r="M664" i="2"/>
  <c r="C664" i="4" s="1"/>
  <c r="D664" i="4" s="1"/>
  <c r="L664" i="2"/>
  <c r="A664" i="4" s="1"/>
  <c r="L575" i="2"/>
  <c r="A575" i="4" s="1"/>
  <c r="M575" i="2"/>
  <c r="C575" i="4" s="1"/>
  <c r="D575" i="4" s="1"/>
  <c r="K575" i="2"/>
  <c r="B575" i="4" s="1"/>
  <c r="K347" i="2"/>
  <c r="B347" i="4" s="1"/>
  <c r="L347" i="2"/>
  <c r="A347" i="4" s="1"/>
  <c r="M347" i="2"/>
  <c r="C347" i="4" s="1"/>
  <c r="D347" i="4" s="1"/>
  <c r="K756" i="2"/>
  <c r="B756" i="4" s="1"/>
  <c r="L756" i="2"/>
  <c r="A756" i="4" s="1"/>
  <c r="M756" i="2"/>
  <c r="C756" i="4" s="1"/>
  <c r="D756" i="4" s="1"/>
  <c r="K499" i="2"/>
  <c r="B499" i="4" s="1"/>
  <c r="L499" i="2"/>
  <c r="A499" i="4" s="1"/>
  <c r="M499" i="2"/>
  <c r="C499" i="4" s="1"/>
  <c r="D499" i="4" s="1"/>
  <c r="M744" i="2"/>
  <c r="C744" i="4" s="1"/>
  <c r="D744" i="4" s="1"/>
  <c r="L744" i="2"/>
  <c r="A744" i="4" s="1"/>
  <c r="K744" i="2"/>
  <c r="B744" i="4" s="1"/>
  <c r="K598" i="2"/>
  <c r="B598" i="4" s="1"/>
  <c r="M598" i="2"/>
  <c r="C598" i="4" s="1"/>
  <c r="D598" i="4" s="1"/>
  <c r="L598" i="2"/>
  <c r="A598" i="4" s="1"/>
  <c r="L376" i="2"/>
  <c r="A376" i="4" s="1"/>
  <c r="K376" i="2"/>
  <c r="B376" i="4" s="1"/>
  <c r="M376" i="2"/>
  <c r="C376" i="4" s="1"/>
  <c r="D376" i="4" s="1"/>
  <c r="M353" i="2"/>
  <c r="C353" i="4" s="1"/>
  <c r="D353" i="4" s="1"/>
  <c r="K353" i="2"/>
  <c r="B353" i="4" s="1"/>
  <c r="L353" i="2"/>
  <c r="A353" i="4" s="1"/>
  <c r="M389" i="2"/>
  <c r="C389" i="4" s="1"/>
  <c r="D389" i="4" s="1"/>
  <c r="K389" i="2"/>
  <c r="B389" i="4" s="1"/>
  <c r="L389" i="2"/>
  <c r="A389" i="4" s="1"/>
  <c r="L533" i="2"/>
  <c r="A533" i="4" s="1"/>
  <c r="M533" i="2"/>
  <c r="C533" i="4" s="1"/>
  <c r="D533" i="4" s="1"/>
  <c r="K533" i="2"/>
  <c r="B533" i="4" s="1"/>
  <c r="K557" i="2"/>
  <c r="B557" i="4" s="1"/>
  <c r="M557" i="2"/>
  <c r="C557" i="4" s="1"/>
  <c r="D557" i="4" s="1"/>
  <c r="L557" i="2"/>
  <c r="A557" i="4" s="1"/>
  <c r="M618" i="2"/>
  <c r="C618" i="4" s="1"/>
  <c r="D618" i="4" s="1"/>
  <c r="K618" i="2"/>
  <c r="B618" i="4" s="1"/>
  <c r="L618" i="2"/>
  <c r="A618" i="4" s="1"/>
  <c r="L652" i="2"/>
  <c r="A652" i="4" s="1"/>
  <c r="K652" i="2"/>
  <c r="B652" i="4" s="1"/>
  <c r="M652" i="2"/>
  <c r="C652" i="4" s="1"/>
  <c r="D652" i="4" s="1"/>
  <c r="K439" i="2"/>
  <c r="B439" i="4" s="1"/>
  <c r="M439" i="2"/>
  <c r="C439" i="4" s="1"/>
  <c r="D439" i="4" s="1"/>
  <c r="L439" i="2"/>
  <c r="A439" i="4" s="1"/>
  <c r="K745" i="2"/>
  <c r="B745" i="4" s="1"/>
  <c r="M745" i="2"/>
  <c r="C745" i="4" s="1"/>
  <c r="D745" i="4" s="1"/>
  <c r="L745" i="2"/>
  <c r="A745" i="4" s="1"/>
  <c r="M680" i="2"/>
  <c r="C680" i="4" s="1"/>
  <c r="D680" i="4" s="1"/>
  <c r="K680" i="2"/>
  <c r="B680" i="4" s="1"/>
  <c r="L680" i="2"/>
  <c r="A680" i="4" s="1"/>
  <c r="K697" i="2"/>
  <c r="B697" i="4" s="1"/>
  <c r="M697" i="2"/>
  <c r="C697" i="4" s="1"/>
  <c r="D697" i="4" s="1"/>
  <c r="L697" i="2"/>
  <c r="A697" i="4" s="1"/>
  <c r="K599" i="2"/>
  <c r="B599" i="4" s="1"/>
  <c r="M599" i="2"/>
  <c r="C599" i="4" s="1"/>
  <c r="D599" i="4" s="1"/>
  <c r="L599" i="2"/>
  <c r="A599" i="4" s="1"/>
  <c r="M719" i="2"/>
  <c r="C719" i="4" s="1"/>
  <c r="D719" i="4" s="1"/>
  <c r="K719" i="2"/>
  <c r="B719" i="4" s="1"/>
  <c r="L719" i="2"/>
  <c r="A719" i="4" s="1"/>
  <c r="L571" i="2"/>
  <c r="A571" i="4" s="1"/>
  <c r="K571" i="2"/>
  <c r="B571" i="4" s="1"/>
  <c r="M571" i="2"/>
  <c r="C571" i="4" s="1"/>
  <c r="D571" i="4" s="1"/>
  <c r="K451" i="2"/>
  <c r="B451" i="4" s="1"/>
  <c r="L451" i="2"/>
  <c r="A451" i="4" s="1"/>
  <c r="M451" i="2"/>
  <c r="C451" i="4" s="1"/>
  <c r="D451" i="4" s="1"/>
  <c r="M717" i="2"/>
  <c r="C717" i="4" s="1"/>
  <c r="D717" i="4" s="1"/>
  <c r="L717" i="2"/>
  <c r="A717" i="4" s="1"/>
  <c r="K717" i="2"/>
  <c r="B717" i="4" s="1"/>
  <c r="K398" i="2"/>
  <c r="B398" i="4" s="1"/>
  <c r="M398" i="2"/>
  <c r="C398" i="4" s="1"/>
  <c r="D398" i="4" s="1"/>
  <c r="L398" i="2"/>
  <c r="A398" i="4" s="1"/>
  <c r="M421" i="2"/>
  <c r="C421" i="4" s="1"/>
  <c r="D421" i="4" s="1"/>
  <c r="L421" i="2"/>
  <c r="A421" i="4" s="1"/>
  <c r="K421" i="2"/>
  <c r="B421" i="4" s="1"/>
  <c r="M723" i="2"/>
  <c r="C723" i="4" s="1"/>
  <c r="D723" i="4" s="1"/>
  <c r="K723" i="2"/>
  <c r="B723" i="4" s="1"/>
  <c r="L723" i="2"/>
  <c r="A723" i="4" s="1"/>
  <c r="M770" i="2"/>
  <c r="C770" i="4" s="1"/>
  <c r="D770" i="4" s="1"/>
  <c r="L770" i="2"/>
  <c r="A770" i="4" s="1"/>
  <c r="K770" i="2"/>
  <c r="B770" i="4" s="1"/>
  <c r="L584" i="2"/>
  <c r="A584" i="4" s="1"/>
  <c r="K584" i="2"/>
  <c r="B584" i="4" s="1"/>
  <c r="M584" i="2"/>
  <c r="C584" i="4" s="1"/>
  <c r="D584" i="4" s="1"/>
  <c r="M633" i="2"/>
  <c r="C633" i="4" s="1"/>
  <c r="D633" i="4" s="1"/>
  <c r="K633" i="2"/>
  <c r="B633" i="4" s="1"/>
  <c r="L633" i="2"/>
  <c r="A633" i="4" s="1"/>
  <c r="K666" i="2"/>
  <c r="B666" i="4" s="1"/>
  <c r="M666" i="2"/>
  <c r="C666" i="4" s="1"/>
  <c r="D666" i="4" s="1"/>
  <c r="L666" i="2"/>
  <c r="A666" i="4" s="1"/>
  <c r="L354" i="2"/>
  <c r="A354" i="4" s="1"/>
  <c r="K354" i="2"/>
  <c r="B354" i="4" s="1"/>
  <c r="M354" i="2"/>
  <c r="C354" i="4" s="1"/>
  <c r="D354" i="4" s="1"/>
  <c r="M490" i="2"/>
  <c r="C490" i="4" s="1"/>
  <c r="D490" i="4" s="1"/>
  <c r="L490" i="2"/>
  <c r="A490" i="4" s="1"/>
  <c r="K490" i="2"/>
  <c r="B490" i="4" s="1"/>
  <c r="K681" i="2"/>
  <c r="B681" i="4" s="1"/>
  <c r="M681" i="2"/>
  <c r="C681" i="4" s="1"/>
  <c r="D681" i="4" s="1"/>
  <c r="L681" i="2"/>
  <c r="A681" i="4" s="1"/>
  <c r="M404" i="2"/>
  <c r="C404" i="4" s="1"/>
  <c r="D404" i="4" s="1"/>
  <c r="L404" i="2"/>
  <c r="A404" i="4" s="1"/>
  <c r="K404" i="2"/>
  <c r="B404" i="4" s="1"/>
  <c r="L737" i="2"/>
  <c r="A737" i="4" s="1"/>
  <c r="M737" i="2"/>
  <c r="C737" i="4" s="1"/>
  <c r="D737" i="4" s="1"/>
  <c r="K737" i="2"/>
  <c r="B737" i="4" s="1"/>
  <c r="M15" i="2"/>
  <c r="C15" i="4" s="1"/>
  <c r="D15" i="4" s="1"/>
  <c r="K15" i="2"/>
  <c r="B15" i="4" s="1"/>
  <c r="L15" i="2"/>
  <c r="A15" i="4" s="1"/>
  <c r="M349" i="2"/>
  <c r="C349" i="4" s="1"/>
  <c r="D349" i="4" s="1"/>
  <c r="L349" i="2"/>
  <c r="A349" i="4" s="1"/>
  <c r="K349" i="2"/>
  <c r="B349" i="4" s="1"/>
  <c r="K720" i="2"/>
  <c r="B720" i="4" s="1"/>
  <c r="L720" i="2"/>
  <c r="A720" i="4" s="1"/>
  <c r="M720" i="2"/>
  <c r="C720" i="4" s="1"/>
  <c r="D720" i="4" s="1"/>
  <c r="K738" i="2"/>
  <c r="B738" i="4" s="1"/>
  <c r="L738" i="2"/>
  <c r="A738" i="4" s="1"/>
  <c r="M738" i="2"/>
  <c r="C738" i="4" s="1"/>
  <c r="D738" i="4" s="1"/>
  <c r="K473" i="2"/>
  <c r="B473" i="4" s="1"/>
  <c r="M473" i="2"/>
  <c r="C473" i="4" s="1"/>
  <c r="D473" i="4" s="1"/>
  <c r="L473" i="2"/>
  <c r="A473" i="4" s="1"/>
  <c r="L661" i="2"/>
  <c r="A661" i="4" s="1"/>
  <c r="K661" i="2"/>
  <c r="B661" i="4" s="1"/>
  <c r="M661" i="2"/>
  <c r="C661" i="4" s="1"/>
  <c r="D661" i="4" s="1"/>
  <c r="M517" i="2"/>
  <c r="C517" i="4" s="1"/>
  <c r="D517" i="4" s="1"/>
  <c r="L517" i="2"/>
  <c r="A517" i="4" s="1"/>
  <c r="K517" i="2"/>
  <c r="B517" i="4" s="1"/>
  <c r="K412" i="2"/>
  <c r="B412" i="4" s="1"/>
  <c r="M412" i="2"/>
  <c r="C412" i="4" s="1"/>
  <c r="D412" i="4" s="1"/>
  <c r="L412" i="2"/>
  <c r="A412" i="4" s="1"/>
  <c r="M741" i="2"/>
  <c r="C741" i="4" s="1"/>
  <c r="D741" i="4" s="1"/>
  <c r="K741" i="2"/>
  <c r="B741" i="4" s="1"/>
  <c r="L741" i="2"/>
  <c r="A741" i="4" s="1"/>
  <c r="L468" i="2"/>
  <c r="A468" i="4" s="1"/>
  <c r="K468" i="2"/>
  <c r="B468" i="4" s="1"/>
  <c r="M468" i="2"/>
  <c r="C468" i="4" s="1"/>
  <c r="D468" i="4" s="1"/>
  <c r="L465" i="2"/>
  <c r="A465" i="4" s="1"/>
  <c r="K465" i="2"/>
  <c r="B465" i="4" s="1"/>
  <c r="M465" i="2"/>
  <c r="C465" i="4" s="1"/>
  <c r="D465" i="4" s="1"/>
  <c r="K701" i="2"/>
  <c r="B701" i="4" s="1"/>
  <c r="M701" i="2"/>
  <c r="C701" i="4" s="1"/>
  <c r="D701" i="4" s="1"/>
  <c r="L701" i="2"/>
  <c r="A701" i="4" s="1"/>
  <c r="L350" i="2"/>
  <c r="A350" i="4" s="1"/>
  <c r="M350" i="2"/>
  <c r="C350" i="4" s="1"/>
  <c r="D350" i="4" s="1"/>
  <c r="K350" i="2"/>
  <c r="B350" i="4" s="1"/>
  <c r="K762" i="2"/>
  <c r="B762" i="4" s="1"/>
  <c r="L762" i="2"/>
  <c r="A762" i="4" s="1"/>
  <c r="M762" i="2"/>
  <c r="C762" i="4" s="1"/>
  <c r="D762" i="4" s="1"/>
  <c r="M595" i="2"/>
  <c r="C595" i="4" s="1"/>
  <c r="D595" i="4" s="1"/>
  <c r="K595" i="2"/>
  <c r="B595" i="4" s="1"/>
  <c r="L595" i="2"/>
  <c r="A595" i="4" s="1"/>
  <c r="K467" i="2"/>
  <c r="B467" i="4" s="1"/>
  <c r="L467" i="2"/>
  <c r="A467" i="4" s="1"/>
  <c r="M467" i="2"/>
  <c r="C467" i="4" s="1"/>
  <c r="D467" i="4" s="1"/>
  <c r="L636" i="2"/>
  <c r="A636" i="4" s="1"/>
  <c r="M636" i="2"/>
  <c r="C636" i="4" s="1"/>
  <c r="D636" i="4" s="1"/>
  <c r="K636" i="2"/>
  <c r="B636" i="4" s="1"/>
  <c r="K489" i="2"/>
  <c r="B489" i="4" s="1"/>
  <c r="L489" i="2"/>
  <c r="A489" i="4" s="1"/>
  <c r="M489" i="2"/>
  <c r="C489" i="4" s="1"/>
  <c r="D489" i="4" s="1"/>
  <c r="M482" i="2"/>
  <c r="C482" i="4" s="1"/>
  <c r="D482" i="4" s="1"/>
  <c r="L482" i="2"/>
  <c r="A482" i="4" s="1"/>
  <c r="K482" i="2"/>
  <c r="B482" i="4" s="1"/>
  <c r="M601" i="2"/>
  <c r="C601" i="4" s="1"/>
  <c r="D601" i="4" s="1"/>
  <c r="L601" i="2"/>
  <c r="A601" i="4" s="1"/>
  <c r="K601" i="2"/>
  <c r="B601" i="4" s="1"/>
  <c r="M504" i="2"/>
  <c r="C504" i="4" s="1"/>
  <c r="D504" i="4" s="1"/>
  <c r="K504" i="2"/>
  <c r="B504" i="4" s="1"/>
  <c r="L504" i="2"/>
  <c r="A504" i="4" s="1"/>
  <c r="M709" i="2"/>
  <c r="C709" i="4" s="1"/>
  <c r="D709" i="4" s="1"/>
  <c r="L709" i="2"/>
  <c r="A709" i="4" s="1"/>
  <c r="K709" i="2"/>
  <c r="B709" i="4" s="1"/>
  <c r="M761" i="2"/>
  <c r="C761" i="4" s="1"/>
  <c r="D761" i="4" s="1"/>
  <c r="K761" i="2"/>
  <c r="B761" i="4" s="1"/>
  <c r="L761" i="2"/>
  <c r="A761" i="4" s="1"/>
  <c r="M585" i="2"/>
  <c r="C585" i="4" s="1"/>
  <c r="D585" i="4" s="1"/>
  <c r="L585" i="2"/>
  <c r="A585" i="4" s="1"/>
  <c r="K585" i="2"/>
  <c r="B585" i="4" s="1"/>
  <c r="L356" i="2"/>
  <c r="A356" i="4" s="1"/>
  <c r="K356" i="2"/>
  <c r="B356" i="4" s="1"/>
  <c r="M356" i="2"/>
  <c r="C356" i="4" s="1"/>
  <c r="D356" i="4" s="1"/>
  <c r="K672" i="2"/>
  <c r="B672" i="4" s="1"/>
  <c r="M672" i="2"/>
  <c r="C672" i="4" s="1"/>
  <c r="D672" i="4" s="1"/>
  <c r="L672" i="2"/>
  <c r="A672" i="4" s="1"/>
  <c r="K519" i="2"/>
  <c r="B519" i="4" s="1"/>
  <c r="M519" i="2"/>
  <c r="C519" i="4" s="1"/>
  <c r="D519" i="4" s="1"/>
  <c r="L519" i="2"/>
  <c r="A519" i="4" s="1"/>
  <c r="L487" i="2"/>
  <c r="A487" i="4" s="1"/>
  <c r="M487" i="2"/>
  <c r="C487" i="4" s="1"/>
  <c r="D487" i="4" s="1"/>
  <c r="K487" i="2"/>
  <c r="B487" i="4" s="1"/>
  <c r="L405" i="2"/>
  <c r="A405" i="4" s="1"/>
  <c r="M405" i="2"/>
  <c r="C405" i="4" s="1"/>
  <c r="D405" i="4" s="1"/>
  <c r="K405" i="2"/>
  <c r="B405" i="4" s="1"/>
  <c r="L461" i="2"/>
  <c r="A461" i="4" s="1"/>
  <c r="K461" i="2"/>
  <c r="B461" i="4" s="1"/>
  <c r="M461" i="2"/>
  <c r="C461" i="4" s="1"/>
  <c r="D461" i="4" s="1"/>
  <c r="M572" i="2"/>
  <c r="C572" i="4" s="1"/>
  <c r="D572" i="4" s="1"/>
  <c r="L572" i="2"/>
  <c r="A572" i="4" s="1"/>
  <c r="K572" i="2"/>
  <c r="B572" i="4" s="1"/>
  <c r="L759" i="2"/>
  <c r="A759" i="4" s="1"/>
  <c r="M759" i="2"/>
  <c r="C759" i="4" s="1"/>
  <c r="D759" i="4" s="1"/>
  <c r="K759" i="2"/>
  <c r="B759" i="4" s="1"/>
  <c r="L765" i="2"/>
  <c r="A765" i="4" s="1"/>
  <c r="M765" i="2"/>
  <c r="C765" i="4" s="1"/>
  <c r="D765" i="4" s="1"/>
  <c r="K765" i="2"/>
  <c r="B765" i="4" s="1"/>
  <c r="K527" i="2"/>
  <c r="B527" i="4" s="1"/>
  <c r="M527" i="2"/>
  <c r="C527" i="4" s="1"/>
  <c r="D527" i="4" s="1"/>
  <c r="L527" i="2"/>
  <c r="A527" i="4" s="1"/>
  <c r="M401" i="2"/>
  <c r="C401" i="4" s="1"/>
  <c r="D401" i="4" s="1"/>
  <c r="K401" i="2"/>
  <c r="B401" i="4" s="1"/>
  <c r="L401" i="2"/>
  <c r="A401" i="4" s="1"/>
  <c r="L706" i="2"/>
  <c r="A706" i="4" s="1"/>
  <c r="K706" i="2"/>
  <c r="B706" i="4" s="1"/>
  <c r="M706" i="2"/>
  <c r="C706" i="4" s="1"/>
  <c r="D706" i="4" s="1"/>
  <c r="L390" i="2"/>
  <c r="A390" i="4" s="1"/>
  <c r="K390" i="2"/>
  <c r="B390" i="4" s="1"/>
  <c r="M390" i="2"/>
  <c r="C390" i="4" s="1"/>
  <c r="D390" i="4" s="1"/>
  <c r="M10" i="2"/>
  <c r="C10" i="4" s="1"/>
  <c r="D10" i="4" s="1"/>
  <c r="K10" i="2"/>
  <c r="B10" i="4" s="1"/>
  <c r="L10" i="2"/>
  <c r="A10" i="4" s="1"/>
  <c r="M628" i="2"/>
  <c r="C628" i="4" s="1"/>
  <c r="D628" i="4" s="1"/>
  <c r="K628" i="2"/>
  <c r="B628" i="4" s="1"/>
  <c r="L628" i="2"/>
  <c r="A628" i="4" s="1"/>
  <c r="L653" i="2"/>
  <c r="A653" i="4" s="1"/>
  <c r="K653" i="2"/>
  <c r="B653" i="4" s="1"/>
  <c r="M653" i="2"/>
  <c r="C653" i="4" s="1"/>
  <c r="D653" i="4" s="1"/>
  <c r="L361" i="2"/>
  <c r="A109" i="4" s="1"/>
  <c r="K361" i="2"/>
  <c r="B109" i="4" s="1"/>
  <c r="M361" i="2"/>
  <c r="C109" i="4" s="1"/>
  <c r="D109" i="4" s="1"/>
  <c r="M749" i="2"/>
  <c r="C749" i="4" s="1"/>
  <c r="D749" i="4" s="1"/>
  <c r="L749" i="2"/>
  <c r="A749" i="4" s="1"/>
  <c r="K749" i="2"/>
  <c r="B749" i="4" s="1"/>
  <c r="L567" i="2"/>
  <c r="A567" i="4" s="1"/>
  <c r="M567" i="2"/>
  <c r="C567" i="4" s="1"/>
  <c r="D567" i="4" s="1"/>
  <c r="K567" i="2"/>
  <c r="B567" i="4" s="1"/>
  <c r="K433" i="2"/>
  <c r="B433" i="4" s="1"/>
  <c r="M433" i="2"/>
  <c r="C433" i="4" s="1"/>
  <c r="D433" i="4" s="1"/>
  <c r="L433" i="2"/>
  <c r="A433" i="4" s="1"/>
  <c r="L603" i="2"/>
  <c r="A603" i="4" s="1"/>
  <c r="M603" i="2"/>
  <c r="C603" i="4" s="1"/>
  <c r="D603" i="4" s="1"/>
  <c r="K603" i="2"/>
  <c r="B603" i="4" s="1"/>
  <c r="K643" i="2"/>
  <c r="B643" i="4" s="1"/>
  <c r="M643" i="2"/>
  <c r="C643" i="4" s="1"/>
  <c r="D643" i="4" s="1"/>
  <c r="L643" i="2"/>
  <c r="A643" i="4" s="1"/>
  <c r="L9" i="2"/>
  <c r="A9" i="4" s="1"/>
  <c r="K9" i="2"/>
  <c r="B9" i="4" s="1"/>
  <c r="M9" i="2"/>
  <c r="C9" i="4" s="1"/>
  <c r="D9" i="4" s="1"/>
  <c r="K552" i="2"/>
  <c r="B552" i="4" s="1"/>
  <c r="M552" i="2"/>
  <c r="C552" i="4" s="1"/>
  <c r="D552" i="4" s="1"/>
  <c r="L552" i="2"/>
  <c r="A552" i="4" s="1"/>
  <c r="K637" i="2"/>
  <c r="B637" i="4" s="1"/>
  <c r="L637" i="2"/>
  <c r="A637" i="4" s="1"/>
  <c r="M637" i="2"/>
  <c r="C637" i="4" s="1"/>
  <c r="D637" i="4" s="1"/>
  <c r="L588" i="2"/>
  <c r="A588" i="4" s="1"/>
  <c r="K588" i="2"/>
  <c r="B588" i="4" s="1"/>
  <c r="M588" i="2"/>
  <c r="C588" i="4" s="1"/>
  <c r="D588" i="4" s="1"/>
  <c r="K476" i="2"/>
  <c r="B476" i="4" s="1"/>
  <c r="M476" i="2"/>
  <c r="C476" i="4" s="1"/>
  <c r="D476" i="4" s="1"/>
  <c r="L476" i="2"/>
  <c r="A476" i="4" s="1"/>
  <c r="L445" i="2"/>
  <c r="A445" i="4" s="1"/>
  <c r="M445" i="2"/>
  <c r="C445" i="4" s="1"/>
  <c r="D445" i="4" s="1"/>
  <c r="K445" i="2"/>
  <c r="B445" i="4" s="1"/>
  <c r="M736" i="2"/>
  <c r="C736" i="4" s="1"/>
  <c r="D736" i="4" s="1"/>
  <c r="K736" i="2"/>
  <c r="B736" i="4" s="1"/>
  <c r="L736" i="2"/>
  <c r="A736" i="4" s="1"/>
  <c r="L663" i="2"/>
  <c r="A663" i="4" s="1"/>
  <c r="K663" i="2"/>
  <c r="B663" i="4" s="1"/>
  <c r="M663" i="2"/>
  <c r="C663" i="4" s="1"/>
  <c r="D663" i="4" s="1"/>
  <c r="L734" i="2"/>
  <c r="A734" i="4" s="1"/>
  <c r="M734" i="2"/>
  <c r="C734" i="4" s="1"/>
  <c r="D734" i="4" s="1"/>
  <c r="K734" i="2"/>
  <c r="B734" i="4" s="1"/>
  <c r="L758" i="2"/>
  <c r="A758" i="4" s="1"/>
  <c r="K758" i="2"/>
  <c r="B758" i="4" s="1"/>
  <c r="M758" i="2"/>
  <c r="C758" i="4" s="1"/>
  <c r="D758" i="4" s="1"/>
  <c r="L559" i="2"/>
  <c r="A559" i="4" s="1"/>
  <c r="M559" i="2"/>
  <c r="C559" i="4" s="1"/>
  <c r="D559" i="4" s="1"/>
  <c r="K559" i="2"/>
  <c r="B559" i="4" s="1"/>
  <c r="M474" i="2"/>
  <c r="C474" i="4" s="1"/>
  <c r="D474" i="4" s="1"/>
  <c r="K474" i="2"/>
  <c r="B474" i="4" s="1"/>
  <c r="L474" i="2"/>
  <c r="A474" i="4" s="1"/>
  <c r="M721" i="2"/>
  <c r="C721" i="4" s="1"/>
  <c r="D721" i="4" s="1"/>
  <c r="L721" i="2"/>
  <c r="A721" i="4" s="1"/>
  <c r="K721" i="2"/>
  <c r="B721" i="4" s="1"/>
  <c r="K626" i="2"/>
  <c r="B626" i="4" s="1"/>
  <c r="L626" i="2"/>
  <c r="A626" i="4" s="1"/>
  <c r="M626" i="2"/>
  <c r="C626" i="4" s="1"/>
  <c r="D626" i="4" s="1"/>
  <c r="K387" i="2"/>
  <c r="B387" i="4" s="1"/>
  <c r="M387" i="2"/>
  <c r="C387" i="4" s="1"/>
  <c r="D387" i="4" s="1"/>
  <c r="L387" i="2"/>
  <c r="A387" i="4" s="1"/>
  <c r="L729" i="2"/>
  <c r="A729" i="4" s="1"/>
  <c r="K729" i="2"/>
  <c r="B729" i="4" s="1"/>
  <c r="M729" i="2"/>
  <c r="C729" i="4" s="1"/>
  <c r="D729" i="4" s="1"/>
  <c r="M764" i="2"/>
  <c r="C764" i="4" s="1"/>
  <c r="D764" i="4" s="1"/>
  <c r="L764" i="2"/>
  <c r="A764" i="4" s="1"/>
  <c r="K764" i="2"/>
  <c r="B764" i="4" s="1"/>
  <c r="M430" i="2"/>
  <c r="C430" i="4" s="1"/>
  <c r="D430" i="4" s="1"/>
  <c r="K430" i="2"/>
  <c r="B430" i="4" s="1"/>
  <c r="L430" i="2"/>
  <c r="A430" i="4" s="1"/>
  <c r="K689" i="2"/>
  <c r="B689" i="4" s="1"/>
  <c r="M689" i="2"/>
  <c r="C689" i="4" s="1"/>
  <c r="D689" i="4" s="1"/>
  <c r="L689" i="2"/>
  <c r="A689" i="4" s="1"/>
  <c r="K370" i="2"/>
  <c r="B370" i="4" s="1"/>
  <c r="L370" i="2"/>
  <c r="A370" i="4" s="1"/>
  <c r="M370" i="2"/>
  <c r="C370" i="4" s="1"/>
  <c r="D370" i="4" s="1"/>
  <c r="M462" i="2"/>
  <c r="C462" i="4" s="1"/>
  <c r="D462" i="4" s="1"/>
  <c r="K462" i="2"/>
  <c r="B462" i="4" s="1"/>
  <c r="L462" i="2"/>
  <c r="A462" i="4" s="1"/>
  <c r="L574" i="2"/>
  <c r="A574" i="4" s="1"/>
  <c r="K574" i="2"/>
  <c r="B574" i="4" s="1"/>
  <c r="M574" i="2"/>
  <c r="C574" i="4" s="1"/>
  <c r="D574" i="4" s="1"/>
  <c r="M470" i="2"/>
  <c r="C470" i="4" s="1"/>
  <c r="D470" i="4" s="1"/>
  <c r="L470" i="2"/>
  <c r="A470" i="4" s="1"/>
  <c r="K470" i="2"/>
  <c r="B470" i="4" s="1"/>
  <c r="M357" i="2"/>
  <c r="C357" i="4" s="1"/>
  <c r="D357" i="4" s="1"/>
  <c r="K357" i="2"/>
  <c r="B357" i="4" s="1"/>
  <c r="L357" i="2"/>
  <c r="A357" i="4" s="1"/>
  <c r="M402" i="2"/>
  <c r="C402" i="4" s="1"/>
  <c r="D402" i="4" s="1"/>
  <c r="L402" i="2"/>
  <c r="A402" i="4" s="1"/>
  <c r="K402" i="2"/>
  <c r="B402" i="4" s="1"/>
  <c r="M560" i="2"/>
  <c r="C560" i="4" s="1"/>
  <c r="D560" i="4" s="1"/>
  <c r="K560" i="2"/>
  <c r="B560" i="4" s="1"/>
  <c r="L560" i="2"/>
  <c r="A560" i="4" s="1"/>
  <c r="M449" i="2"/>
  <c r="C449" i="4" s="1"/>
  <c r="D449" i="4" s="1"/>
  <c r="L449" i="2"/>
  <c r="A449" i="4" s="1"/>
  <c r="K449" i="2"/>
  <c r="B449" i="4" s="1"/>
  <c r="K480" i="2"/>
  <c r="B480" i="4" s="1"/>
  <c r="M480" i="2"/>
  <c r="C480" i="4" s="1"/>
  <c r="D480" i="4" s="1"/>
  <c r="L480" i="2"/>
  <c r="A480" i="4" s="1"/>
  <c r="L565" i="2"/>
  <c r="A565" i="4" s="1"/>
  <c r="K565" i="2"/>
  <c r="B565" i="4" s="1"/>
  <c r="M565" i="2"/>
  <c r="C565" i="4" s="1"/>
  <c r="D565" i="4" s="1"/>
  <c r="L380" i="2"/>
  <c r="A380" i="4" s="1"/>
  <c r="K380" i="2"/>
  <c r="B380" i="4" s="1"/>
  <c r="M380" i="2"/>
  <c r="C380" i="4" s="1"/>
  <c r="D380" i="4" s="1"/>
  <c r="L424" i="2"/>
  <c r="A424" i="4" s="1"/>
  <c r="K424" i="2"/>
  <c r="B424" i="4" s="1"/>
  <c r="M424" i="2"/>
  <c r="C424" i="4" s="1"/>
  <c r="D424" i="4" s="1"/>
  <c r="K491" i="2"/>
  <c r="B491" i="4" s="1"/>
  <c r="L491" i="2"/>
  <c r="A491" i="4" s="1"/>
  <c r="M491" i="2"/>
  <c r="C491" i="4" s="1"/>
  <c r="D491" i="4" s="1"/>
  <c r="M773" i="2"/>
  <c r="C773" i="4" s="1"/>
  <c r="D773" i="4" s="1"/>
  <c r="K773" i="2"/>
  <c r="B773" i="4" s="1"/>
  <c r="L773" i="2"/>
  <c r="A773" i="4" s="1"/>
  <c r="L712" i="2"/>
  <c r="A712" i="4" s="1"/>
  <c r="M712" i="2"/>
  <c r="C712" i="4" s="1"/>
  <c r="D712" i="4" s="1"/>
  <c r="K712" i="2"/>
  <c r="B712" i="4" s="1"/>
  <c r="M642" i="2"/>
  <c r="C642" i="4" s="1"/>
  <c r="D642" i="4" s="1"/>
  <c r="K642" i="2"/>
  <c r="B642" i="4" s="1"/>
  <c r="L642" i="2"/>
  <c r="A642" i="4" s="1"/>
  <c r="M442" i="2"/>
  <c r="C442" i="4" s="1"/>
  <c r="D442" i="4" s="1"/>
  <c r="L442" i="2"/>
  <c r="A442" i="4" s="1"/>
  <c r="K442" i="2"/>
  <c r="B442" i="4" s="1"/>
  <c r="K577" i="2"/>
  <c r="B577" i="4" s="1"/>
  <c r="M577" i="2"/>
  <c r="C577" i="4" s="1"/>
  <c r="D577" i="4" s="1"/>
  <c r="L577" i="2"/>
  <c r="A577" i="4" s="1"/>
  <c r="K743" i="2"/>
  <c r="B743" i="4" s="1"/>
  <c r="L743" i="2"/>
  <c r="A743" i="4" s="1"/>
  <c r="M743" i="2"/>
  <c r="C743" i="4" s="1"/>
  <c r="D743" i="4" s="1"/>
  <c r="L409" i="2"/>
  <c r="A409" i="4" s="1"/>
  <c r="M409" i="2"/>
  <c r="C409" i="4" s="1"/>
  <c r="D409" i="4" s="1"/>
  <c r="K409" i="2"/>
  <c r="B409" i="4" s="1"/>
  <c r="M704" i="2"/>
  <c r="C704" i="4" s="1"/>
  <c r="D704" i="4" s="1"/>
  <c r="L704" i="2"/>
  <c r="A704" i="4" s="1"/>
  <c r="K704" i="2"/>
  <c r="B704" i="4" s="1"/>
  <c r="L458" i="2"/>
  <c r="A458" i="4" s="1"/>
  <c r="K458" i="2"/>
  <c r="B458" i="4" s="1"/>
  <c r="M458" i="2"/>
  <c r="C458" i="4" s="1"/>
  <c r="D458" i="4" s="1"/>
  <c r="L466" i="2"/>
  <c r="A466" i="4" s="1"/>
  <c r="K466" i="2"/>
  <c r="B466" i="4" s="1"/>
  <c r="M466" i="2"/>
  <c r="C466" i="4" s="1"/>
  <c r="D466" i="4" s="1"/>
  <c r="K654" i="2"/>
  <c r="B654" i="4" s="1"/>
  <c r="L654" i="2"/>
  <c r="A654" i="4" s="1"/>
  <c r="M654" i="2"/>
  <c r="C654" i="4" s="1"/>
  <c r="D654" i="4" s="1"/>
  <c r="L367" i="2"/>
  <c r="A367" i="4" s="1"/>
  <c r="M367" i="2"/>
  <c r="C367" i="4" s="1"/>
  <c r="D367" i="4" s="1"/>
  <c r="K367" i="2"/>
  <c r="B367" i="4" s="1"/>
  <c r="L518" i="2"/>
  <c r="A518" i="4" s="1"/>
  <c r="M518" i="2"/>
  <c r="C518" i="4" s="1"/>
  <c r="D518" i="4" s="1"/>
  <c r="K518" i="2"/>
  <c r="B518" i="4" s="1"/>
  <c r="K540" i="2"/>
  <c r="B540" i="4" s="1"/>
  <c r="M540" i="2"/>
  <c r="C540" i="4" s="1"/>
  <c r="D540" i="4" s="1"/>
  <c r="L540" i="2"/>
  <c r="A540" i="4" s="1"/>
  <c r="L429" i="2"/>
  <c r="A429" i="4" s="1"/>
  <c r="M429" i="2"/>
  <c r="C429" i="4" s="1"/>
  <c r="D429" i="4" s="1"/>
  <c r="K429" i="2"/>
  <c r="B429" i="4" s="1"/>
  <c r="L679" i="2"/>
  <c r="A679" i="4" s="1"/>
  <c r="K679" i="2"/>
  <c r="B679" i="4" s="1"/>
  <c r="M679" i="2"/>
  <c r="C679" i="4" s="1"/>
  <c r="D679" i="4" s="1"/>
  <c r="L511" i="2"/>
  <c r="A511" i="4" s="1"/>
  <c r="K511" i="2"/>
  <c r="B511" i="4" s="1"/>
  <c r="M511" i="2"/>
  <c r="C511" i="4" s="1"/>
  <c r="D511" i="4" s="1"/>
  <c r="L635" i="2"/>
  <c r="A635" i="4" s="1"/>
  <c r="K635" i="2"/>
  <c r="B635" i="4" s="1"/>
  <c r="M635" i="2"/>
  <c r="C635" i="4" s="1"/>
  <c r="D635" i="4" s="1"/>
  <c r="L431" i="2"/>
  <c r="A431" i="4" s="1"/>
  <c r="K431" i="2"/>
  <c r="B431" i="4" s="1"/>
  <c r="M431" i="2"/>
  <c r="C431" i="4" s="1"/>
  <c r="D431" i="4" s="1"/>
  <c r="L563" i="2"/>
  <c r="A563" i="4" s="1"/>
  <c r="M563" i="2"/>
  <c r="C563" i="4" s="1"/>
  <c r="D563" i="4" s="1"/>
  <c r="K563" i="2"/>
  <c r="B563" i="4" s="1"/>
  <c r="M771" i="2"/>
  <c r="C771" i="4" s="1"/>
  <c r="D771" i="4" s="1"/>
  <c r="K771" i="2"/>
  <c r="B771" i="4" s="1"/>
  <c r="L771" i="2"/>
  <c r="A771" i="4" s="1"/>
  <c r="M579" i="2"/>
  <c r="C579" i="4" s="1"/>
  <c r="D579" i="4" s="1"/>
  <c r="L579" i="2"/>
  <c r="A579" i="4" s="1"/>
  <c r="K579" i="2"/>
  <c r="B579" i="4" s="1"/>
  <c r="K456" i="2"/>
  <c r="B456" i="4" s="1"/>
  <c r="M456" i="2"/>
  <c r="C456" i="4" s="1"/>
  <c r="D456" i="4" s="1"/>
  <c r="L456" i="2"/>
  <c r="A456" i="4" s="1"/>
  <c r="K564" i="2"/>
  <c r="B564" i="4" s="1"/>
  <c r="L564" i="2"/>
  <c r="A564" i="4" s="1"/>
  <c r="M564" i="2"/>
  <c r="C564" i="4" s="1"/>
  <c r="D564" i="4" s="1"/>
  <c r="M691" i="2"/>
  <c r="C691" i="4" s="1"/>
  <c r="D691" i="4" s="1"/>
  <c r="K691" i="2"/>
  <c r="B691" i="4" s="1"/>
  <c r="L691" i="2"/>
  <c r="A691" i="4" s="1"/>
  <c r="K363" i="2"/>
  <c r="B363" i="4" s="1"/>
  <c r="L363" i="2"/>
  <c r="A363" i="4" s="1"/>
  <c r="M363" i="2"/>
  <c r="C363" i="4" s="1"/>
  <c r="D363" i="4" s="1"/>
  <c r="L536" i="2"/>
  <c r="A536" i="4" s="1"/>
  <c r="K536" i="2"/>
  <c r="B536" i="4" s="1"/>
  <c r="M536" i="2"/>
  <c r="C536" i="4" s="1"/>
  <c r="D536" i="4" s="1"/>
  <c r="M479" i="2"/>
  <c r="C479" i="4" s="1"/>
  <c r="D479" i="4" s="1"/>
  <c r="L479" i="2"/>
  <c r="A479" i="4" s="1"/>
  <c r="K479" i="2"/>
  <c r="B479" i="4" s="1"/>
  <c r="K670" i="2"/>
  <c r="B670" i="4" s="1"/>
  <c r="L670" i="2"/>
  <c r="A670" i="4" s="1"/>
  <c r="M670" i="2"/>
  <c r="C670" i="4" s="1"/>
  <c r="D670" i="4" s="1"/>
  <c r="M657" i="2"/>
  <c r="C657" i="4" s="1"/>
  <c r="D657" i="4" s="1"/>
  <c r="K657" i="2"/>
  <c r="B657" i="4" s="1"/>
  <c r="L657" i="2"/>
  <c r="A657" i="4" s="1"/>
  <c r="L543" i="2"/>
  <c r="A543" i="4" s="1"/>
  <c r="K543" i="2"/>
  <c r="B543" i="4" s="1"/>
  <c r="M543" i="2"/>
  <c r="C543" i="4" s="1"/>
  <c r="D543" i="4" s="1"/>
  <c r="L631" i="2"/>
  <c r="A631" i="4" s="1"/>
  <c r="K631" i="2"/>
  <c r="B631" i="4" s="1"/>
  <c r="M631" i="2"/>
  <c r="C631" i="4" s="1"/>
  <c r="D631" i="4" s="1"/>
  <c r="L454" i="2"/>
  <c r="A454" i="4" s="1"/>
  <c r="M454" i="2"/>
  <c r="C454" i="4" s="1"/>
  <c r="D454" i="4" s="1"/>
  <c r="K454" i="2"/>
  <c r="B454" i="4" s="1"/>
  <c r="M682" i="2"/>
  <c r="C682" i="4" s="1"/>
  <c r="D682" i="4" s="1"/>
  <c r="K682" i="2"/>
  <c r="B682" i="4" s="1"/>
  <c r="L682" i="2"/>
  <c r="A682" i="4" s="1"/>
  <c r="M767" i="2"/>
  <c r="C767" i="4" s="1"/>
  <c r="D767" i="4" s="1"/>
  <c r="L767" i="2"/>
  <c r="A767" i="4" s="1"/>
  <c r="K767" i="2"/>
  <c r="B767" i="4" s="1"/>
  <c r="K703" i="2"/>
  <c r="B703" i="4" s="1"/>
  <c r="L703" i="2"/>
  <c r="A703" i="4" s="1"/>
  <c r="M703" i="2"/>
  <c r="C703" i="4" s="1"/>
  <c r="D703" i="4" s="1"/>
  <c r="L732" i="2"/>
  <c r="A732" i="4" s="1"/>
  <c r="K732" i="2"/>
  <c r="B732" i="4" s="1"/>
  <c r="M732" i="2"/>
  <c r="C732" i="4" s="1"/>
  <c r="D732" i="4" s="1"/>
  <c r="K436" i="2"/>
  <c r="B436" i="4" s="1"/>
  <c r="L436" i="2"/>
  <c r="A436" i="4" s="1"/>
  <c r="M436" i="2"/>
  <c r="C436" i="4" s="1"/>
  <c r="D436" i="4" s="1"/>
  <c r="M589" i="2"/>
  <c r="C589" i="4" s="1"/>
  <c r="D589" i="4" s="1"/>
  <c r="K589" i="2"/>
  <c r="B589" i="4" s="1"/>
  <c r="L589" i="2"/>
  <c r="A589" i="4" s="1"/>
  <c r="K627" i="2"/>
  <c r="B627" i="4" s="1"/>
  <c r="M627" i="2"/>
  <c r="C627" i="4" s="1"/>
  <c r="D627" i="4" s="1"/>
  <c r="L627" i="2"/>
  <c r="A627" i="4" s="1"/>
  <c r="L486" i="2"/>
  <c r="A486" i="4" s="1"/>
  <c r="K486" i="2"/>
  <c r="B486" i="4" s="1"/>
  <c r="M486" i="2"/>
  <c r="C486" i="4" s="1"/>
  <c r="D486" i="4" s="1"/>
  <c r="L550" i="2"/>
  <c r="A550" i="4" s="1"/>
  <c r="M550" i="2"/>
  <c r="C550" i="4" s="1"/>
  <c r="D550" i="4" s="1"/>
  <c r="K550" i="2"/>
  <c r="B550" i="4" s="1"/>
  <c r="K727" i="2"/>
  <c r="B727" i="4" s="1"/>
  <c r="L727" i="2"/>
  <c r="A727" i="4" s="1"/>
  <c r="M727" i="2"/>
  <c r="C727" i="4" s="1"/>
  <c r="D727" i="4" s="1"/>
  <c r="K639" i="2"/>
  <c r="B639" i="4" s="1"/>
  <c r="L639" i="2"/>
  <c r="A639" i="4" s="1"/>
  <c r="M639" i="2"/>
  <c r="C639" i="4" s="1"/>
  <c r="D639" i="4" s="1"/>
  <c r="L477" i="2"/>
  <c r="A477" i="4" s="1"/>
  <c r="K477" i="2"/>
  <c r="B477" i="4" s="1"/>
  <c r="M477" i="2"/>
  <c r="C477" i="4" s="1"/>
  <c r="D477" i="4" s="1"/>
  <c r="K510" i="2"/>
  <c r="B510" i="4" s="1"/>
  <c r="M510" i="2"/>
  <c r="C510" i="4" s="1"/>
  <c r="D510" i="4" s="1"/>
  <c r="L510" i="2"/>
  <c r="A510" i="4" s="1"/>
  <c r="K507" i="2"/>
  <c r="B507" i="4" s="1"/>
  <c r="M507" i="2"/>
  <c r="C507" i="4" s="1"/>
  <c r="D507" i="4" s="1"/>
  <c r="L507" i="2"/>
  <c r="A507" i="4" s="1"/>
  <c r="K448" i="2"/>
  <c r="B448" i="4" s="1"/>
  <c r="M448" i="2"/>
  <c r="C448" i="4" s="1"/>
  <c r="D448" i="4" s="1"/>
  <c r="L448" i="2"/>
  <c r="A448" i="4" s="1"/>
  <c r="M368" i="2"/>
  <c r="C368" i="4" s="1"/>
  <c r="D368" i="4" s="1"/>
  <c r="L368" i="2"/>
  <c r="A368" i="4" s="1"/>
  <c r="K368" i="2"/>
  <c r="B368" i="4" s="1"/>
  <c r="M359" i="2"/>
  <c r="C359" i="4" s="1"/>
  <c r="D359" i="4" s="1"/>
  <c r="K359" i="2"/>
  <c r="B359" i="4" s="1"/>
  <c r="L359" i="2"/>
  <c r="A359" i="4" s="1"/>
  <c r="L671" i="2"/>
  <c r="A671" i="4" s="1"/>
  <c r="M671" i="2"/>
  <c r="C671" i="4" s="1"/>
  <c r="D671" i="4" s="1"/>
  <c r="K671" i="2"/>
  <c r="B671" i="4" s="1"/>
  <c r="L522" i="2"/>
  <c r="A522" i="4" s="1"/>
  <c r="M522" i="2"/>
  <c r="C522" i="4" s="1"/>
  <c r="D522" i="4" s="1"/>
  <c r="K522" i="2"/>
  <c r="B522" i="4" s="1"/>
  <c r="K539" i="2"/>
  <c r="B539" i="4" s="1"/>
  <c r="M539" i="2"/>
  <c r="C539" i="4" s="1"/>
  <c r="D539" i="4" s="1"/>
  <c r="L539" i="2"/>
  <c r="A539" i="4" s="1"/>
  <c r="K512" i="2"/>
  <c r="B512" i="4" s="1"/>
  <c r="M512" i="2"/>
  <c r="C512" i="4" s="1"/>
  <c r="D512" i="4" s="1"/>
  <c r="L512" i="2"/>
  <c r="A512" i="4" s="1"/>
  <c r="K416" i="2"/>
  <c r="B416" i="4" s="1"/>
  <c r="L416" i="2"/>
  <c r="A416" i="4" s="1"/>
  <c r="M416" i="2"/>
  <c r="C416" i="4" s="1"/>
  <c r="D416" i="4" s="1"/>
  <c r="M484" i="2"/>
  <c r="C484" i="4" s="1"/>
  <c r="D484" i="4" s="1"/>
  <c r="K484" i="2"/>
  <c r="B484" i="4" s="1"/>
  <c r="L484" i="2"/>
  <c r="A484" i="4" s="1"/>
  <c r="M644" i="2"/>
  <c r="C644" i="4" s="1"/>
  <c r="D644" i="4" s="1"/>
  <c r="L644" i="2"/>
  <c r="A644" i="4" s="1"/>
  <c r="K644" i="2"/>
  <c r="B644" i="4" s="1"/>
  <c r="L646" i="2"/>
  <c r="A646" i="4" s="1"/>
  <c r="M646" i="2"/>
  <c r="C646" i="4" s="1"/>
  <c r="D646" i="4" s="1"/>
  <c r="K646" i="2"/>
  <c r="B646" i="4" s="1"/>
  <c r="M425" i="2"/>
  <c r="C425" i="4" s="1"/>
  <c r="D425" i="4" s="1"/>
  <c r="K425" i="2"/>
  <c r="B425" i="4" s="1"/>
  <c r="L425" i="2"/>
  <c r="A425" i="4" s="1"/>
  <c r="L600" i="2"/>
  <c r="A600" i="4" s="1"/>
  <c r="M600" i="2"/>
  <c r="C600" i="4" s="1"/>
  <c r="D600" i="4" s="1"/>
  <c r="K600" i="2"/>
  <c r="B600" i="4" s="1"/>
  <c r="L640" i="2"/>
  <c r="A640" i="4" s="1"/>
  <c r="K640" i="2"/>
  <c r="B640" i="4" s="1"/>
  <c r="M640" i="2"/>
  <c r="C640" i="4" s="1"/>
  <c r="D640" i="4" s="1"/>
  <c r="M641" i="2"/>
  <c r="C641" i="4" s="1"/>
  <c r="D641" i="4" s="1"/>
  <c r="K641" i="2"/>
  <c r="B641" i="4" s="1"/>
  <c r="L641" i="2"/>
  <c r="A641" i="4" s="1"/>
  <c r="K345" i="2"/>
  <c r="B345" i="4" s="1"/>
  <c r="M345" i="2"/>
  <c r="C345" i="4" s="1"/>
  <c r="D345" i="4" s="1"/>
  <c r="L345" i="2"/>
  <c r="A345" i="4" s="1"/>
  <c r="M383" i="2"/>
  <c r="C383" i="4" s="1"/>
  <c r="D383" i="4" s="1"/>
  <c r="L383" i="2"/>
  <c r="A383" i="4" s="1"/>
  <c r="K383" i="2"/>
  <c r="B383" i="4" s="1"/>
  <c r="L475" i="2"/>
  <c r="A475" i="4" s="1"/>
  <c r="M475" i="2"/>
  <c r="C475" i="4" s="1"/>
  <c r="D475" i="4" s="1"/>
  <c r="K475" i="2"/>
  <c r="B475" i="4" s="1"/>
  <c r="K667" i="2"/>
  <c r="B667" i="4" s="1"/>
  <c r="M667" i="2"/>
  <c r="C667" i="4" s="1"/>
  <c r="D667" i="4" s="1"/>
  <c r="L667" i="2"/>
  <c r="A667" i="4" s="1"/>
  <c r="K351" i="2"/>
  <c r="B351" i="4" s="1"/>
  <c r="L351" i="2"/>
  <c r="A351" i="4" s="1"/>
  <c r="M351" i="2"/>
  <c r="C351" i="4" s="1"/>
  <c r="D351" i="4" s="1"/>
  <c r="L478" i="2"/>
  <c r="A478" i="4" s="1"/>
  <c r="M478" i="2"/>
  <c r="C478" i="4" s="1"/>
  <c r="D478" i="4" s="1"/>
  <c r="K478" i="2"/>
  <c r="B478" i="4" s="1"/>
  <c r="K677" i="2"/>
  <c r="B677" i="4" s="1"/>
  <c r="L677" i="2"/>
  <c r="A677" i="4" s="1"/>
  <c r="M677" i="2"/>
  <c r="C677" i="4" s="1"/>
  <c r="D677" i="4" s="1"/>
  <c r="M624" i="2"/>
  <c r="C624" i="4" s="1"/>
  <c r="D624" i="4" s="1"/>
  <c r="K624" i="2"/>
  <c r="B624" i="4" s="1"/>
  <c r="L624" i="2"/>
  <c r="A624" i="4" s="1"/>
  <c r="K739" i="2"/>
  <c r="B739" i="4" s="1"/>
  <c r="M739" i="2"/>
  <c r="C739" i="4" s="1"/>
  <c r="D739" i="4" s="1"/>
  <c r="L739" i="2"/>
  <c r="A739" i="4" s="1"/>
  <c r="K530" i="2"/>
  <c r="B530" i="4" s="1"/>
  <c r="M530" i="2"/>
  <c r="C530" i="4" s="1"/>
  <c r="D530" i="4" s="1"/>
  <c r="L530" i="2"/>
  <c r="A530" i="4" s="1"/>
  <c r="L728" i="2"/>
  <c r="A728" i="4" s="1"/>
  <c r="M728" i="2"/>
  <c r="C728" i="4" s="1"/>
  <c r="D728" i="4" s="1"/>
  <c r="K728" i="2"/>
  <c r="B728" i="4" s="1"/>
  <c r="M463" i="2"/>
  <c r="C463" i="4" s="1"/>
  <c r="D463" i="4" s="1"/>
  <c r="L463" i="2"/>
  <c r="A463" i="4" s="1"/>
  <c r="K463" i="2"/>
  <c r="B463" i="4" s="1"/>
  <c r="M418" i="2"/>
  <c r="C418" i="4" s="1"/>
  <c r="D418" i="4" s="1"/>
  <c r="L418" i="2"/>
  <c r="A418" i="4" s="1"/>
  <c r="K418" i="2"/>
  <c r="B418" i="4" s="1"/>
  <c r="K400" i="2"/>
  <c r="B400" i="4" s="1"/>
  <c r="L400" i="2"/>
  <c r="A400" i="4" s="1"/>
  <c r="M400" i="2"/>
  <c r="C400" i="4" s="1"/>
  <c r="D400" i="4" s="1"/>
  <c r="M12" i="2"/>
  <c r="C12" i="4" s="1"/>
  <c r="D12" i="4" s="1"/>
  <c r="K12" i="2"/>
  <c r="B12" i="4" s="1"/>
  <c r="L12" i="2"/>
  <c r="A12" i="4" s="1"/>
  <c r="L422" i="2"/>
  <c r="A422" i="4" s="1"/>
  <c r="M422" i="2"/>
  <c r="C422" i="4" s="1"/>
  <c r="D422" i="4" s="1"/>
  <c r="K422" i="2"/>
  <c r="B422" i="4" s="1"/>
  <c r="K625" i="2"/>
  <c r="B625" i="4" s="1"/>
  <c r="L625" i="2"/>
  <c r="A625" i="4" s="1"/>
  <c r="M625" i="2"/>
  <c r="C625" i="4" s="1"/>
  <c r="D625" i="4" s="1"/>
  <c r="M358" i="2"/>
  <c r="C358" i="4" s="1"/>
  <c r="D358" i="4" s="1"/>
  <c r="K358" i="2"/>
  <c r="B358" i="4" s="1"/>
  <c r="L358" i="2"/>
  <c r="A358" i="4" s="1"/>
  <c r="M594" i="2"/>
  <c r="C594" i="4" s="1"/>
  <c r="D594" i="4" s="1"/>
  <c r="K594" i="2"/>
  <c r="B594" i="4" s="1"/>
  <c r="L594" i="2"/>
  <c r="A594" i="4" s="1"/>
  <c r="L746" i="2"/>
  <c r="A746" i="4" s="1"/>
  <c r="K746" i="2"/>
  <c r="B746" i="4" s="1"/>
  <c r="M746" i="2"/>
  <c r="C746" i="4" s="1"/>
  <c r="D746" i="4" s="1"/>
  <c r="M343" i="2"/>
  <c r="C343" i="4" s="1"/>
  <c r="D343" i="4" s="1"/>
  <c r="L343" i="2"/>
  <c r="A343" i="4" s="1"/>
  <c r="K343" i="2"/>
  <c r="B343" i="4" s="1"/>
  <c r="M582" i="2"/>
  <c r="C582" i="4" s="1"/>
  <c r="D582" i="4" s="1"/>
  <c r="L582" i="2"/>
  <c r="A582" i="4" s="1"/>
  <c r="K582" i="2"/>
  <c r="B582" i="4" s="1"/>
  <c r="K710" i="2"/>
  <c r="B710" i="4" s="1"/>
  <c r="M710" i="2"/>
  <c r="C710" i="4" s="1"/>
  <c r="D710" i="4" s="1"/>
  <c r="L710" i="2"/>
  <c r="A710" i="4" s="1"/>
  <c r="L612" i="2"/>
  <c r="A612" i="4" s="1"/>
  <c r="M612" i="2"/>
  <c r="C612" i="4" s="1"/>
  <c r="D612" i="4" s="1"/>
  <c r="K612" i="2"/>
  <c r="B612" i="4" s="1"/>
  <c r="K675" i="2"/>
  <c r="B675" i="4" s="1"/>
  <c r="L675" i="2"/>
  <c r="A675" i="4" s="1"/>
  <c r="M675" i="2"/>
  <c r="C675" i="4" s="1"/>
  <c r="D675" i="4" s="1"/>
  <c r="K457" i="2"/>
  <c r="B457" i="4" s="1"/>
  <c r="L457" i="2"/>
  <c r="A457" i="4" s="1"/>
  <c r="M457" i="2"/>
  <c r="C457" i="4" s="1"/>
  <c r="D457" i="4" s="1"/>
  <c r="M459" i="2"/>
  <c r="C459" i="4" s="1"/>
  <c r="D459" i="4" s="1"/>
  <c r="L459" i="2"/>
  <c r="A459" i="4" s="1"/>
  <c r="K459" i="2"/>
  <c r="B459" i="4" s="1"/>
  <c r="M492" i="2"/>
  <c r="C492" i="4" s="1"/>
  <c r="D492" i="4" s="1"/>
  <c r="K492" i="2"/>
  <c r="B492" i="4" s="1"/>
  <c r="L492" i="2"/>
  <c r="A492" i="4" s="1"/>
  <c r="M578" i="2"/>
  <c r="C578" i="4" s="1"/>
  <c r="D578" i="4" s="1"/>
  <c r="L578" i="2"/>
  <c r="A578" i="4" s="1"/>
  <c r="K578" i="2"/>
  <c r="B578" i="4" s="1"/>
  <c r="L555" i="2"/>
  <c r="A555" i="4" s="1"/>
  <c r="M555" i="2"/>
  <c r="C555" i="4" s="1"/>
  <c r="D555" i="4" s="1"/>
  <c r="K555" i="2"/>
  <c r="B555" i="4" s="1"/>
  <c r="L494" i="2"/>
  <c r="A494" i="4" s="1"/>
  <c r="K494" i="2"/>
  <c r="B494" i="4" s="1"/>
  <c r="M494" i="2"/>
  <c r="C494" i="4" s="1"/>
  <c r="D494" i="4" s="1"/>
  <c r="M735" i="2"/>
  <c r="C735" i="4" s="1"/>
  <c r="D735" i="4" s="1"/>
  <c r="L735" i="2"/>
  <c r="A735" i="4" s="1"/>
  <c r="K735" i="2"/>
  <c r="B735" i="4" s="1"/>
  <c r="K391" i="2"/>
  <c r="B391" i="4" s="1"/>
  <c r="L391" i="2"/>
  <c r="A391" i="4" s="1"/>
  <c r="M391" i="2"/>
  <c r="C391" i="4" s="1"/>
  <c r="D391" i="4" s="1"/>
  <c r="K362" i="2"/>
  <c r="B362" i="4" s="1"/>
  <c r="L362" i="2"/>
  <c r="A362" i="4" s="1"/>
  <c r="M362" i="2"/>
  <c r="C362" i="4" s="1"/>
  <c r="D362" i="4" s="1"/>
  <c r="K432" i="2"/>
  <c r="B432" i="4" s="1"/>
  <c r="L432" i="2"/>
  <c r="A432" i="4" s="1"/>
  <c r="M432" i="2"/>
  <c r="C432" i="4" s="1"/>
  <c r="D432" i="4" s="1"/>
  <c r="M397" i="2"/>
  <c r="C397" i="4" s="1"/>
  <c r="D397" i="4" s="1"/>
  <c r="L397" i="2"/>
  <c r="A397" i="4" s="1"/>
  <c r="K397" i="2"/>
  <c r="B397" i="4" s="1"/>
  <c r="L632" i="2"/>
  <c r="A632" i="4" s="1"/>
  <c r="M632" i="2"/>
  <c r="C632" i="4" s="1"/>
  <c r="D632" i="4" s="1"/>
  <c r="K632" i="2"/>
  <c r="B632" i="4" s="1"/>
  <c r="M621" i="2"/>
  <c r="C621" i="4" s="1"/>
  <c r="D621" i="4" s="1"/>
  <c r="L621" i="2"/>
  <c r="A621" i="4" s="1"/>
  <c r="K621" i="2"/>
  <c r="B621" i="4" s="1"/>
  <c r="K774" i="2"/>
  <c r="B774" i="4" s="1"/>
  <c r="L774" i="2"/>
  <c r="A774" i="4" s="1"/>
  <c r="M774" i="2"/>
  <c r="C774" i="4" s="1"/>
  <c r="D774" i="4" s="1"/>
  <c r="M638" i="2"/>
  <c r="C638" i="4" s="1"/>
  <c r="D638" i="4" s="1"/>
  <c r="K638" i="2"/>
  <c r="B638" i="4" s="1"/>
  <c r="L638" i="2"/>
  <c r="A638" i="4" s="1"/>
  <c r="M437" i="2"/>
  <c r="C437" i="4" s="1"/>
  <c r="D437" i="4" s="1"/>
  <c r="L437" i="2"/>
  <c r="A437" i="4" s="1"/>
  <c r="K437" i="2"/>
  <c r="B437" i="4" s="1"/>
  <c r="L455" i="2"/>
  <c r="A455" i="4" s="1"/>
  <c r="K455" i="2"/>
  <c r="B455" i="4" s="1"/>
  <c r="M455" i="2"/>
  <c r="C455" i="4" s="1"/>
  <c r="D455" i="4" s="1"/>
  <c r="M521" i="2"/>
  <c r="C521" i="4" s="1"/>
  <c r="D521" i="4" s="1"/>
  <c r="K521" i="2"/>
  <c r="B521" i="4" s="1"/>
  <c r="L521" i="2"/>
  <c r="A521" i="4" s="1"/>
  <c r="L525" i="2"/>
  <c r="A525" i="4" s="1"/>
  <c r="M525" i="2"/>
  <c r="C525" i="4" s="1"/>
  <c r="D525" i="4" s="1"/>
  <c r="K525" i="2"/>
  <c r="B525" i="4" s="1"/>
  <c r="L553" i="2"/>
  <c r="A553" i="4" s="1"/>
  <c r="K553" i="2"/>
  <c r="B553" i="4" s="1"/>
  <c r="M553" i="2"/>
  <c r="C553" i="4" s="1"/>
  <c r="D553" i="4" s="1"/>
  <c r="K696" i="2"/>
  <c r="B696" i="4" s="1"/>
  <c r="M696" i="2"/>
  <c r="C696" i="4" s="1"/>
  <c r="D696" i="4" s="1"/>
  <c r="L696" i="2"/>
  <c r="A696" i="4" s="1"/>
  <c r="M514" i="2"/>
  <c r="C514" i="4" s="1"/>
  <c r="D514" i="4" s="1"/>
  <c r="L514" i="2"/>
  <c r="A514" i="4" s="1"/>
  <c r="K514" i="2"/>
  <c r="B514" i="4" s="1"/>
  <c r="K673" i="2"/>
  <c r="B673" i="4" s="1"/>
  <c r="L673" i="2"/>
  <c r="A673" i="4" s="1"/>
  <c r="M673" i="2"/>
  <c r="C673" i="4" s="1"/>
  <c r="D673" i="4" s="1"/>
  <c r="L440" i="2"/>
  <c r="A440" i="4" s="1"/>
  <c r="K440" i="2"/>
  <c r="B440" i="4" s="1"/>
  <c r="M440" i="2"/>
  <c r="C440" i="4" s="1"/>
  <c r="D440" i="4" s="1"/>
  <c r="L497" i="2"/>
  <c r="A497" i="4" s="1"/>
  <c r="M497" i="2"/>
  <c r="C497" i="4" s="1"/>
  <c r="D497" i="4" s="1"/>
  <c r="K497" i="2"/>
  <c r="B497" i="4" s="1"/>
  <c r="K386" i="2"/>
  <c r="B386" i="4" s="1"/>
  <c r="M386" i="2"/>
  <c r="C386" i="4" s="1"/>
  <c r="D386" i="4" s="1"/>
  <c r="L386" i="2"/>
  <c r="A386" i="4" s="1"/>
  <c r="L502" i="2"/>
  <c r="A502" i="4" s="1"/>
  <c r="M502" i="2"/>
  <c r="C502" i="4" s="1"/>
  <c r="D502" i="4" s="1"/>
  <c r="K502" i="2"/>
  <c r="B502" i="4" s="1"/>
  <c r="M605" i="2"/>
  <c r="C605" i="4" s="1"/>
  <c r="D605" i="4" s="1"/>
  <c r="K605" i="2"/>
  <c r="B605" i="4" s="1"/>
  <c r="L605" i="2"/>
  <c r="A605" i="4" s="1"/>
  <c r="K592" i="2"/>
  <c r="B592" i="4" s="1"/>
  <c r="L592" i="2"/>
  <c r="A592" i="4" s="1"/>
  <c r="M592" i="2"/>
  <c r="C592" i="4" s="1"/>
  <c r="D592" i="4" s="1"/>
  <c r="M669" i="2"/>
  <c r="C669" i="4" s="1"/>
  <c r="D669" i="4" s="1"/>
  <c r="K669" i="2"/>
  <c r="B669" i="4" s="1"/>
  <c r="L669" i="2"/>
  <c r="A669" i="4" s="1"/>
  <c r="M561" i="2"/>
  <c r="C561" i="4" s="1"/>
  <c r="D561" i="4" s="1"/>
  <c r="K561" i="2"/>
  <c r="B561" i="4" s="1"/>
  <c r="L561" i="2"/>
  <c r="A561" i="4" s="1"/>
  <c r="K718" i="2"/>
  <c r="B718" i="4" s="1"/>
  <c r="L718" i="2"/>
  <c r="A718" i="4" s="1"/>
  <c r="M718" i="2"/>
  <c r="C718" i="4" s="1"/>
  <c r="D718" i="4" s="1"/>
  <c r="M534" i="2"/>
  <c r="C534" i="4" s="1"/>
  <c r="D534" i="4" s="1"/>
  <c r="K534" i="2"/>
  <c r="B534" i="4" s="1"/>
  <c r="L534" i="2"/>
  <c r="A534" i="4" s="1"/>
  <c r="L556" i="2"/>
  <c r="A556" i="4" s="1"/>
  <c r="M556" i="2"/>
  <c r="C556" i="4" s="1"/>
  <c r="D556" i="4" s="1"/>
  <c r="K556" i="2"/>
  <c r="B556" i="4" s="1"/>
  <c r="L662" i="2"/>
  <c r="A662" i="4" s="1"/>
  <c r="M662" i="2"/>
  <c r="C662" i="4" s="1"/>
  <c r="D662" i="4" s="1"/>
  <c r="K662" i="2"/>
  <c r="B662" i="4" s="1"/>
  <c r="M619" i="2"/>
  <c r="C619" i="4" s="1"/>
  <c r="D619" i="4" s="1"/>
  <c r="K619" i="2"/>
  <c r="B619" i="4" s="1"/>
  <c r="L619" i="2"/>
  <c r="A619" i="4" s="1"/>
  <c r="K614" i="2"/>
  <c r="B614" i="4" s="1"/>
  <c r="M614" i="2"/>
  <c r="C614" i="4" s="1"/>
  <c r="D614" i="4" s="1"/>
  <c r="L614" i="2"/>
  <c r="A614" i="4" s="1"/>
  <c r="K341" i="2"/>
  <c r="B341" i="4" s="1"/>
  <c r="M341" i="2"/>
  <c r="C341" i="4" s="1"/>
  <c r="D341" i="4" s="1"/>
  <c r="L341" i="2"/>
  <c r="A341" i="4" s="1"/>
  <c r="L623" i="2"/>
  <c r="A623" i="4" s="1"/>
  <c r="K623" i="2"/>
  <c r="B623" i="4" s="1"/>
  <c r="M623" i="2"/>
  <c r="C623" i="4" s="1"/>
  <c r="D623" i="4" s="1"/>
  <c r="K503" i="2"/>
  <c r="B503" i="4" s="1"/>
  <c r="M503" i="2"/>
  <c r="C503" i="4" s="1"/>
  <c r="D503" i="4" s="1"/>
  <c r="L503" i="2"/>
  <c r="A503" i="4" s="1"/>
  <c r="L531" i="2"/>
  <c r="A531" i="4" s="1"/>
  <c r="K531" i="2"/>
  <c r="B531" i="4" s="1"/>
  <c r="M531" i="2"/>
  <c r="C531" i="4" s="1"/>
  <c r="D531" i="4" s="1"/>
  <c r="L395" i="2"/>
  <c r="A395" i="4" s="1"/>
  <c r="M395" i="2"/>
  <c r="C395" i="4" s="1"/>
  <c r="D395" i="4" s="1"/>
  <c r="K395" i="2"/>
  <c r="B395" i="4" s="1"/>
  <c r="L516" i="2"/>
  <c r="A516" i="4" s="1"/>
  <c r="M516" i="2"/>
  <c r="C516" i="4" s="1"/>
  <c r="D516" i="4" s="1"/>
  <c r="K516" i="2"/>
  <c r="B516" i="4" s="1"/>
  <c r="K608" i="2"/>
  <c r="B608" i="4" s="1"/>
  <c r="M608" i="2"/>
  <c r="C608" i="4" s="1"/>
  <c r="D608" i="4" s="1"/>
  <c r="L608" i="2"/>
  <c r="A608" i="4" s="1"/>
  <c r="K7" i="2"/>
  <c r="B7" i="4" s="1"/>
  <c r="L7" i="2"/>
  <c r="A7" i="4" s="1"/>
  <c r="M7" i="2"/>
  <c r="C7" i="4" s="1"/>
  <c r="D7" i="4" s="1"/>
  <c r="L753" i="2"/>
  <c r="A753" i="4" s="1"/>
  <c r="K753" i="2"/>
  <c r="B753" i="4" s="1"/>
  <c r="M753" i="2"/>
  <c r="C753" i="4" s="1"/>
  <c r="D753" i="4" s="1"/>
  <c r="K365" i="2"/>
  <c r="B117" i="4" s="1"/>
  <c r="M365" i="2"/>
  <c r="C117" i="4" s="1"/>
  <c r="D117" i="4" s="1"/>
  <c r="L365" i="2"/>
  <c r="A117" i="4" s="1"/>
  <c r="M613" i="2"/>
  <c r="C613" i="4" s="1"/>
  <c r="D613" i="4" s="1"/>
  <c r="L613" i="2"/>
  <c r="A613" i="4" s="1"/>
  <c r="K613" i="2"/>
  <c r="B613" i="4" s="1"/>
  <c r="M648" i="2"/>
  <c r="C648" i="4" s="1"/>
  <c r="D648" i="4" s="1"/>
  <c r="K648" i="2"/>
  <c r="B648" i="4" s="1"/>
  <c r="L648" i="2"/>
  <c r="A648" i="4" s="1"/>
  <c r="M346" i="2"/>
  <c r="C346" i="4" s="1"/>
  <c r="D346" i="4" s="1"/>
  <c r="K346" i="2"/>
  <c r="B346" i="4" s="1"/>
  <c r="L346" i="2"/>
  <c r="A346" i="4" s="1"/>
  <c r="K538" i="2"/>
  <c r="B538" i="4" s="1"/>
  <c r="L538" i="2"/>
  <c r="A538" i="4" s="1"/>
  <c r="M538" i="2"/>
  <c r="C538" i="4" s="1"/>
  <c r="D538" i="4" s="1"/>
  <c r="K500" i="2"/>
  <c r="B500" i="4" s="1"/>
  <c r="M500" i="2"/>
  <c r="C500" i="4" s="1"/>
  <c r="D500" i="4" s="1"/>
  <c r="L500" i="2"/>
  <c r="A500" i="4" s="1"/>
  <c r="L615" i="2"/>
  <c r="A615" i="4" s="1"/>
  <c r="K615" i="2"/>
  <c r="B615" i="4" s="1"/>
  <c r="M615" i="2"/>
  <c r="C615" i="4" s="1"/>
  <c r="D615" i="4" s="1"/>
  <c r="L364" i="2"/>
  <c r="A364" i="4" s="1"/>
  <c r="K364" i="2"/>
  <c r="B364" i="4" s="1"/>
  <c r="M364" i="2"/>
  <c r="C364" i="4" s="1"/>
  <c r="D364" i="4" s="1"/>
  <c r="L348" i="2"/>
  <c r="A348" i="4" s="1"/>
  <c r="K348" i="2"/>
  <c r="B348" i="4" s="1"/>
  <c r="M348" i="2"/>
  <c r="C348" i="4" s="1"/>
  <c r="D348" i="4" s="1"/>
  <c r="L570" i="2"/>
  <c r="A570" i="4" s="1"/>
  <c r="M570" i="2"/>
  <c r="C570" i="4" s="1"/>
  <c r="D570" i="4" s="1"/>
  <c r="K570" i="2"/>
  <c r="B570" i="4" s="1"/>
  <c r="L611" i="2"/>
  <c r="A611" i="4" s="1"/>
  <c r="M611" i="2"/>
  <c r="C611" i="4" s="1"/>
  <c r="D611" i="4" s="1"/>
  <c r="K611" i="2"/>
  <c r="B611" i="4" s="1"/>
  <c r="L610" i="2"/>
  <c r="A610" i="4" s="1"/>
  <c r="K610" i="2"/>
  <c r="B610" i="4" s="1"/>
  <c r="M610" i="2"/>
  <c r="C610" i="4" s="1"/>
  <c r="D610" i="4" s="1"/>
  <c r="M547" i="2"/>
  <c r="C547" i="4" s="1"/>
  <c r="D547" i="4" s="1"/>
  <c r="K547" i="2"/>
  <c r="B547" i="4" s="1"/>
  <c r="L547" i="2"/>
  <c r="A547" i="4" s="1"/>
  <c r="M496" i="2"/>
  <c r="C496" i="4" s="1"/>
  <c r="D496" i="4" s="1"/>
  <c r="L496" i="2"/>
  <c r="A496" i="4" s="1"/>
  <c r="K496" i="2"/>
  <c r="B496" i="4" s="1"/>
  <c r="L355" i="2"/>
  <c r="A355" i="4" s="1"/>
  <c r="M355" i="2"/>
  <c r="C355" i="4" s="1"/>
  <c r="D355" i="4" s="1"/>
  <c r="K355" i="2"/>
  <c r="B355" i="4" s="1"/>
  <c r="L413" i="2"/>
  <c r="A413" i="4" s="1"/>
  <c r="M413" i="2"/>
  <c r="C413" i="4" s="1"/>
  <c r="D413" i="4" s="1"/>
  <c r="K413" i="2"/>
  <c r="B413" i="4" s="1"/>
  <c r="D276" i="2"/>
  <c r="C276" i="2"/>
  <c r="E276" i="2" s="1"/>
  <c r="M236" i="2"/>
  <c r="C236" i="4" s="1"/>
  <c r="D236" i="4" s="1"/>
  <c r="L236" i="2"/>
  <c r="A236" i="4" s="1"/>
  <c r="K236" i="2"/>
  <c r="B236" i="4" s="1"/>
  <c r="D274" i="2"/>
  <c r="C274" i="2"/>
  <c r="E274" i="2" s="1"/>
  <c r="L233" i="2"/>
  <c r="A233" i="4" s="1"/>
  <c r="M233" i="2"/>
  <c r="C233" i="4" s="1"/>
  <c r="D233" i="4" s="1"/>
  <c r="K233" i="2"/>
  <c r="B233" i="4" s="1"/>
  <c r="L234" i="2"/>
  <c r="A234" i="4" s="1"/>
  <c r="K234" i="2"/>
  <c r="B234" i="4" s="1"/>
  <c r="M234" i="2"/>
  <c r="C234" i="4" s="1"/>
  <c r="D234" i="4" s="1"/>
  <c r="D275" i="2"/>
  <c r="C275" i="2"/>
  <c r="E275" i="2" s="1"/>
  <c r="M235" i="2"/>
  <c r="C235" i="4" s="1"/>
  <c r="D235" i="4" s="1"/>
  <c r="K235" i="2"/>
  <c r="B235" i="4" s="1"/>
  <c r="L235" i="2"/>
  <c r="A235" i="4" s="1"/>
  <c r="C273" i="2"/>
  <c r="E273" i="2" s="1"/>
  <c r="D273" i="2"/>
  <c r="L218" i="2"/>
  <c r="A218" i="4" s="1"/>
  <c r="M218" i="2"/>
  <c r="C218" i="4" s="1"/>
  <c r="D218" i="4" s="1"/>
  <c r="K218" i="2"/>
  <c r="B218" i="4" s="1"/>
  <c r="K220" i="2"/>
  <c r="B220" i="4" s="1"/>
  <c r="M220" i="2"/>
  <c r="C220" i="4" s="1"/>
  <c r="D220" i="4" s="1"/>
  <c r="L220" i="2"/>
  <c r="A220" i="4" s="1"/>
  <c r="M219" i="2"/>
  <c r="C219" i="4" s="1"/>
  <c r="D219" i="4" s="1"/>
  <c r="K219" i="2"/>
  <c r="B219" i="4" s="1"/>
  <c r="L219" i="2"/>
  <c r="A219" i="4" s="1"/>
  <c r="M217" i="2"/>
  <c r="C217" i="4" s="1"/>
  <c r="D217" i="4" s="1"/>
  <c r="K217" i="2"/>
  <c r="B217" i="4" s="1"/>
  <c r="L217" i="2"/>
  <c r="A217" i="4" s="1"/>
  <c r="A88" i="5"/>
  <c r="B88" i="5" s="1"/>
  <c r="C330" i="2" l="1"/>
  <c r="E330" i="2" s="1"/>
  <c r="D330" i="2"/>
  <c r="C323" i="2"/>
  <c r="E323" i="2" s="1"/>
  <c r="D323" i="2"/>
  <c r="D333" i="2"/>
  <c r="C333" i="2"/>
  <c r="E333" i="2" s="1"/>
  <c r="C332" i="2"/>
  <c r="E332" i="2" s="1"/>
  <c r="D332" i="2"/>
  <c r="D319" i="2"/>
  <c r="C319" i="2"/>
  <c r="E319" i="2" s="1"/>
  <c r="D315" i="2"/>
  <c r="C315" i="2"/>
  <c r="E315" i="2" s="1"/>
  <c r="C338" i="2"/>
  <c r="E338" i="2" s="1"/>
  <c r="D338" i="2"/>
  <c r="L299" i="2"/>
  <c r="A299" i="4" s="1"/>
  <c r="M299" i="2"/>
  <c r="C299" i="4" s="1"/>
  <c r="D299" i="4" s="1"/>
  <c r="K299" i="2"/>
  <c r="B299" i="4" s="1"/>
  <c r="M305" i="2"/>
  <c r="C305" i="4" s="1"/>
  <c r="D305" i="4" s="1"/>
  <c r="K305" i="2"/>
  <c r="B305" i="4" s="1"/>
  <c r="L305" i="2"/>
  <c r="A305" i="4" s="1"/>
  <c r="K271" i="2"/>
  <c r="B271" i="4" s="1"/>
  <c r="M271" i="2"/>
  <c r="C271" i="4" s="1"/>
  <c r="D271" i="4" s="1"/>
  <c r="L271" i="2"/>
  <c r="A271" i="4" s="1"/>
  <c r="K297" i="2"/>
  <c r="B297" i="4" s="1"/>
  <c r="L297" i="2"/>
  <c r="A297" i="4" s="1"/>
  <c r="M297" i="2"/>
  <c r="C297" i="4" s="1"/>
  <c r="D297" i="4" s="1"/>
  <c r="M303" i="2"/>
  <c r="C303" i="4" s="1"/>
  <c r="D303" i="4" s="1"/>
  <c r="K303" i="2"/>
  <c r="B303" i="4" s="1"/>
  <c r="L303" i="2"/>
  <c r="A303" i="4" s="1"/>
  <c r="K312" i="2"/>
  <c r="B312" i="4" s="1"/>
  <c r="M312" i="2"/>
  <c r="C312" i="4" s="1"/>
  <c r="D312" i="4" s="1"/>
  <c r="L312" i="2"/>
  <c r="A312" i="4" s="1"/>
  <c r="L258" i="2"/>
  <c r="A258" i="4" s="1"/>
  <c r="M258" i="2"/>
  <c r="C258" i="4" s="1"/>
  <c r="D258" i="4" s="1"/>
  <c r="K258" i="2"/>
  <c r="B258" i="4" s="1"/>
  <c r="K306" i="2"/>
  <c r="B306" i="4" s="1"/>
  <c r="M306" i="2"/>
  <c r="C306" i="4" s="1"/>
  <c r="D306" i="4" s="1"/>
  <c r="L306" i="2"/>
  <c r="A306" i="4" s="1"/>
  <c r="K270" i="2"/>
  <c r="B270" i="4" s="1"/>
  <c r="L270" i="2"/>
  <c r="A270" i="4" s="1"/>
  <c r="M270" i="2"/>
  <c r="C270" i="4" s="1"/>
  <c r="D270" i="4" s="1"/>
  <c r="L291" i="2"/>
  <c r="A291" i="4" s="1"/>
  <c r="K291" i="2"/>
  <c r="B291" i="4" s="1"/>
  <c r="M291" i="2"/>
  <c r="C291" i="4" s="1"/>
  <c r="D291" i="4" s="1"/>
  <c r="L292" i="2"/>
  <c r="A292" i="4" s="1"/>
  <c r="K292" i="2"/>
  <c r="B292" i="4" s="1"/>
  <c r="M292" i="2"/>
  <c r="C292" i="4" s="1"/>
  <c r="D292" i="4" s="1"/>
  <c r="K265" i="2"/>
  <c r="B265" i="4" s="1"/>
  <c r="M265" i="2"/>
  <c r="C265" i="4" s="1"/>
  <c r="D265" i="4" s="1"/>
  <c r="L265" i="2"/>
  <c r="A265" i="4" s="1"/>
  <c r="L310" i="2"/>
  <c r="A310" i="4" s="1"/>
  <c r="K310" i="2"/>
  <c r="B310" i="4" s="1"/>
  <c r="M310" i="2"/>
  <c r="C310" i="4" s="1"/>
  <c r="D310" i="4" s="1"/>
  <c r="K298" i="2"/>
  <c r="B298" i="4" s="1"/>
  <c r="M298" i="2"/>
  <c r="C298" i="4" s="1"/>
  <c r="D298" i="4" s="1"/>
  <c r="L298" i="2"/>
  <c r="A298" i="4" s="1"/>
  <c r="L289" i="2"/>
  <c r="A289" i="4" s="1"/>
  <c r="K289" i="2"/>
  <c r="B289" i="4" s="1"/>
  <c r="M289" i="2"/>
  <c r="C289" i="4" s="1"/>
  <c r="D289" i="4" s="1"/>
  <c r="M279" i="2"/>
  <c r="C279" i="4" s="1"/>
  <c r="D279" i="4" s="1"/>
  <c r="K279" i="2"/>
  <c r="B279" i="4" s="1"/>
  <c r="L279" i="2"/>
  <c r="A279" i="4" s="1"/>
  <c r="M253" i="2"/>
  <c r="C253" i="4" s="1"/>
  <c r="D253" i="4" s="1"/>
  <c r="L253" i="2"/>
  <c r="A253" i="4" s="1"/>
  <c r="K253" i="2"/>
  <c r="B253" i="4" s="1"/>
  <c r="D317" i="2"/>
  <c r="C317" i="2"/>
  <c r="E317" i="2" s="1"/>
  <c r="D336" i="2"/>
  <c r="C336" i="2"/>
  <c r="E336" i="2" s="1"/>
  <c r="C316" i="2"/>
  <c r="E316" i="2" s="1"/>
  <c r="D316" i="2"/>
  <c r="D328" i="2"/>
  <c r="C328" i="2"/>
  <c r="E328" i="2" s="1"/>
  <c r="D337" i="2"/>
  <c r="C337" i="2"/>
  <c r="E337" i="2" s="1"/>
  <c r="C340" i="2"/>
  <c r="E340" i="2" s="1"/>
  <c r="D340" i="2"/>
  <c r="O435" i="2"/>
  <c r="O531" i="2" s="1"/>
  <c r="O627" i="2" s="1"/>
  <c r="O723" i="2" s="1"/>
  <c r="A250" i="2"/>
  <c r="B250" i="2" s="1"/>
  <c r="A245" i="2"/>
  <c r="B245" i="2" s="1"/>
  <c r="A246" i="2"/>
  <c r="B246" i="2" s="1"/>
  <c r="A241" i="2"/>
  <c r="B241" i="2" s="1"/>
  <c r="A238" i="2"/>
  <c r="B238" i="2" s="1"/>
  <c r="A237" i="2"/>
  <c r="B237" i="2" s="1"/>
  <c r="A244" i="2"/>
  <c r="B244" i="2" s="1"/>
  <c r="A243" i="2"/>
  <c r="B243" i="2" s="1"/>
  <c r="A248" i="2"/>
  <c r="B248" i="2" s="1"/>
  <c r="A239" i="2"/>
  <c r="B239" i="2" s="1"/>
  <c r="A251" i="2"/>
  <c r="B251" i="2" s="1"/>
  <c r="A249" i="2"/>
  <c r="B249" i="2" s="1"/>
  <c r="A240" i="2"/>
  <c r="B240" i="2" s="1"/>
  <c r="A242" i="2"/>
  <c r="B242" i="2" s="1"/>
  <c r="A252" i="2"/>
  <c r="B252" i="2" s="1"/>
  <c r="A247" i="2"/>
  <c r="B247" i="2" s="1"/>
  <c r="L301" i="2"/>
  <c r="A301" i="4" s="1"/>
  <c r="K301" i="2"/>
  <c r="B301" i="4" s="1"/>
  <c r="M301" i="2"/>
  <c r="C301" i="4" s="1"/>
  <c r="D301" i="4" s="1"/>
  <c r="M278" i="2"/>
  <c r="C278" i="4" s="1"/>
  <c r="D278" i="4" s="1"/>
  <c r="L278" i="2"/>
  <c r="A278" i="4" s="1"/>
  <c r="K278" i="2"/>
  <c r="B278" i="4" s="1"/>
  <c r="K309" i="2"/>
  <c r="B309" i="4" s="1"/>
  <c r="M309" i="2"/>
  <c r="C309" i="4" s="1"/>
  <c r="D309" i="4" s="1"/>
  <c r="L309" i="2"/>
  <c r="A309" i="4" s="1"/>
  <c r="K255" i="2"/>
  <c r="B255" i="4" s="1"/>
  <c r="L255" i="2"/>
  <c r="A255" i="4" s="1"/>
  <c r="M255" i="2"/>
  <c r="C255" i="4" s="1"/>
  <c r="D255" i="4" s="1"/>
  <c r="K293" i="2"/>
  <c r="B293" i="4" s="1"/>
  <c r="M293" i="2"/>
  <c r="C293" i="4" s="1"/>
  <c r="D293" i="4" s="1"/>
  <c r="L293" i="2"/>
  <c r="A293" i="4" s="1"/>
  <c r="L287" i="2"/>
  <c r="A287" i="4" s="1"/>
  <c r="K287" i="2"/>
  <c r="B287" i="4" s="1"/>
  <c r="M287" i="2"/>
  <c r="C287" i="4" s="1"/>
  <c r="D287" i="4" s="1"/>
  <c r="K290" i="2"/>
  <c r="B290" i="4" s="1"/>
  <c r="M290" i="2"/>
  <c r="C290" i="4" s="1"/>
  <c r="D290" i="4" s="1"/>
  <c r="L290" i="2"/>
  <c r="A290" i="4" s="1"/>
  <c r="K266" i="2"/>
  <c r="B266" i="4" s="1"/>
  <c r="L266" i="2"/>
  <c r="A266" i="4" s="1"/>
  <c r="M266" i="2"/>
  <c r="C266" i="4" s="1"/>
  <c r="D266" i="4" s="1"/>
  <c r="K272" i="2"/>
  <c r="B272" i="4" s="1"/>
  <c r="L272" i="2"/>
  <c r="A272" i="4" s="1"/>
  <c r="M272" i="2"/>
  <c r="C272" i="4" s="1"/>
  <c r="D272" i="4" s="1"/>
  <c r="M294" i="2"/>
  <c r="C294" i="4" s="1"/>
  <c r="D294" i="4" s="1"/>
  <c r="L294" i="2"/>
  <c r="A294" i="4" s="1"/>
  <c r="K294" i="2"/>
  <c r="B294" i="4" s="1"/>
  <c r="K280" i="2"/>
  <c r="B280" i="4" s="1"/>
  <c r="L280" i="2"/>
  <c r="A280" i="4" s="1"/>
  <c r="M280" i="2"/>
  <c r="C280" i="4" s="1"/>
  <c r="D280" i="4" s="1"/>
  <c r="L257" i="2"/>
  <c r="A249" i="4" s="1"/>
  <c r="M257" i="2"/>
  <c r="C249" i="4" s="1"/>
  <c r="D249" i="4" s="1"/>
  <c r="K257" i="2"/>
  <c r="B249" i="4" s="1"/>
  <c r="L254" i="2"/>
  <c r="A254" i="4" s="1"/>
  <c r="K254" i="2"/>
  <c r="B254" i="4" s="1"/>
  <c r="M254" i="2"/>
  <c r="C254" i="4" s="1"/>
  <c r="D254" i="4" s="1"/>
  <c r="L282" i="2"/>
  <c r="A282" i="4" s="1"/>
  <c r="K282" i="2"/>
  <c r="B282" i="4" s="1"/>
  <c r="M282" i="2"/>
  <c r="C282" i="4" s="1"/>
  <c r="D282" i="4" s="1"/>
  <c r="K267" i="2"/>
  <c r="B267" i="4" s="1"/>
  <c r="L267" i="2"/>
  <c r="A267" i="4" s="1"/>
  <c r="M267" i="2"/>
  <c r="C267" i="4" s="1"/>
  <c r="D267" i="4" s="1"/>
  <c r="D329" i="2"/>
  <c r="C329" i="2"/>
  <c r="E329" i="2" s="1"/>
  <c r="C320" i="2"/>
  <c r="E320" i="2" s="1"/>
  <c r="D320" i="2"/>
  <c r="D331" i="2"/>
  <c r="C331" i="2"/>
  <c r="E331" i="2" s="1"/>
  <c r="D314" i="2"/>
  <c r="C314" i="2"/>
  <c r="E314" i="2" s="1"/>
  <c r="C321" i="2"/>
  <c r="E321" i="2" s="1"/>
  <c r="D321" i="2"/>
  <c r="C335" i="2"/>
  <c r="E335" i="2" s="1"/>
  <c r="D335" i="2"/>
  <c r="D327" i="2"/>
  <c r="C327" i="2"/>
  <c r="E327" i="2" s="1"/>
  <c r="D313" i="2"/>
  <c r="C313" i="2"/>
  <c r="E313" i="2" s="1"/>
  <c r="M311" i="2"/>
  <c r="C311" i="4" s="1"/>
  <c r="D311" i="4" s="1"/>
  <c r="L311" i="2"/>
  <c r="A311" i="4" s="1"/>
  <c r="K311" i="2"/>
  <c r="B311" i="4" s="1"/>
  <c r="L263" i="2"/>
  <c r="A263" i="4" s="1"/>
  <c r="K263" i="2"/>
  <c r="B263" i="4" s="1"/>
  <c r="M263" i="2"/>
  <c r="C263" i="4" s="1"/>
  <c r="D263" i="4" s="1"/>
  <c r="M295" i="2"/>
  <c r="C295" i="4" s="1"/>
  <c r="D295" i="4" s="1"/>
  <c r="K295" i="2"/>
  <c r="B295" i="4" s="1"/>
  <c r="L295" i="2"/>
  <c r="A295" i="4" s="1"/>
  <c r="L304" i="2"/>
  <c r="A304" i="4" s="1"/>
  <c r="M304" i="2"/>
  <c r="C304" i="4" s="1"/>
  <c r="D304" i="4" s="1"/>
  <c r="K304" i="2"/>
  <c r="B304" i="4" s="1"/>
  <c r="K288" i="2"/>
  <c r="B288" i="4" s="1"/>
  <c r="M288" i="2"/>
  <c r="C288" i="4" s="1"/>
  <c r="D288" i="4" s="1"/>
  <c r="L288" i="2"/>
  <c r="A288" i="4" s="1"/>
  <c r="M286" i="2"/>
  <c r="C286" i="4" s="1"/>
  <c r="D286" i="4" s="1"/>
  <c r="L286" i="2"/>
  <c r="A286" i="4" s="1"/>
  <c r="K286" i="2"/>
  <c r="B286" i="4" s="1"/>
  <c r="L256" i="2"/>
  <c r="A256" i="4" s="1"/>
  <c r="K256" i="2"/>
  <c r="B256" i="4" s="1"/>
  <c r="M256" i="2"/>
  <c r="C256" i="4" s="1"/>
  <c r="D256" i="4" s="1"/>
  <c r="M300" i="2"/>
  <c r="C300" i="4" s="1"/>
  <c r="D300" i="4" s="1"/>
  <c r="K300" i="2"/>
  <c r="B300" i="4" s="1"/>
  <c r="L300" i="2"/>
  <c r="A300" i="4" s="1"/>
  <c r="L284" i="2"/>
  <c r="A284" i="4" s="1"/>
  <c r="K284" i="2"/>
  <c r="B284" i="4" s="1"/>
  <c r="M284" i="2"/>
  <c r="C284" i="4" s="1"/>
  <c r="D284" i="4" s="1"/>
  <c r="M262" i="2"/>
  <c r="C262" i="4" s="1"/>
  <c r="D262" i="4" s="1"/>
  <c r="K262" i="2"/>
  <c r="B262" i="4" s="1"/>
  <c r="L262" i="2"/>
  <c r="A262" i="4" s="1"/>
  <c r="L261" i="2"/>
  <c r="A261" i="4" s="1"/>
  <c r="K261" i="2"/>
  <c r="B261" i="4" s="1"/>
  <c r="M261" i="2"/>
  <c r="C261" i="4" s="1"/>
  <c r="D261" i="4" s="1"/>
  <c r="C339" i="2"/>
  <c r="E339" i="2" s="1"/>
  <c r="D339" i="2"/>
  <c r="D325" i="2"/>
  <c r="C325" i="2"/>
  <c r="E325" i="2" s="1"/>
  <c r="C326" i="2"/>
  <c r="E326" i="2" s="1"/>
  <c r="D326" i="2"/>
  <c r="D318" i="2"/>
  <c r="C318" i="2"/>
  <c r="E318" i="2" s="1"/>
  <c r="D322" i="2"/>
  <c r="C322" i="2"/>
  <c r="E322" i="2" s="1"/>
  <c r="C324" i="2"/>
  <c r="E324" i="2" s="1"/>
  <c r="D324" i="2"/>
  <c r="C334" i="2"/>
  <c r="E334" i="2" s="1"/>
  <c r="D334" i="2"/>
  <c r="M308" i="2"/>
  <c r="C308" i="4" s="1"/>
  <c r="D308" i="4" s="1"/>
  <c r="L308" i="2"/>
  <c r="A308" i="4" s="1"/>
  <c r="K308" i="2"/>
  <c r="B308" i="4" s="1"/>
  <c r="L268" i="2"/>
  <c r="A268" i="4" s="1"/>
  <c r="K268" i="2"/>
  <c r="B268" i="4" s="1"/>
  <c r="M268" i="2"/>
  <c r="C268" i="4" s="1"/>
  <c r="D268" i="4" s="1"/>
  <c r="M259" i="2"/>
  <c r="C259" i="4" s="1"/>
  <c r="D259" i="4" s="1"/>
  <c r="L259" i="2"/>
  <c r="A259" i="4" s="1"/>
  <c r="K259" i="2"/>
  <c r="B259" i="4" s="1"/>
  <c r="M285" i="2"/>
  <c r="C285" i="4" s="1"/>
  <c r="D285" i="4" s="1"/>
  <c r="K285" i="2"/>
  <c r="B285" i="4" s="1"/>
  <c r="L285" i="2"/>
  <c r="A285" i="4" s="1"/>
  <c r="L260" i="2"/>
  <c r="A260" i="4" s="1"/>
  <c r="M260" i="2"/>
  <c r="C260" i="4" s="1"/>
  <c r="D260" i="4" s="1"/>
  <c r="K260" i="2"/>
  <c r="B260" i="4" s="1"/>
  <c r="K281" i="2"/>
  <c r="B281" i="4" s="1"/>
  <c r="M281" i="2"/>
  <c r="C281" i="4" s="1"/>
  <c r="D281" i="4" s="1"/>
  <c r="L281" i="2"/>
  <c r="A281" i="4" s="1"/>
  <c r="L264" i="2"/>
  <c r="A264" i="4" s="1"/>
  <c r="M264" i="2"/>
  <c r="C264" i="4" s="1"/>
  <c r="D264" i="4" s="1"/>
  <c r="K264" i="2"/>
  <c r="B264" i="4" s="1"/>
  <c r="K283" i="2"/>
  <c r="B283" i="4" s="1"/>
  <c r="L283" i="2"/>
  <c r="A283" i="4" s="1"/>
  <c r="M283" i="2"/>
  <c r="C283" i="4" s="1"/>
  <c r="D283" i="4" s="1"/>
  <c r="K302" i="2"/>
  <c r="B302" i="4" s="1"/>
  <c r="L302" i="2"/>
  <c r="A302" i="4" s="1"/>
  <c r="M302" i="2"/>
  <c r="C302" i="4" s="1"/>
  <c r="D302" i="4" s="1"/>
  <c r="K307" i="2"/>
  <c r="B307" i="4" s="1"/>
  <c r="M307" i="2"/>
  <c r="C307" i="4" s="1"/>
  <c r="D307" i="4" s="1"/>
  <c r="L307" i="2"/>
  <c r="A307" i="4" s="1"/>
  <c r="K277" i="2"/>
  <c r="B277" i="4" s="1"/>
  <c r="M277" i="2"/>
  <c r="C277" i="4" s="1"/>
  <c r="D277" i="4" s="1"/>
  <c r="L277" i="2"/>
  <c r="A277" i="4" s="1"/>
  <c r="M296" i="2"/>
  <c r="C296" i="4" s="1"/>
  <c r="D296" i="4" s="1"/>
  <c r="K296" i="2"/>
  <c r="B296" i="4" s="1"/>
  <c r="L296" i="2"/>
  <c r="A296" i="4" s="1"/>
  <c r="L269" i="2"/>
  <c r="A269" i="4" s="1"/>
  <c r="M269" i="2"/>
  <c r="C269" i="4" s="1"/>
  <c r="D269" i="4" s="1"/>
  <c r="K269" i="2"/>
  <c r="B269" i="4" s="1"/>
  <c r="M275" i="2"/>
  <c r="C275" i="4" s="1"/>
  <c r="D275" i="4" s="1"/>
  <c r="K275" i="2"/>
  <c r="B275" i="4" s="1"/>
  <c r="L275" i="2"/>
  <c r="A275" i="4" s="1"/>
  <c r="L274" i="2"/>
  <c r="A274" i="4" s="1"/>
  <c r="K274" i="2"/>
  <c r="B274" i="4" s="1"/>
  <c r="M274" i="2"/>
  <c r="C274" i="4" s="1"/>
  <c r="D274" i="4" s="1"/>
  <c r="L276" i="2"/>
  <c r="A276" i="4" s="1"/>
  <c r="K276" i="2"/>
  <c r="B276" i="4" s="1"/>
  <c r="M276" i="2"/>
  <c r="C276" i="4" s="1"/>
  <c r="D276" i="4" s="1"/>
  <c r="M273" i="2"/>
  <c r="C273" i="4" s="1"/>
  <c r="D273" i="4" s="1"/>
  <c r="K273" i="2"/>
  <c r="B273" i="4" s="1"/>
  <c r="L273" i="2"/>
  <c r="A273" i="4" s="1"/>
  <c r="A89" i="5"/>
  <c r="B89" i="5" s="1"/>
  <c r="M325" i="2" l="1"/>
  <c r="C325" i="4" s="1"/>
  <c r="D325" i="4" s="1"/>
  <c r="L325" i="2"/>
  <c r="A325" i="4" s="1"/>
  <c r="K325" i="2"/>
  <c r="B325" i="4" s="1"/>
  <c r="D237" i="2"/>
  <c r="C237" i="2"/>
  <c r="E237" i="2" s="1"/>
  <c r="D245" i="2"/>
  <c r="C245" i="2"/>
  <c r="E245" i="2" s="1"/>
  <c r="K340" i="2"/>
  <c r="B340" i="4" s="1"/>
  <c r="M340" i="2"/>
  <c r="C340" i="4" s="1"/>
  <c r="D340" i="4" s="1"/>
  <c r="L340" i="2"/>
  <c r="A340" i="4" s="1"/>
  <c r="K318" i="2"/>
  <c r="B318" i="4" s="1"/>
  <c r="L318" i="2"/>
  <c r="A318" i="4" s="1"/>
  <c r="M318" i="2"/>
  <c r="C318" i="4" s="1"/>
  <c r="D318" i="4" s="1"/>
  <c r="L321" i="2"/>
  <c r="A321" i="4" s="1"/>
  <c r="M321" i="2"/>
  <c r="C321" i="4" s="1"/>
  <c r="D321" i="4" s="1"/>
  <c r="K321" i="2"/>
  <c r="B321" i="4" s="1"/>
  <c r="D242" i="2"/>
  <c r="C242" i="2"/>
  <c r="E242" i="2" s="1"/>
  <c r="L315" i="2"/>
  <c r="A315" i="4" s="1"/>
  <c r="K315" i="2"/>
  <c r="B315" i="4" s="1"/>
  <c r="M315" i="2"/>
  <c r="C315" i="4" s="1"/>
  <c r="D315" i="4" s="1"/>
  <c r="L324" i="2"/>
  <c r="A324" i="4" s="1"/>
  <c r="M324" i="2"/>
  <c r="C324" i="4" s="1"/>
  <c r="D324" i="4" s="1"/>
  <c r="K324" i="2"/>
  <c r="B324" i="4" s="1"/>
  <c r="K313" i="2"/>
  <c r="B313" i="4" s="1"/>
  <c r="M313" i="2"/>
  <c r="C313" i="4" s="1"/>
  <c r="D313" i="4" s="1"/>
  <c r="L313" i="2"/>
  <c r="A313" i="4" s="1"/>
  <c r="M314" i="2"/>
  <c r="C314" i="4" s="1"/>
  <c r="D314" i="4" s="1"/>
  <c r="L314" i="2"/>
  <c r="A314" i="4" s="1"/>
  <c r="K314" i="2"/>
  <c r="B314" i="4" s="1"/>
  <c r="D240" i="2"/>
  <c r="C240" i="2"/>
  <c r="E240" i="2" s="1"/>
  <c r="D248" i="2"/>
  <c r="C248" i="2"/>
  <c r="E248" i="2" s="1"/>
  <c r="D238" i="2"/>
  <c r="C238" i="2"/>
  <c r="E238" i="2" s="1"/>
  <c r="C250" i="2"/>
  <c r="E250" i="2" s="1"/>
  <c r="D250" i="2"/>
  <c r="K337" i="2"/>
  <c r="B337" i="4" s="1"/>
  <c r="L337" i="2"/>
  <c r="A337" i="4" s="1"/>
  <c r="M337" i="2"/>
  <c r="C337" i="4" s="1"/>
  <c r="D337" i="4" s="1"/>
  <c r="K317" i="2"/>
  <c r="B317" i="4" s="1"/>
  <c r="M317" i="2"/>
  <c r="C317" i="4" s="1"/>
  <c r="D317" i="4" s="1"/>
  <c r="L317" i="2"/>
  <c r="A317" i="4" s="1"/>
  <c r="L332" i="2"/>
  <c r="A332" i="4" s="1"/>
  <c r="M332" i="2"/>
  <c r="C332" i="4" s="1"/>
  <c r="D332" i="4" s="1"/>
  <c r="K332" i="2"/>
  <c r="B332" i="4" s="1"/>
  <c r="K323" i="2"/>
  <c r="B323" i="4" s="1"/>
  <c r="L323" i="2"/>
  <c r="A323" i="4" s="1"/>
  <c r="M323" i="2"/>
  <c r="C323" i="4" s="1"/>
  <c r="D323" i="4" s="1"/>
  <c r="D239" i="2"/>
  <c r="C239" i="2"/>
  <c r="E239" i="2" s="1"/>
  <c r="M322" i="2"/>
  <c r="C322" i="4" s="1"/>
  <c r="D322" i="4" s="1"/>
  <c r="K322" i="2"/>
  <c r="B322" i="4" s="1"/>
  <c r="L322" i="2"/>
  <c r="A322" i="4" s="1"/>
  <c r="K335" i="2"/>
  <c r="B335" i="4" s="1"/>
  <c r="M335" i="2"/>
  <c r="C335" i="4" s="1"/>
  <c r="D335" i="4" s="1"/>
  <c r="L335" i="2"/>
  <c r="A335" i="4" s="1"/>
  <c r="K320" i="2"/>
  <c r="B320" i="4" s="1"/>
  <c r="L320" i="2"/>
  <c r="A320" i="4" s="1"/>
  <c r="M320" i="2"/>
  <c r="C320" i="4" s="1"/>
  <c r="D320" i="4" s="1"/>
  <c r="C247" i="2"/>
  <c r="E247" i="2" s="1"/>
  <c r="D247" i="2"/>
  <c r="C249" i="2"/>
  <c r="E249" i="2" s="1"/>
  <c r="D249" i="2"/>
  <c r="D243" i="2"/>
  <c r="C243" i="2"/>
  <c r="E243" i="2" s="1"/>
  <c r="C241" i="2"/>
  <c r="E241" i="2" s="1"/>
  <c r="D241" i="2"/>
  <c r="K316" i="2"/>
  <c r="B316" i="4" s="1"/>
  <c r="M316" i="2"/>
  <c r="C316" i="4" s="1"/>
  <c r="D316" i="4" s="1"/>
  <c r="L316" i="2"/>
  <c r="A316" i="4" s="1"/>
  <c r="L319" i="2"/>
  <c r="A319" i="4" s="1"/>
  <c r="K319" i="2"/>
  <c r="B319" i="4" s="1"/>
  <c r="M319" i="2"/>
  <c r="C319" i="4" s="1"/>
  <c r="D319" i="4" s="1"/>
  <c r="M333" i="2"/>
  <c r="C333" i="4" s="1"/>
  <c r="D333" i="4" s="1"/>
  <c r="K333" i="2"/>
  <c r="B333" i="4" s="1"/>
  <c r="L333" i="2"/>
  <c r="A333" i="4" s="1"/>
  <c r="L334" i="2"/>
  <c r="A334" i="4" s="1"/>
  <c r="M334" i="2"/>
  <c r="C334" i="4" s="1"/>
  <c r="D334" i="4" s="1"/>
  <c r="K334" i="2"/>
  <c r="B334" i="4" s="1"/>
  <c r="L326" i="2"/>
  <c r="A326" i="4" s="1"/>
  <c r="K326" i="2"/>
  <c r="B326" i="4" s="1"/>
  <c r="M326" i="2"/>
  <c r="C326" i="4" s="1"/>
  <c r="D326" i="4" s="1"/>
  <c r="K339" i="2"/>
  <c r="B339" i="4" s="1"/>
  <c r="M339" i="2"/>
  <c r="C339" i="4" s="1"/>
  <c r="D339" i="4" s="1"/>
  <c r="L339" i="2"/>
  <c r="A339" i="4" s="1"/>
  <c r="M327" i="2"/>
  <c r="C327" i="4" s="1"/>
  <c r="D327" i="4" s="1"/>
  <c r="K327" i="2"/>
  <c r="B327" i="4" s="1"/>
  <c r="L327" i="2"/>
  <c r="A327" i="4" s="1"/>
  <c r="L331" i="2"/>
  <c r="A331" i="4" s="1"/>
  <c r="M331" i="2"/>
  <c r="C331" i="4" s="1"/>
  <c r="D331" i="4" s="1"/>
  <c r="K331" i="2"/>
  <c r="B331" i="4" s="1"/>
  <c r="M329" i="2"/>
  <c r="C329" i="4" s="1"/>
  <c r="D329" i="4" s="1"/>
  <c r="L329" i="2"/>
  <c r="A329" i="4" s="1"/>
  <c r="K329" i="2"/>
  <c r="B329" i="4" s="1"/>
  <c r="C252" i="2"/>
  <c r="E252" i="2" s="1"/>
  <c r="D252" i="2"/>
  <c r="C251" i="2"/>
  <c r="E251" i="2" s="1"/>
  <c r="D251" i="2"/>
  <c r="D244" i="2"/>
  <c r="C244" i="2"/>
  <c r="E244" i="2" s="1"/>
  <c r="D246" i="2"/>
  <c r="C246" i="2"/>
  <c r="E246" i="2" s="1"/>
  <c r="L328" i="2"/>
  <c r="A328" i="4" s="1"/>
  <c r="M328" i="2"/>
  <c r="C328" i="4" s="1"/>
  <c r="D328" i="4" s="1"/>
  <c r="K328" i="2"/>
  <c r="B328" i="4" s="1"/>
  <c r="L336" i="2"/>
  <c r="A336" i="4" s="1"/>
  <c r="K336" i="2"/>
  <c r="B336" i="4" s="1"/>
  <c r="M336" i="2"/>
  <c r="C336" i="4" s="1"/>
  <c r="D336" i="4" s="1"/>
  <c r="M338" i="2"/>
  <c r="C338" i="4" s="1"/>
  <c r="D338" i="4" s="1"/>
  <c r="K338" i="2"/>
  <c r="B338" i="4" s="1"/>
  <c r="L338" i="2"/>
  <c r="A338" i="4" s="1"/>
  <c r="M330" i="2"/>
  <c r="C330" i="4" s="1"/>
  <c r="D330" i="4" s="1"/>
  <c r="K330" i="2"/>
  <c r="B330" i="4" s="1"/>
  <c r="L330" i="2"/>
  <c r="A330" i="4" s="1"/>
  <c r="A90" i="5"/>
  <c r="B90" i="5" s="1"/>
  <c r="L241" i="2" l="1"/>
  <c r="A237" i="4" s="1"/>
  <c r="M241" i="2"/>
  <c r="C237" i="4" s="1"/>
  <c r="D237" i="4" s="1"/>
  <c r="K241" i="2"/>
  <c r="B237" i="4" s="1"/>
  <c r="K249" i="2"/>
  <c r="B361" i="4" s="1"/>
  <c r="M249" i="2"/>
  <c r="C361" i="4" s="1"/>
  <c r="D361" i="4" s="1"/>
  <c r="L249" i="2"/>
  <c r="A361" i="4" s="1"/>
  <c r="K239" i="2"/>
  <c r="B239" i="4" s="1"/>
  <c r="L239" i="2"/>
  <c r="A239" i="4" s="1"/>
  <c r="M239" i="2"/>
  <c r="C239" i="4" s="1"/>
  <c r="D239" i="4" s="1"/>
  <c r="M238" i="2"/>
  <c r="C238" i="4" s="1"/>
  <c r="D238" i="4" s="1"/>
  <c r="K238" i="2"/>
  <c r="B238" i="4" s="1"/>
  <c r="L238" i="2"/>
  <c r="A238" i="4" s="1"/>
  <c r="K240" i="2"/>
  <c r="B240" i="4" s="1"/>
  <c r="M240" i="2"/>
  <c r="C240" i="4" s="1"/>
  <c r="D240" i="4" s="1"/>
  <c r="L240" i="2"/>
  <c r="A240" i="4" s="1"/>
  <c r="L251" i="2"/>
  <c r="A251" i="4" s="1"/>
  <c r="M251" i="2"/>
  <c r="C251" i="4" s="1"/>
  <c r="D251" i="4" s="1"/>
  <c r="K251" i="2"/>
  <c r="B251" i="4" s="1"/>
  <c r="M245" i="2"/>
  <c r="C245" i="4" s="1"/>
  <c r="D245" i="4" s="1"/>
  <c r="K245" i="2"/>
  <c r="B245" i="4" s="1"/>
  <c r="L245" i="2"/>
  <c r="A245" i="4" s="1"/>
  <c r="M246" i="2"/>
  <c r="C246" i="4" s="1"/>
  <c r="D246" i="4" s="1"/>
  <c r="L246" i="2"/>
  <c r="A246" i="4" s="1"/>
  <c r="K246" i="2"/>
  <c r="B246" i="4" s="1"/>
  <c r="M243" i="2"/>
  <c r="C243" i="4" s="1"/>
  <c r="D243" i="4" s="1"/>
  <c r="K243" i="2"/>
  <c r="B243" i="4" s="1"/>
  <c r="L243" i="2"/>
  <c r="A243" i="4" s="1"/>
  <c r="M244" i="2"/>
  <c r="C244" i="4" s="1"/>
  <c r="D244" i="4" s="1"/>
  <c r="L244" i="2"/>
  <c r="A244" i="4" s="1"/>
  <c r="K244" i="2"/>
  <c r="B244" i="4" s="1"/>
  <c r="K247" i="2"/>
  <c r="B247" i="4" s="1"/>
  <c r="L247" i="2"/>
  <c r="A247" i="4" s="1"/>
  <c r="M247" i="2"/>
  <c r="C247" i="4" s="1"/>
  <c r="D247" i="4" s="1"/>
  <c r="L248" i="2"/>
  <c r="A248" i="4" s="1"/>
  <c r="M248" i="2"/>
  <c r="C248" i="4" s="1"/>
  <c r="D248" i="4" s="1"/>
  <c r="K248" i="2"/>
  <c r="B248" i="4" s="1"/>
  <c r="M242" i="2"/>
  <c r="C242" i="4" s="1"/>
  <c r="D242" i="4" s="1"/>
  <c r="K242" i="2"/>
  <c r="B242" i="4" s="1"/>
  <c r="L242" i="2"/>
  <c r="A242" i="4" s="1"/>
  <c r="M252" i="2"/>
  <c r="C252" i="4" s="1"/>
  <c r="D252" i="4" s="1"/>
  <c r="K252" i="2"/>
  <c r="B252" i="4" s="1"/>
  <c r="L252" i="2"/>
  <c r="A252" i="4" s="1"/>
  <c r="M250" i="2"/>
  <c r="C250" i="4" s="1"/>
  <c r="D250" i="4" s="1"/>
  <c r="L250" i="2"/>
  <c r="A250" i="4" s="1"/>
  <c r="K250" i="2"/>
  <c r="B250" i="4" s="1"/>
  <c r="M237" i="2"/>
  <c r="C241" i="4" s="1"/>
  <c r="D241" i="4" s="1"/>
  <c r="K237" i="2"/>
  <c r="B241" i="4" s="1"/>
  <c r="L237" i="2"/>
  <c r="A241" i="4" s="1"/>
  <c r="A91" i="5"/>
  <c r="B91" i="5" s="1"/>
  <c r="A92" i="5" l="1"/>
  <c r="B92" i="5" s="1"/>
  <c r="A93" i="5" l="1"/>
  <c r="B93" i="5" s="1"/>
  <c r="A94" i="5" l="1"/>
  <c r="B94" i="5" s="1"/>
  <c r="A95" i="5" l="1"/>
  <c r="B95" i="5" s="1"/>
  <c r="A96" i="5" l="1"/>
  <c r="B96" i="5" s="1"/>
  <c r="A97" i="5" l="1"/>
  <c r="B97" i="5" l="1"/>
  <c r="A98" i="5"/>
  <c r="B98" i="5" s="1"/>
</calcChain>
</file>

<file path=xl/sharedStrings.xml><?xml version="1.0" encoding="utf-8"?>
<sst xmlns="http://schemas.openxmlformats.org/spreadsheetml/2006/main" count="62" uniqueCount="43">
  <si>
    <t>YouWant?</t>
  </si>
  <si>
    <t>Value</t>
  </si>
  <si>
    <t>Index</t>
  </si>
  <si>
    <t>Visible%</t>
  </si>
  <si>
    <t>Adore%</t>
  </si>
  <si>
    <t>Filter</t>
  </si>
  <si>
    <t>Key</t>
  </si>
  <si>
    <t>2) C4) Set the precision, margin that makes the calculated value shown in column C.</t>
  </si>
  <si>
    <t>3) D4) Set the precision, margin that makes the calculated value adored [nice] in column D.</t>
  </si>
  <si>
    <t>Done.</t>
  </si>
  <si>
    <t>The manual.</t>
  </si>
  <si>
    <t>4) A4) Request a value to be calculated.</t>
  </si>
  <si>
    <t>5) E4) [Optional] Set the automated filter to enabled=TRUE or disabled=FALSE.</t>
  </si>
  <si>
    <t>MaxErr%</t>
  </si>
  <si>
    <t>Prec%</t>
  </si>
  <si>
    <t>CombKey</t>
  </si>
  <si>
    <t>CombVal</t>
  </si>
  <si>
    <t>Error%</t>
  </si>
  <si>
    <t>CombErr%</t>
  </si>
  <si>
    <t>1) B4) Select a range, E96n=1, E48n=2, E24x=3, E24n=4, E12n=5 or E6n=6 (note: E24x is selected from E48).</t>
  </si>
  <si>
    <t>E96n</t>
  </si>
  <si>
    <t>E48n</t>
  </si>
  <si>
    <t>E24x</t>
  </si>
  <si>
    <t>E24n</t>
  </si>
  <si>
    <t>E12n</t>
  </si>
  <si>
    <t>E6n</t>
  </si>
  <si>
    <t>Value?</t>
  </si>
  <si>
    <t>Select E[&lt;range&gt;] 1…6</t>
  </si>
  <si>
    <t>E&lt;x&gt;</t>
  </si>
  <si>
    <t>Mult</t>
  </si>
  <si>
    <t>Calc</t>
  </si>
  <si>
    <t>Shift</t>
  </si>
  <si>
    <t>Fix</t>
  </si>
  <si>
    <t>Margin*</t>
  </si>
  <si>
    <t>B</t>
  </si>
  <si>
    <t>D</t>
  </si>
  <si>
    <t>F</t>
  </si>
  <si>
    <t>I</t>
  </si>
  <si>
    <t>K</t>
  </si>
  <si>
    <t>M</t>
  </si>
  <si>
    <t>Par</t>
  </si>
  <si>
    <t>Ser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</si>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</sst>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24"/>
      <color theme="7" tint="0.59999389629810485"/>
      <name val="Calibri"/>
      <family val="2"/>
      <scheme val="minor"/>
    </font>
    <font>
      <sz val="12"/>
      <color theme="7" tint="0.5999938962981048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7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color rgb="FF00B05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C99"/>
        <bgColor indexed="64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</cellStyleXfs>
  <cellXfs count="169">
    <xf numFmtId="0" fontId="0" fillId="0" borderId="0" xfId="0"/>
    <xf numFmtId="164" fontId="5" fillId="5" borderId="4" xfId="0" applyNumberFormat="1" applyFont="1" applyFill="1" applyBorder="1" applyAlignment="1">
      <alignment horizontal="right" indent="1"/>
    </xf>
    <xf numFmtId="2" fontId="5" fillId="5" borderId="4" xfId="3" applyNumberFormat="1" applyFont="1" applyFill="1" applyBorder="1" applyAlignment="1">
      <alignment horizontal="right" indent="1"/>
    </xf>
    <xf numFmtId="0" fontId="5" fillId="5" borderId="4" xfId="0" applyFont="1" applyFill="1" applyBorder="1" applyAlignment="1">
      <alignment horizontal="right" indent="1"/>
    </xf>
    <xf numFmtId="0" fontId="8" fillId="0" borderId="5" xfId="0" applyFont="1" applyBorder="1" applyAlignment="1">
      <alignment horizontal="left" indent="1"/>
    </xf>
    <xf numFmtId="0" fontId="9" fillId="6" borderId="3" xfId="0" applyFont="1" applyFill="1" applyBorder="1" applyAlignment="1">
      <alignment horizontal="right" indent="1"/>
    </xf>
    <xf numFmtId="2" fontId="9" fillId="6" borderId="5" xfId="0" applyNumberFormat="1" applyFont="1" applyFill="1" applyBorder="1" applyAlignment="1">
      <alignment horizontal="right" indent="1"/>
    </xf>
    <xf numFmtId="0" fontId="2" fillId="2" borderId="1" xfId="1" applyFont="1" applyBorder="1" applyAlignment="1">
      <alignment horizontal="right" indent="1"/>
    </xf>
    <xf numFmtId="2" fontId="2" fillId="2" borderId="1" xfId="1" applyNumberFormat="1" applyFont="1" applyBorder="1" applyAlignment="1">
      <alignment horizontal="right" indent="1"/>
    </xf>
    <xf numFmtId="0" fontId="8" fillId="0" borderId="4" xfId="0" applyFont="1" applyBorder="1" applyAlignment="1">
      <alignment horizontal="right" indent="1"/>
    </xf>
    <xf numFmtId="2" fontId="8" fillId="0" borderId="4" xfId="0" applyNumberFormat="1" applyFont="1" applyBorder="1" applyAlignment="1">
      <alignment horizontal="right" indent="1"/>
    </xf>
    <xf numFmtId="0" fontId="9" fillId="6" borderId="5" xfId="0" applyFont="1" applyFill="1" applyBorder="1" applyAlignment="1">
      <alignment horizontal="right" indent="1"/>
    </xf>
    <xf numFmtId="0" fontId="4" fillId="5" borderId="21" xfId="0" applyFont="1" applyFill="1" applyBorder="1" applyAlignment="1">
      <alignment horizontal="right" indent="1"/>
    </xf>
    <xf numFmtId="0" fontId="0" fillId="10" borderId="17" xfId="0" applyFill="1" applyBorder="1" applyAlignment="1">
      <alignment horizontal="right"/>
    </xf>
    <xf numFmtId="0" fontId="0" fillId="10" borderId="17" xfId="0" applyFill="1" applyBorder="1" applyAlignment="1">
      <alignment horizontal="right" vertical="top"/>
    </xf>
    <xf numFmtId="164" fontId="0" fillId="9" borderId="22" xfId="0" applyNumberFormat="1" applyFill="1" applyBorder="1" applyAlignment="1">
      <alignment horizontal="right" indent="1"/>
    </xf>
    <xf numFmtId="0" fontId="0" fillId="9" borderId="22" xfId="0" applyFill="1" applyBorder="1" applyAlignment="1">
      <alignment horizontal="right" indent="1"/>
    </xf>
    <xf numFmtId="164" fontId="0" fillId="9" borderId="10" xfId="0" applyNumberFormat="1" applyFill="1" applyBorder="1" applyAlignment="1">
      <alignment horizontal="left" indent="1"/>
    </xf>
    <xf numFmtId="0" fontId="0" fillId="9" borderId="10" xfId="0" applyFill="1" applyBorder="1" applyAlignment="1">
      <alignment horizontal="right" indent="1"/>
    </xf>
    <xf numFmtId="164" fontId="0" fillId="9" borderId="0" xfId="0" applyNumberFormat="1" applyFill="1" applyAlignment="1">
      <alignment horizontal="left" indent="1"/>
    </xf>
    <xf numFmtId="0" fontId="0" fillId="9" borderId="0" xfId="0" applyFill="1" applyAlignment="1">
      <alignment horizontal="right" indent="1"/>
    </xf>
    <xf numFmtId="164" fontId="3" fillId="3" borderId="1" xfId="2" applyNumberFormat="1" applyAlignment="1">
      <alignment horizontal="right" indent="1"/>
    </xf>
    <xf numFmtId="0" fontId="3" fillId="3" borderId="1" xfId="2" applyAlignment="1">
      <alignment horizontal="right" indent="1"/>
    </xf>
    <xf numFmtId="0" fontId="0" fillId="9" borderId="0" xfId="0" applyFill="1" applyBorder="1" applyAlignment="1">
      <alignment horizontal="right" indent="1"/>
    </xf>
    <xf numFmtId="0" fontId="0" fillId="9" borderId="0" xfId="0" applyFill="1" applyBorder="1"/>
    <xf numFmtId="0" fontId="0" fillId="9" borderId="22" xfId="0" applyFill="1" applyBorder="1"/>
    <xf numFmtId="164" fontId="9" fillId="6" borderId="3" xfId="0" applyNumberFormat="1" applyFont="1" applyFill="1" applyBorder="1" applyAlignment="1">
      <alignment horizontal="right" indent="1"/>
    </xf>
    <xf numFmtId="164" fontId="8" fillId="0" borderId="4" xfId="0" applyNumberFormat="1" applyFont="1" applyBorder="1" applyAlignment="1">
      <alignment horizontal="right" indent="1"/>
    </xf>
    <xf numFmtId="0" fontId="7" fillId="0" borderId="5" xfId="0" applyFont="1" applyBorder="1" applyAlignment="1">
      <alignment horizontal="right" indent="1"/>
    </xf>
    <xf numFmtId="0" fontId="0" fillId="9" borderId="22" xfId="0" applyFill="1" applyBorder="1" applyAlignment="1">
      <alignment horizontal="right" indent="2"/>
    </xf>
    <xf numFmtId="0" fontId="0" fillId="9" borderId="10" xfId="0" applyFill="1" applyBorder="1" applyAlignment="1">
      <alignment horizontal="right" indent="2"/>
    </xf>
    <xf numFmtId="0" fontId="0" fillId="9" borderId="0" xfId="0" applyFill="1" applyAlignment="1">
      <alignment horizontal="right" indent="2"/>
    </xf>
    <xf numFmtId="0" fontId="5" fillId="5" borderId="6" xfId="0" applyFont="1" applyFill="1" applyBorder="1" applyAlignment="1">
      <alignment horizontal="right" indent="1"/>
    </xf>
    <xf numFmtId="0" fontId="7" fillId="0" borderId="7" xfId="0" applyFont="1" applyBorder="1" applyAlignment="1">
      <alignment horizontal="right" indent="1"/>
    </xf>
    <xf numFmtId="0" fontId="9" fillId="6" borderId="8" xfId="0" applyFont="1" applyFill="1" applyBorder="1" applyAlignment="1">
      <alignment horizontal="right" indent="1"/>
    </xf>
    <xf numFmtId="2" fontId="2" fillId="2" borderId="9" xfId="1" applyNumberFormat="1" applyFont="1" applyBorder="1" applyAlignment="1">
      <alignment horizontal="right" indent="1"/>
    </xf>
    <xf numFmtId="0" fontId="8" fillId="0" borderId="6" xfId="0" applyFont="1" applyBorder="1" applyAlignment="1">
      <alignment horizontal="right" indent="1"/>
    </xf>
    <xf numFmtId="164" fontId="6" fillId="0" borderId="5" xfId="0" applyNumberFormat="1" applyFont="1" applyBorder="1" applyAlignment="1">
      <alignment horizontal="right" indent="1"/>
    </xf>
    <xf numFmtId="2" fontId="7" fillId="0" borderId="5" xfId="0" applyNumberFormat="1" applyFont="1" applyBorder="1" applyAlignment="1">
      <alignment horizontal="right" indent="1"/>
    </xf>
    <xf numFmtId="2" fontId="3" fillId="3" borderId="1" xfId="2" applyNumberFormat="1" applyAlignment="1">
      <alignment horizontal="right" indent="1"/>
    </xf>
    <xf numFmtId="2" fontId="0" fillId="9" borderId="22" xfId="0" applyNumberFormat="1" applyFill="1" applyBorder="1" applyAlignment="1">
      <alignment horizontal="right" indent="2"/>
    </xf>
    <xf numFmtId="2" fontId="0" fillId="9" borderId="10" xfId="0" applyNumberFormat="1" applyFill="1" applyBorder="1" applyAlignment="1">
      <alignment horizontal="right" indent="2"/>
    </xf>
    <xf numFmtId="2" fontId="0" fillId="9" borderId="0" xfId="0" applyNumberFormat="1" applyFill="1" applyAlignment="1">
      <alignment horizontal="right" indent="2"/>
    </xf>
    <xf numFmtId="164" fontId="0" fillId="10" borderId="11" xfId="0" applyNumberFormat="1" applyFont="1" applyFill="1" applyBorder="1" applyAlignment="1">
      <alignment horizontal="right"/>
    </xf>
    <xf numFmtId="0" fontId="10" fillId="10" borderId="0" xfId="0" applyFont="1" applyFill="1" applyAlignment="1">
      <alignment horizontal="right"/>
    </xf>
    <xf numFmtId="0" fontId="10" fillId="10" borderId="17" xfId="0" applyFont="1" applyFill="1" applyBorder="1" applyAlignment="1">
      <alignment horizontal="right"/>
    </xf>
    <xf numFmtId="0" fontId="10" fillId="10" borderId="17" xfId="0" applyFont="1" applyFill="1" applyBorder="1" applyAlignment="1">
      <alignment horizontal="right" vertical="top"/>
    </xf>
    <xf numFmtId="164" fontId="10" fillId="10" borderId="11" xfId="0" applyNumberFormat="1" applyFont="1" applyFill="1" applyBorder="1" applyAlignment="1">
      <alignment horizontal="right"/>
    </xf>
    <xf numFmtId="0" fontId="10" fillId="10" borderId="0" xfId="0" applyFont="1" applyFill="1" applyBorder="1" applyAlignment="1">
      <alignment horizontal="right"/>
    </xf>
    <xf numFmtId="0" fontId="11" fillId="2" borderId="1" xfId="1" applyFont="1" applyAlignment="1">
      <alignment horizontal="right"/>
    </xf>
    <xf numFmtId="2" fontId="11" fillId="2" borderId="1" xfId="1" applyNumberFormat="1" applyFont="1" applyAlignment="1">
      <alignment horizontal="right"/>
    </xf>
    <xf numFmtId="0" fontId="10" fillId="10" borderId="10" xfId="0" applyFont="1" applyFill="1" applyBorder="1" applyAlignment="1">
      <alignment horizontal="right"/>
    </xf>
    <xf numFmtId="164" fontId="10" fillId="10" borderId="18" xfId="0" applyNumberFormat="1" applyFont="1" applyFill="1" applyBorder="1" applyAlignment="1">
      <alignment horizontal="right"/>
    </xf>
    <xf numFmtId="0" fontId="10" fillId="10" borderId="18" xfId="0" applyFont="1" applyFill="1" applyBorder="1" applyAlignment="1">
      <alignment horizontal="right"/>
    </xf>
    <xf numFmtId="0" fontId="10" fillId="10" borderId="18" xfId="0" applyFont="1" applyFill="1" applyBorder="1" applyAlignment="1">
      <alignment horizontal="right" vertical="top"/>
    </xf>
    <xf numFmtId="0" fontId="10" fillId="7" borderId="17" xfId="0" applyFont="1" applyFill="1" applyBorder="1" applyAlignment="1">
      <alignment horizontal="right"/>
    </xf>
    <xf numFmtId="0" fontId="10" fillId="8" borderId="17" xfId="0" applyFont="1" applyFill="1" applyBorder="1" applyAlignment="1">
      <alignment horizontal="right"/>
    </xf>
    <xf numFmtId="0" fontId="10" fillId="8" borderId="17" xfId="0" applyFont="1" applyFill="1" applyBorder="1" applyAlignment="1">
      <alignment horizontal="right" vertical="top"/>
    </xf>
    <xf numFmtId="164" fontId="10" fillId="8" borderId="11" xfId="0" applyNumberFormat="1" applyFont="1" applyFill="1" applyBorder="1" applyAlignment="1">
      <alignment horizontal="right"/>
    </xf>
    <xf numFmtId="0" fontId="3" fillId="3" borderId="30" xfId="2" applyBorder="1" applyAlignment="1">
      <alignment horizontal="right" indent="1"/>
    </xf>
    <xf numFmtId="0" fontId="3" fillId="9" borderId="15" xfId="2" applyFill="1" applyBorder="1" applyAlignment="1">
      <alignment horizontal="right" indent="1"/>
    </xf>
    <xf numFmtId="0" fontId="3" fillId="9" borderId="29" xfId="2" applyFill="1" applyBorder="1" applyAlignment="1">
      <alignment horizontal="right" indent="1"/>
    </xf>
    <xf numFmtId="164" fontId="10" fillId="8" borderId="12" xfId="0" applyNumberFormat="1" applyFont="1" applyFill="1" applyBorder="1" applyAlignment="1">
      <alignment horizontal="right"/>
    </xf>
    <xf numFmtId="0" fontId="10" fillId="7" borderId="10" xfId="0" applyFont="1" applyFill="1" applyBorder="1" applyAlignment="1">
      <alignment horizontal="right"/>
    </xf>
    <xf numFmtId="0" fontId="10" fillId="7" borderId="18" xfId="0" applyFont="1" applyFill="1" applyBorder="1" applyAlignment="1">
      <alignment horizontal="right"/>
    </xf>
    <xf numFmtId="0" fontId="10" fillId="8" borderId="18" xfId="0" applyFont="1" applyFill="1" applyBorder="1" applyAlignment="1">
      <alignment horizontal="right"/>
    </xf>
    <xf numFmtId="0" fontId="10" fillId="8" borderId="18" xfId="0" applyFont="1" applyFill="1" applyBorder="1" applyAlignment="1">
      <alignment horizontal="right" vertical="top"/>
    </xf>
    <xf numFmtId="2" fontId="14" fillId="11" borderId="15" xfId="0" applyNumberFormat="1" applyFont="1" applyFill="1" applyBorder="1" applyAlignment="1">
      <alignment horizontal="right" indent="1"/>
    </xf>
    <xf numFmtId="0" fontId="14" fillId="11" borderId="0" xfId="0" applyFont="1" applyFill="1" applyBorder="1" applyAlignment="1">
      <alignment horizontal="right" indent="1"/>
    </xf>
    <xf numFmtId="2" fontId="14" fillId="11" borderId="0" xfId="0" applyNumberFormat="1" applyFont="1" applyFill="1" applyBorder="1" applyAlignment="1">
      <alignment horizontal="right" indent="1"/>
    </xf>
    <xf numFmtId="165" fontId="14" fillId="11" borderId="0" xfId="0" applyNumberFormat="1" applyFont="1" applyFill="1" applyBorder="1" applyAlignment="1">
      <alignment horizontal="right" indent="1"/>
    </xf>
    <xf numFmtId="1" fontId="14" fillId="11" borderId="0" xfId="0" applyNumberFormat="1" applyFont="1" applyFill="1" applyBorder="1" applyAlignment="1">
      <alignment horizontal="right" indent="1"/>
    </xf>
    <xf numFmtId="166" fontId="14" fillId="11" borderId="0" xfId="0" applyNumberFormat="1" applyFont="1" applyFill="1" applyBorder="1" applyAlignment="1">
      <alignment horizontal="right" indent="1"/>
    </xf>
    <xf numFmtId="0" fontId="0" fillId="0" borderId="0" xfId="0" applyFont="1" applyAlignment="1">
      <alignment horizontal="right" indent="1"/>
    </xf>
    <xf numFmtId="2" fontId="0" fillId="0" borderId="15" xfId="0" applyNumberFormat="1" applyFont="1" applyBorder="1" applyAlignment="1">
      <alignment horizontal="right" indent="1"/>
    </xf>
    <xf numFmtId="0" fontId="0" fillId="0" borderId="13" xfId="0" applyFont="1" applyBorder="1" applyAlignment="1">
      <alignment horizontal="right" indent="1"/>
    </xf>
    <xf numFmtId="2" fontId="0" fillId="0" borderId="0" xfId="0" applyNumberFormat="1" applyFont="1" applyBorder="1" applyAlignment="1">
      <alignment horizontal="right" indent="1"/>
    </xf>
    <xf numFmtId="165" fontId="0" fillId="0" borderId="0" xfId="0" applyNumberFormat="1" applyFont="1" applyBorder="1" applyAlignment="1">
      <alignment horizontal="right" indent="1"/>
    </xf>
    <xf numFmtId="1" fontId="0" fillId="0" borderId="0" xfId="0" applyNumberFormat="1" applyFont="1" applyBorder="1" applyAlignment="1">
      <alignment horizontal="right" indent="1"/>
    </xf>
    <xf numFmtId="0" fontId="0" fillId="7" borderId="19" xfId="0" applyFont="1" applyFill="1" applyBorder="1" applyAlignment="1">
      <alignment horizontal="right" indent="1"/>
    </xf>
    <xf numFmtId="166" fontId="0" fillId="7" borderId="17" xfId="0" applyNumberFormat="1" applyFont="1" applyFill="1" applyBorder="1" applyAlignment="1">
      <alignment horizontal="right" indent="1"/>
    </xf>
    <xf numFmtId="0" fontId="0" fillId="7" borderId="17" xfId="0" applyFont="1" applyFill="1" applyBorder="1" applyAlignment="1">
      <alignment horizontal="right" indent="1"/>
    </xf>
    <xf numFmtId="2" fontId="0" fillId="0" borderId="0" xfId="0" applyNumberFormat="1" applyFont="1" applyAlignment="1">
      <alignment horizontal="right" indent="1"/>
    </xf>
    <xf numFmtId="165" fontId="0" fillId="0" borderId="0" xfId="0" applyNumberFormat="1" applyFont="1" applyAlignment="1">
      <alignment horizontal="right" indent="1"/>
    </xf>
    <xf numFmtId="0" fontId="12" fillId="0" borderId="0" xfId="0" applyFont="1" applyAlignment="1">
      <alignment horizontal="right" indent="1"/>
    </xf>
    <xf numFmtId="0" fontId="12" fillId="0" borderId="13" xfId="0" applyFont="1" applyBorder="1" applyAlignment="1">
      <alignment horizontal="right" indent="1"/>
    </xf>
    <xf numFmtId="165" fontId="0" fillId="0" borderId="10" xfId="0" applyNumberFormat="1" applyFont="1" applyBorder="1" applyAlignment="1">
      <alignment horizontal="right" indent="1"/>
    </xf>
    <xf numFmtId="0" fontId="0" fillId="0" borderId="14" xfId="0" applyFont="1" applyBorder="1" applyAlignment="1">
      <alignment horizontal="right" indent="1"/>
    </xf>
    <xf numFmtId="0" fontId="0" fillId="7" borderId="20" xfId="0" applyFont="1" applyFill="1" applyBorder="1" applyAlignment="1">
      <alignment horizontal="right" indent="1"/>
    </xf>
    <xf numFmtId="0" fontId="0" fillId="7" borderId="18" xfId="0" applyFont="1" applyFill="1" applyBorder="1" applyAlignment="1">
      <alignment horizontal="right" indent="1"/>
    </xf>
    <xf numFmtId="166" fontId="0" fillId="7" borderId="32" xfId="0" applyNumberFormat="1" applyFont="1" applyFill="1" applyBorder="1" applyAlignment="1">
      <alignment horizontal="right" indent="1"/>
    </xf>
    <xf numFmtId="0" fontId="0" fillId="0" borderId="0" xfId="0" applyFont="1" applyBorder="1" applyAlignment="1">
      <alignment horizontal="right" indent="1"/>
    </xf>
    <xf numFmtId="166" fontId="0" fillId="7" borderId="31" xfId="0" applyNumberFormat="1" applyFont="1" applyFill="1" applyBorder="1" applyAlignment="1">
      <alignment horizontal="right" indent="1"/>
    </xf>
    <xf numFmtId="166" fontId="0" fillId="0" borderId="0" xfId="0" applyNumberFormat="1" applyFont="1" applyAlignment="1">
      <alignment horizontal="right" indent="1"/>
    </xf>
    <xf numFmtId="0" fontId="12" fillId="0" borderId="14" xfId="0" applyFont="1" applyBorder="1" applyAlignment="1">
      <alignment horizontal="right" indent="1"/>
    </xf>
    <xf numFmtId="165" fontId="0" fillId="0" borderId="22" xfId="0" applyNumberFormat="1" applyFont="1" applyBorder="1" applyAlignment="1">
      <alignment horizontal="right" indent="1"/>
    </xf>
    <xf numFmtId="2" fontId="0" fillId="0" borderId="22" xfId="0" applyNumberFormat="1" applyFont="1" applyBorder="1" applyAlignment="1">
      <alignment horizontal="right" indent="1"/>
    </xf>
    <xf numFmtId="0" fontId="0" fillId="0" borderId="28" xfId="0" applyFont="1" applyBorder="1" applyAlignment="1">
      <alignment horizontal="right" indent="1"/>
    </xf>
    <xf numFmtId="165" fontId="0" fillId="0" borderId="29" xfId="0" applyNumberFormat="1" applyFont="1" applyBorder="1" applyAlignment="1">
      <alignment horizontal="right" indent="1"/>
    </xf>
    <xf numFmtId="1" fontId="0" fillId="0" borderId="22" xfId="0" applyNumberFormat="1" applyFont="1" applyBorder="1" applyAlignment="1">
      <alignment horizontal="right" indent="1"/>
    </xf>
    <xf numFmtId="1" fontId="0" fillId="0" borderId="0" xfId="0" applyNumberFormat="1" applyFont="1" applyAlignment="1">
      <alignment horizontal="right" indent="1"/>
    </xf>
    <xf numFmtId="0" fontId="13" fillId="0" borderId="0" xfId="0" applyFont="1" applyAlignment="1">
      <alignment horizontal="right" indent="1"/>
    </xf>
    <xf numFmtId="2" fontId="0" fillId="0" borderId="29" xfId="0" applyNumberFormat="1" applyFont="1" applyBorder="1" applyAlignment="1">
      <alignment horizontal="right" indent="1"/>
    </xf>
    <xf numFmtId="0" fontId="14" fillId="11" borderId="0" xfId="0" applyFont="1" applyFill="1" applyBorder="1" applyAlignment="1">
      <alignment horizontal="center"/>
    </xf>
    <xf numFmtId="0" fontId="14" fillId="11" borderId="13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7" borderId="23" xfId="0" applyFont="1" applyFill="1" applyBorder="1" applyAlignment="1">
      <alignment horizontal="center"/>
    </xf>
    <xf numFmtId="0" fontId="0" fillId="7" borderId="24" xfId="0" applyFont="1" applyFill="1" applyBorder="1" applyAlignment="1">
      <alignment horizontal="center"/>
    </xf>
    <xf numFmtId="0" fontId="0" fillId="7" borderId="26" xfId="0" applyFont="1" applyFill="1" applyBorder="1" applyAlignment="1">
      <alignment horizontal="center"/>
    </xf>
    <xf numFmtId="0" fontId="0" fillId="7" borderId="27" xfId="0" applyFont="1" applyFill="1" applyBorder="1" applyAlignment="1">
      <alignment horizontal="center"/>
    </xf>
    <xf numFmtId="0" fontId="0" fillId="7" borderId="33" xfId="0" applyFont="1" applyFill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9" borderId="0" xfId="0" applyFill="1"/>
    <xf numFmtId="164" fontId="10" fillId="8" borderId="17" xfId="0" applyNumberFormat="1" applyFont="1" applyFill="1" applyBorder="1" applyAlignment="1">
      <alignment horizontal="right"/>
    </xf>
    <xf numFmtId="2" fontId="0" fillId="10" borderId="13" xfId="0" applyNumberFormat="1" applyFill="1" applyBorder="1" applyAlignment="1">
      <alignment horizontal="right"/>
    </xf>
    <xf numFmtId="2" fontId="10" fillId="10" borderId="13" xfId="0" applyNumberFormat="1" applyFont="1" applyFill="1" applyBorder="1" applyAlignment="1">
      <alignment horizontal="right"/>
    </xf>
    <xf numFmtId="2" fontId="10" fillId="10" borderId="14" xfId="0" applyNumberFormat="1" applyFont="1" applyFill="1" applyBorder="1" applyAlignment="1">
      <alignment horizontal="right"/>
    </xf>
    <xf numFmtId="2" fontId="10" fillId="7" borderId="13" xfId="0" applyNumberFormat="1" applyFont="1" applyFill="1" applyBorder="1" applyAlignment="1">
      <alignment horizontal="right"/>
    </xf>
    <xf numFmtId="0" fontId="0" fillId="10" borderId="0" xfId="0" applyFont="1" applyFill="1" applyBorder="1" applyAlignment="1">
      <alignment horizontal="right"/>
    </xf>
    <xf numFmtId="0" fontId="10" fillId="7" borderId="0" xfId="0" applyFont="1" applyFill="1" applyBorder="1" applyAlignment="1">
      <alignment horizontal="right"/>
    </xf>
    <xf numFmtId="2" fontId="0" fillId="10" borderId="26" xfId="0" applyNumberFormat="1" applyFont="1" applyFill="1" applyBorder="1" applyAlignment="1">
      <alignment horizontal="right"/>
    </xf>
    <xf numFmtId="2" fontId="10" fillId="10" borderId="26" xfId="0" applyNumberFormat="1" applyFont="1" applyFill="1" applyBorder="1" applyAlignment="1">
      <alignment horizontal="right"/>
    </xf>
    <xf numFmtId="2" fontId="10" fillId="10" borderId="27" xfId="0" applyNumberFormat="1" applyFont="1" applyFill="1" applyBorder="1" applyAlignment="1">
      <alignment horizontal="right"/>
    </xf>
    <xf numFmtId="2" fontId="10" fillId="7" borderId="26" xfId="0" applyNumberFormat="1" applyFont="1" applyFill="1" applyBorder="1" applyAlignment="1">
      <alignment horizontal="right"/>
    </xf>
    <xf numFmtId="164" fontId="0" fillId="10" borderId="23" xfId="0" applyNumberFormat="1" applyFont="1" applyFill="1" applyBorder="1" applyAlignment="1">
      <alignment horizontal="right"/>
    </xf>
    <xf numFmtId="164" fontId="10" fillId="10" borderId="23" xfId="0" applyNumberFormat="1" applyFont="1" applyFill="1" applyBorder="1" applyAlignment="1">
      <alignment horizontal="right"/>
    </xf>
    <xf numFmtId="164" fontId="10" fillId="10" borderId="24" xfId="0" applyNumberFormat="1" applyFont="1" applyFill="1" applyBorder="1" applyAlignment="1">
      <alignment horizontal="right"/>
    </xf>
    <xf numFmtId="164" fontId="10" fillId="7" borderId="23" xfId="0" applyNumberFormat="1" applyFont="1" applyFill="1" applyBorder="1" applyAlignment="1">
      <alignment horizontal="right"/>
    </xf>
    <xf numFmtId="2" fontId="10" fillId="8" borderId="13" xfId="0" applyNumberFormat="1" applyFont="1" applyFill="1" applyBorder="1" applyAlignment="1">
      <alignment horizontal="right"/>
    </xf>
    <xf numFmtId="2" fontId="10" fillId="7" borderId="14" xfId="0" applyNumberFormat="1" applyFont="1" applyFill="1" applyBorder="1" applyAlignment="1">
      <alignment horizontal="right"/>
    </xf>
    <xf numFmtId="164" fontId="10" fillId="8" borderId="18" xfId="0" applyNumberFormat="1" applyFont="1" applyFill="1" applyBorder="1" applyAlignment="1">
      <alignment horizontal="right"/>
    </xf>
    <xf numFmtId="2" fontId="10" fillId="8" borderId="14" xfId="0" applyNumberFormat="1" applyFont="1" applyFill="1" applyBorder="1" applyAlignment="1">
      <alignment horizontal="right"/>
    </xf>
    <xf numFmtId="164" fontId="10" fillId="7" borderId="24" xfId="0" applyNumberFormat="1" applyFont="1" applyFill="1" applyBorder="1" applyAlignment="1">
      <alignment horizontal="right"/>
    </xf>
    <xf numFmtId="2" fontId="10" fillId="7" borderId="27" xfId="0" applyNumberFormat="1" applyFont="1" applyFill="1" applyBorder="1" applyAlignment="1">
      <alignment horizontal="right"/>
    </xf>
    <xf numFmtId="2" fontId="10" fillId="10" borderId="23" xfId="0" applyNumberFormat="1" applyFont="1" applyFill="1" applyBorder="1" applyAlignment="1">
      <alignment horizontal="right"/>
    </xf>
    <xf numFmtId="2" fontId="11" fillId="2" borderId="30" xfId="1" applyNumberFormat="1" applyFont="1" applyBorder="1" applyAlignment="1">
      <alignment horizontal="right"/>
    </xf>
    <xf numFmtId="2" fontId="10" fillId="10" borderId="10" xfId="0" applyNumberFormat="1" applyFont="1" applyFill="1" applyBorder="1" applyAlignment="1">
      <alignment horizontal="right"/>
    </xf>
    <xf numFmtId="0" fontId="10" fillId="10" borderId="34" xfId="0" applyFont="1" applyFill="1" applyBorder="1" applyAlignment="1">
      <alignment horizontal="right"/>
    </xf>
    <xf numFmtId="0" fontId="10" fillId="10" borderId="25" xfId="0" applyFont="1" applyFill="1" applyBorder="1" applyAlignment="1">
      <alignment horizontal="right"/>
    </xf>
    <xf numFmtId="0" fontId="0" fillId="10" borderId="34" xfId="0" applyFill="1" applyBorder="1" applyAlignment="1">
      <alignment horizontal="right"/>
    </xf>
    <xf numFmtId="0" fontId="10" fillId="10" borderId="11" xfId="0" applyFont="1" applyFill="1" applyBorder="1" applyAlignment="1">
      <alignment horizontal="right"/>
    </xf>
    <xf numFmtId="0" fontId="0" fillId="10" borderId="11" xfId="0" applyFill="1" applyBorder="1"/>
    <xf numFmtId="166" fontId="10" fillId="10" borderId="12" xfId="0" applyNumberFormat="1" applyFont="1" applyFill="1" applyBorder="1" applyAlignment="1">
      <alignment horizontal="right"/>
    </xf>
    <xf numFmtId="0" fontId="0" fillId="10" borderId="11" xfId="0" applyFill="1" applyBorder="1" applyAlignment="1">
      <alignment horizontal="right"/>
    </xf>
    <xf numFmtId="0" fontId="14" fillId="11" borderId="0" xfId="0" applyFont="1" applyFill="1" applyAlignment="1">
      <alignment horizontal="right"/>
    </xf>
    <xf numFmtId="0" fontId="0" fillId="0" borderId="0" xfId="0" applyAlignment="1">
      <alignment horizontal="right"/>
    </xf>
    <xf numFmtId="164" fontId="0" fillId="0" borderId="11" xfId="0" applyNumberFormat="1" applyBorder="1" applyAlignment="1">
      <alignment horizontal="right"/>
    </xf>
    <xf numFmtId="0" fontId="14" fillId="11" borderId="17" xfId="0" applyFont="1" applyFill="1" applyBorder="1" applyAlignment="1">
      <alignment horizontal="right"/>
    </xf>
    <xf numFmtId="2" fontId="14" fillId="11" borderId="13" xfId="0" applyNumberFormat="1" applyFont="1" applyFill="1" applyBorder="1" applyAlignment="1">
      <alignment horizontal="right"/>
    </xf>
    <xf numFmtId="0" fontId="14" fillId="11" borderId="17" xfId="0" applyFont="1" applyFill="1" applyBorder="1" applyAlignment="1">
      <alignment horizontal="right" vertical="top"/>
    </xf>
    <xf numFmtId="0" fontId="14" fillId="11" borderId="0" xfId="0" applyFont="1" applyFill="1" applyBorder="1" applyAlignment="1">
      <alignment horizontal="right"/>
    </xf>
    <xf numFmtId="164" fontId="14" fillId="11" borderId="23" xfId="0" applyNumberFormat="1" applyFont="1" applyFill="1" applyBorder="1" applyAlignment="1">
      <alignment horizontal="right"/>
    </xf>
    <xf numFmtId="2" fontId="14" fillId="11" borderId="26" xfId="0" applyNumberFormat="1" applyFont="1" applyFill="1" applyBorder="1" applyAlignment="1">
      <alignment horizontal="right"/>
    </xf>
    <xf numFmtId="164" fontId="14" fillId="11" borderId="11" xfId="0" applyNumberFormat="1" applyFont="1" applyFill="1" applyBorder="1" applyAlignment="1">
      <alignment horizontal="right"/>
    </xf>
    <xf numFmtId="164" fontId="14" fillId="11" borderId="0" xfId="0" applyNumberFormat="1" applyFont="1" applyFill="1" applyAlignment="1">
      <alignment horizontal="right"/>
    </xf>
    <xf numFmtId="164" fontId="0" fillId="10" borderId="11" xfId="0" applyNumberFormat="1" applyFill="1" applyBorder="1" applyAlignment="1">
      <alignment horizontal="right"/>
    </xf>
    <xf numFmtId="164" fontId="0" fillId="10" borderId="12" xfId="0" applyNumberFormat="1" applyFill="1" applyBorder="1" applyAlignment="1">
      <alignment horizontal="right"/>
    </xf>
    <xf numFmtId="164" fontId="15" fillId="7" borderId="13" xfId="0" applyNumberFormat="1" applyFont="1" applyFill="1" applyBorder="1" applyAlignment="1">
      <alignment horizontal="right"/>
    </xf>
    <xf numFmtId="164" fontId="0" fillId="0" borderId="12" xfId="0" applyNumberFormat="1" applyBorder="1" applyAlignment="1">
      <alignment horizontal="right"/>
    </xf>
    <xf numFmtId="164" fontId="15" fillId="7" borderId="12" xfId="0" applyNumberFormat="1" applyFont="1" applyFill="1" applyBorder="1" applyAlignment="1">
      <alignment horizontal="right"/>
    </xf>
    <xf numFmtId="164" fontId="16" fillId="7" borderId="31" xfId="0" applyNumberFormat="1" applyFont="1" applyFill="1" applyBorder="1" applyAlignment="1">
      <alignment horizontal="right"/>
    </xf>
    <xf numFmtId="164" fontId="16" fillId="0" borderId="11" xfId="0" applyNumberFormat="1" applyFont="1" applyBorder="1" applyAlignment="1">
      <alignment horizontal="right"/>
    </xf>
    <xf numFmtId="164" fontId="2" fillId="12" borderId="1" xfId="1" applyNumberFormat="1" applyFill="1" applyAlignment="1">
      <alignment horizontal="right"/>
    </xf>
    <xf numFmtId="164" fontId="2" fillId="12" borderId="1" xfId="1" applyNumberFormat="1" applyFill="1" applyAlignment="1">
      <alignment horizontal="right" indent="1"/>
    </xf>
    <xf numFmtId="164" fontId="0" fillId="8" borderId="31" xfId="0" applyNumberFormat="1" applyFont="1" applyFill="1" applyBorder="1" applyAlignment="1">
      <alignment horizontal="right" indent="1"/>
    </xf>
    <xf numFmtId="164" fontId="17" fillId="8" borderId="31" xfId="0" applyNumberFormat="1" applyFont="1" applyFill="1" applyBorder="1" applyAlignment="1">
      <alignment horizontal="right"/>
    </xf>
  </cellXfs>
  <cellStyles count="4">
    <cellStyle name="Calculation" xfId="2" builtinId="22"/>
    <cellStyle name="Input" xfId="1" builtinId="20"/>
    <cellStyle name="Normal" xfId="0" builtinId="0"/>
    <cellStyle name="Note" xfId="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FC782"/>
  <sheetViews>
    <sheetView tabSelected="1" workbookViewId="0">
      <selection activeCell="A4" sqref="A4"/>
    </sheetView>
  </sheetViews>
  <sheetFormatPr defaultColWidth="0" defaultRowHeight="15" zeroHeight="1" x14ac:dyDescent="0.25"/>
  <cols>
    <col min="1" max="1" width="20" customWidth="1"/>
    <col min="2" max="2" width="28.85546875" bestFit="1" customWidth="1"/>
    <col min="3" max="3" width="14.7109375" bestFit="1" customWidth="1"/>
    <col min="4" max="4" width="13.5703125" bestFit="1" customWidth="1"/>
    <col min="5" max="5" width="15.85546875" customWidth="1"/>
    <col min="6" max="6" width="4" hidden="1"/>
    <col min="16384" max="16384" width="9.140625" hidden="1"/>
  </cols>
  <sheetData>
    <row r="1" spans="1:6" ht="32.25" thickBot="1" x14ac:dyDescent="0.55000000000000004">
      <c r="A1" s="12">
        <f>Calc!A4</f>
        <v>25</v>
      </c>
      <c r="B1" s="1" t="str">
        <f>CONCATENATE(Calc!B3," ",Calc!B5,"%")</f>
        <v>E24x 2%</v>
      </c>
      <c r="C1" s="2" t="str">
        <f>CONCATENATE("Error&lt;=",TEXT(C4,"0.0"),"%")</f>
        <v>Error&lt;=1.0%</v>
      </c>
      <c r="D1" s="32" t="str">
        <f>CONCATENATE("Error&lt;=",TEXT(D4,"0.0"),"%")</f>
        <v>Error&lt;=0.5%</v>
      </c>
      <c r="E1" s="3"/>
      <c r="F1" s="115"/>
    </row>
    <row r="2" spans="1:6" ht="16.5" thickTop="1" x14ac:dyDescent="0.25">
      <c r="A2" s="37"/>
      <c r="B2" s="28"/>
      <c r="C2" s="38"/>
      <c r="D2" s="33"/>
      <c r="E2" s="4"/>
      <c r="F2" s="115"/>
    </row>
    <row r="3" spans="1:6" ht="15.75" x14ac:dyDescent="0.25">
      <c r="A3" s="26" t="s">
        <v>0</v>
      </c>
      <c r="B3" s="5" t="s">
        <v>27</v>
      </c>
      <c r="C3" s="6" t="s">
        <v>3</v>
      </c>
      <c r="D3" s="34" t="s">
        <v>4</v>
      </c>
      <c r="E3" s="11" t="s">
        <v>5</v>
      </c>
      <c r="F3" s="115"/>
    </row>
    <row r="4" spans="1:6" x14ac:dyDescent="0.25">
      <c r="A4" s="166">
        <v>25</v>
      </c>
      <c r="B4" s="7">
        <v>3</v>
      </c>
      <c r="C4" s="8">
        <v>1</v>
      </c>
      <c r="D4" s="35">
        <v>0.5</v>
      </c>
      <c r="E4" s="7" t="b">
        <v>1</v>
      </c>
      <c r="F4" s="115"/>
    </row>
    <row r="5" spans="1:6" ht="16.5" thickBot="1" x14ac:dyDescent="0.3">
      <c r="A5" s="27"/>
      <c r="B5" s="9"/>
      <c r="C5" s="10"/>
      <c r="D5" s="36"/>
      <c r="E5" s="9"/>
      <c r="F5" s="115"/>
    </row>
    <row r="6" spans="1:6" ht="15.75" hidden="1" thickTop="1" x14ac:dyDescent="0.25">
      <c r="A6" s="21" t="str">
        <f ca="1">Calc!L6</f>
        <v/>
      </c>
      <c r="B6" s="22" t="str">
        <f ca="1">Calc!K6</f>
        <v/>
      </c>
      <c r="C6" s="39">
        <f ca="1">Calc!M6</f>
        <v>995</v>
      </c>
      <c r="D6" s="59" t="str">
        <f ca="1">IF(C6=0,"Exact",IF(C6&lt;=Calc!$D$4,"Nice",""))</f>
        <v/>
      </c>
      <c r="E6" s="61"/>
      <c r="F6" s="115">
        <v>6</v>
      </c>
    </row>
    <row r="7" spans="1:6" hidden="1" x14ac:dyDescent="0.25">
      <c r="A7" s="21" t="str">
        <f ca="1">Calc!L7</f>
        <v/>
      </c>
      <c r="B7" s="22" t="str">
        <f ca="1">Calc!K7</f>
        <v/>
      </c>
      <c r="C7" s="39">
        <f ca="1">Calc!M7</f>
        <v>995</v>
      </c>
      <c r="D7" s="59" t="str">
        <f ca="1">IF(C7=0,"Exact",IF(C7&lt;=Calc!$D$4,"Nice",""))</f>
        <v/>
      </c>
      <c r="E7" s="60"/>
      <c r="F7" s="24">
        <v>7</v>
      </c>
    </row>
    <row r="8" spans="1:6" ht="15.75" hidden="1" thickTop="1" x14ac:dyDescent="0.25">
      <c r="A8" s="21" t="str">
        <f ca="1">Calc!L8</f>
        <v/>
      </c>
      <c r="B8" s="22" t="str">
        <f ca="1">Calc!K8</f>
        <v/>
      </c>
      <c r="C8" s="39">
        <f ca="1">Calc!M8</f>
        <v>995</v>
      </c>
      <c r="D8" s="59" t="str">
        <f ca="1">IF(C8=0,"Exact",IF(C8&lt;=Calc!$D$4,"Nice",""))</f>
        <v/>
      </c>
      <c r="E8" s="60"/>
      <c r="F8" s="24">
        <v>8</v>
      </c>
    </row>
    <row r="9" spans="1:6" hidden="1" x14ac:dyDescent="0.25">
      <c r="A9" s="21" t="str">
        <f ca="1">Calc!L9</f>
        <v/>
      </c>
      <c r="B9" s="22" t="str">
        <f ca="1">Calc!K9</f>
        <v/>
      </c>
      <c r="C9" s="39">
        <f ca="1">Calc!M9</f>
        <v>995</v>
      </c>
      <c r="D9" s="59" t="str">
        <f ca="1">IF(C9=0,"Exact",IF(C9&lt;=Calc!$D$4,"Nice",""))</f>
        <v/>
      </c>
      <c r="E9" s="60"/>
      <c r="F9" s="24">
        <v>9</v>
      </c>
    </row>
    <row r="10" spans="1:6" ht="15.75" hidden="1" thickTop="1" x14ac:dyDescent="0.25">
      <c r="A10" s="21" t="str">
        <f ca="1">Calc!L10</f>
        <v/>
      </c>
      <c r="B10" s="22" t="str">
        <f ca="1">Calc!K10</f>
        <v/>
      </c>
      <c r="C10" s="39">
        <f ca="1">Calc!M10</f>
        <v>995</v>
      </c>
      <c r="D10" s="59" t="str">
        <f ca="1">IF(C10=0,"Exact",IF(C10&lt;=Calc!$D$4,"Nice",""))</f>
        <v/>
      </c>
      <c r="E10" s="60"/>
      <c r="F10" s="24">
        <v>10</v>
      </c>
    </row>
    <row r="11" spans="1:6" hidden="1" x14ac:dyDescent="0.25">
      <c r="A11" s="21" t="str">
        <f ca="1">Calc!L11</f>
        <v/>
      </c>
      <c r="B11" s="22" t="str">
        <f ca="1">Calc!K11</f>
        <v/>
      </c>
      <c r="C11" s="39">
        <f ca="1">Calc!M11</f>
        <v>995</v>
      </c>
      <c r="D11" s="59" t="str">
        <f ca="1">IF(C11=0,"Exact",IF(C11&lt;=Calc!$D$4,"Nice",""))</f>
        <v/>
      </c>
      <c r="E11" s="60"/>
      <c r="F11" s="24">
        <v>11</v>
      </c>
    </row>
    <row r="12" spans="1:6" ht="15.75" hidden="1" thickTop="1" x14ac:dyDescent="0.25">
      <c r="A12" s="21" t="str">
        <f ca="1">Calc!L12</f>
        <v/>
      </c>
      <c r="B12" s="22" t="str">
        <f ca="1">Calc!K12</f>
        <v/>
      </c>
      <c r="C12" s="39">
        <f ca="1">Calc!M12</f>
        <v>995</v>
      </c>
      <c r="D12" s="59" t="str">
        <f ca="1">IF(C12=0,"Exact",IF(C12&lt;=Calc!$D$4,"Nice",""))</f>
        <v/>
      </c>
      <c r="E12" s="60"/>
      <c r="F12" s="24">
        <v>12</v>
      </c>
    </row>
    <row r="13" spans="1:6" hidden="1" x14ac:dyDescent="0.25">
      <c r="A13" s="21" t="str">
        <f ca="1">Calc!L13</f>
        <v/>
      </c>
      <c r="B13" s="22" t="str">
        <f ca="1">Calc!K13</f>
        <v/>
      </c>
      <c r="C13" s="39">
        <f ca="1">Calc!M13</f>
        <v>995</v>
      </c>
      <c r="D13" s="59" t="str">
        <f ca="1">IF(C13=0,"Exact",IF(C13&lt;=Calc!$D$4,"Nice",""))</f>
        <v/>
      </c>
      <c r="E13" s="60"/>
      <c r="F13" s="24">
        <v>13</v>
      </c>
    </row>
    <row r="14" spans="1:6" ht="15.75" hidden="1" thickTop="1" x14ac:dyDescent="0.25">
      <c r="A14" s="21" t="str">
        <f ca="1">Calc!L14</f>
        <v/>
      </c>
      <c r="B14" s="22" t="str">
        <f ca="1">Calc!K14</f>
        <v/>
      </c>
      <c r="C14" s="39">
        <f ca="1">Calc!M14</f>
        <v>995</v>
      </c>
      <c r="D14" s="59" t="str">
        <f ca="1">IF(C14=0,"Exact",IF(C14&lt;=Calc!$D$4,"Nice",""))</f>
        <v/>
      </c>
      <c r="E14" s="60"/>
      <c r="F14" s="24">
        <v>14</v>
      </c>
    </row>
    <row r="15" spans="1:6" hidden="1" x14ac:dyDescent="0.25">
      <c r="A15" s="21" t="str">
        <f ca="1">Calc!L15</f>
        <v/>
      </c>
      <c r="B15" s="22" t="str">
        <f ca="1">Calc!K15</f>
        <v/>
      </c>
      <c r="C15" s="39">
        <f ca="1">Calc!M15</f>
        <v>995</v>
      </c>
      <c r="D15" s="59" t="str">
        <f ca="1">IF(C15=0,"Exact",IF(C15&lt;=Calc!$D$4,"Nice",""))</f>
        <v/>
      </c>
      <c r="E15" s="60"/>
      <c r="F15" s="24">
        <v>15</v>
      </c>
    </row>
    <row r="16" spans="1:6" ht="15.75" hidden="1" thickTop="1" x14ac:dyDescent="0.25">
      <c r="A16" s="21" t="str">
        <f ca="1">Calc!L16</f>
        <v/>
      </c>
      <c r="B16" s="22" t="str">
        <f ca="1">Calc!K16</f>
        <v/>
      </c>
      <c r="C16" s="39">
        <f ca="1">Calc!M16</f>
        <v>995</v>
      </c>
      <c r="D16" s="59" t="str">
        <f ca="1">IF(C16=0,"Exact",IF(C16&lt;=Calc!$D$4,"Nice",""))</f>
        <v/>
      </c>
      <c r="E16" s="60"/>
      <c r="F16" s="24">
        <v>16</v>
      </c>
    </row>
    <row r="17" spans="1:6" hidden="1" x14ac:dyDescent="0.25">
      <c r="A17" s="21" t="str">
        <f ca="1">Calc!L17</f>
        <v/>
      </c>
      <c r="B17" s="22" t="str">
        <f ca="1">Calc!K17</f>
        <v/>
      </c>
      <c r="C17" s="39">
        <f ca="1">Calc!M17</f>
        <v>995</v>
      </c>
      <c r="D17" s="59" t="str">
        <f ca="1">IF(C17=0,"Exact",IF(C17&lt;=Calc!$D$4,"Nice",""))</f>
        <v/>
      </c>
      <c r="E17" s="60"/>
      <c r="F17" s="24">
        <v>17</v>
      </c>
    </row>
    <row r="18" spans="1:6" ht="15.75" hidden="1" thickTop="1" x14ac:dyDescent="0.25">
      <c r="A18" s="21" t="str">
        <f ca="1">Calc!L18</f>
        <v/>
      </c>
      <c r="B18" s="22" t="str">
        <f ca="1">Calc!K18</f>
        <v/>
      </c>
      <c r="C18" s="39">
        <f ca="1">Calc!M18</f>
        <v>995</v>
      </c>
      <c r="D18" s="59" t="str">
        <f ca="1">IF(C18=0,"Exact",IF(C18&lt;=Calc!$D$4,"Nice",""))</f>
        <v/>
      </c>
      <c r="E18" s="60"/>
      <c r="F18" s="24">
        <v>18</v>
      </c>
    </row>
    <row r="19" spans="1:6" hidden="1" x14ac:dyDescent="0.25">
      <c r="A19" s="21" t="str">
        <f ca="1">Calc!L19</f>
        <v/>
      </c>
      <c r="B19" s="22" t="str">
        <f ca="1">Calc!K19</f>
        <v/>
      </c>
      <c r="C19" s="39">
        <f ca="1">Calc!M19</f>
        <v>995</v>
      </c>
      <c r="D19" s="59" t="str">
        <f ca="1">IF(C19=0,"Exact",IF(C19&lt;=Calc!$D$4,"Nice",""))</f>
        <v/>
      </c>
      <c r="E19" s="60"/>
      <c r="F19" s="24">
        <v>19</v>
      </c>
    </row>
    <row r="20" spans="1:6" ht="15.75" hidden="1" thickTop="1" x14ac:dyDescent="0.25">
      <c r="A20" s="21" t="str">
        <f ca="1">Calc!L20</f>
        <v/>
      </c>
      <c r="B20" s="22" t="str">
        <f ca="1">Calc!K20</f>
        <v/>
      </c>
      <c r="C20" s="39">
        <f ca="1">Calc!M20</f>
        <v>995</v>
      </c>
      <c r="D20" s="59" t="str">
        <f ca="1">IF(C20=0,"Exact",IF(C20&lt;=Calc!$D$4,"Nice",""))</f>
        <v/>
      </c>
      <c r="E20" s="60"/>
      <c r="F20" s="24">
        <v>20</v>
      </c>
    </row>
    <row r="21" spans="1:6" hidden="1" x14ac:dyDescent="0.25">
      <c r="A21" s="21" t="str">
        <f ca="1">Calc!L21</f>
        <v/>
      </c>
      <c r="B21" s="22" t="str">
        <f ca="1">Calc!K21</f>
        <v/>
      </c>
      <c r="C21" s="39">
        <f ca="1">Calc!M21</f>
        <v>995</v>
      </c>
      <c r="D21" s="59" t="str">
        <f ca="1">IF(C21=0,"Exact",IF(C21&lt;=Calc!$D$4,"Nice",""))</f>
        <v/>
      </c>
      <c r="E21" s="60"/>
      <c r="F21" s="24">
        <v>21</v>
      </c>
    </row>
    <row r="22" spans="1:6" ht="15.75" hidden="1" thickTop="1" x14ac:dyDescent="0.25">
      <c r="A22" s="21" t="str">
        <f ca="1">Calc!L22</f>
        <v/>
      </c>
      <c r="B22" s="22" t="str">
        <f ca="1">Calc!K22</f>
        <v/>
      </c>
      <c r="C22" s="39">
        <f ca="1">Calc!M22</f>
        <v>995</v>
      </c>
      <c r="D22" s="59" t="str">
        <f ca="1">IF(C22=0,"Exact",IF(C22&lt;=Calc!$D$4,"Nice",""))</f>
        <v/>
      </c>
      <c r="E22" s="60"/>
      <c r="F22" s="24">
        <v>22</v>
      </c>
    </row>
    <row r="23" spans="1:6" hidden="1" x14ac:dyDescent="0.25">
      <c r="A23" s="21" t="str">
        <f ca="1">Calc!L23</f>
        <v/>
      </c>
      <c r="B23" s="22" t="str">
        <f ca="1">Calc!K23</f>
        <v/>
      </c>
      <c r="C23" s="39">
        <f ca="1">Calc!M23</f>
        <v>995</v>
      </c>
      <c r="D23" s="59" t="str">
        <f ca="1">IF(C23=0,"Exact",IF(C23&lt;=Calc!$D$4,"Nice",""))</f>
        <v/>
      </c>
      <c r="E23" s="60"/>
      <c r="F23" s="24">
        <v>23</v>
      </c>
    </row>
    <row r="24" spans="1:6" ht="15.75" hidden="1" thickTop="1" x14ac:dyDescent="0.25">
      <c r="A24" s="21" t="str">
        <f ca="1">Calc!L24</f>
        <v/>
      </c>
      <c r="B24" s="22" t="str">
        <f ca="1">Calc!K24</f>
        <v/>
      </c>
      <c r="C24" s="39">
        <f ca="1">Calc!M24</f>
        <v>995</v>
      </c>
      <c r="D24" s="59" t="str">
        <f ca="1">IF(C24=0,"Exact",IF(C24&lt;=Calc!$D$4,"Nice",""))</f>
        <v/>
      </c>
      <c r="E24" s="60"/>
      <c r="F24" s="24">
        <v>24</v>
      </c>
    </row>
    <row r="25" spans="1:6" hidden="1" x14ac:dyDescent="0.25">
      <c r="A25" s="21" t="str">
        <f ca="1">Calc!L25</f>
        <v/>
      </c>
      <c r="B25" s="22" t="str">
        <f ca="1">Calc!K25</f>
        <v/>
      </c>
      <c r="C25" s="39">
        <f ca="1">Calc!M25</f>
        <v>995</v>
      </c>
      <c r="D25" s="59" t="str">
        <f ca="1">IF(C25=0,"Exact",IF(C25&lt;=Calc!$D$4,"Nice",""))</f>
        <v/>
      </c>
      <c r="E25" s="60"/>
      <c r="F25" s="24">
        <v>25</v>
      </c>
    </row>
    <row r="26" spans="1:6" ht="15.75" hidden="1" thickTop="1" x14ac:dyDescent="0.25">
      <c r="A26" s="21" t="str">
        <f ca="1">Calc!L26</f>
        <v/>
      </c>
      <c r="B26" s="22" t="str">
        <f ca="1">Calc!K26</f>
        <v/>
      </c>
      <c r="C26" s="39">
        <f ca="1">Calc!M26</f>
        <v>995</v>
      </c>
      <c r="D26" s="59" t="str">
        <f ca="1">IF(C26=0,"Exact",IF(C26&lt;=Calc!$D$4,"Nice",""))</f>
        <v/>
      </c>
      <c r="E26" s="60"/>
      <c r="F26" s="24">
        <v>26</v>
      </c>
    </row>
    <row r="27" spans="1:6" hidden="1" x14ac:dyDescent="0.25">
      <c r="A27" s="21" t="str">
        <f ca="1">Calc!L27</f>
        <v/>
      </c>
      <c r="B27" s="22" t="str">
        <f ca="1">Calc!K27</f>
        <v/>
      </c>
      <c r="C27" s="39">
        <f ca="1">Calc!M27</f>
        <v>995</v>
      </c>
      <c r="D27" s="59" t="str">
        <f ca="1">IF(C27=0,"Exact",IF(C27&lt;=Calc!$D$4,"Nice",""))</f>
        <v/>
      </c>
      <c r="E27" s="60"/>
      <c r="F27" s="24">
        <v>27</v>
      </c>
    </row>
    <row r="28" spans="1:6" ht="15.75" hidden="1" thickTop="1" x14ac:dyDescent="0.25">
      <c r="A28" s="21" t="str">
        <f ca="1">Calc!L28</f>
        <v/>
      </c>
      <c r="B28" s="22" t="str">
        <f ca="1">Calc!K28</f>
        <v/>
      </c>
      <c r="C28" s="39">
        <f ca="1">Calc!M28</f>
        <v>995</v>
      </c>
      <c r="D28" s="59" t="str">
        <f ca="1">IF(C28=0,"Exact",IF(C28&lt;=Calc!$D$4,"Nice",""))</f>
        <v/>
      </c>
      <c r="E28" s="60"/>
      <c r="F28" s="24">
        <v>28</v>
      </c>
    </row>
    <row r="29" spans="1:6" hidden="1" x14ac:dyDescent="0.25">
      <c r="A29" s="21" t="str">
        <f ca="1">Calc!L29</f>
        <v/>
      </c>
      <c r="B29" s="22" t="str">
        <f ca="1">Calc!K29</f>
        <v/>
      </c>
      <c r="C29" s="39">
        <f ca="1">Calc!M29</f>
        <v>995</v>
      </c>
      <c r="D29" s="59" t="str">
        <f ca="1">IF(C29=0,"Exact",IF(C29&lt;=Calc!$D$4,"Nice",""))</f>
        <v/>
      </c>
      <c r="E29" s="60"/>
      <c r="F29" s="24">
        <v>29</v>
      </c>
    </row>
    <row r="30" spans="1:6" ht="15.75" hidden="1" thickTop="1" x14ac:dyDescent="0.25">
      <c r="A30" s="21" t="str">
        <f ca="1">Calc!L30</f>
        <v/>
      </c>
      <c r="B30" s="22" t="str">
        <f ca="1">Calc!K30</f>
        <v/>
      </c>
      <c r="C30" s="39">
        <f ca="1">Calc!M30</f>
        <v>995</v>
      </c>
      <c r="D30" s="59" t="str">
        <f ca="1">IF(C30=0,"Exact",IF(C30&lt;=Calc!$D$4,"Nice",""))</f>
        <v/>
      </c>
      <c r="E30" s="60"/>
      <c r="F30" s="24">
        <v>30</v>
      </c>
    </row>
    <row r="31" spans="1:6" hidden="1" x14ac:dyDescent="0.25">
      <c r="A31" s="21" t="str">
        <f ca="1">Calc!L31</f>
        <v/>
      </c>
      <c r="B31" s="22" t="str">
        <f ca="1">Calc!K31</f>
        <v/>
      </c>
      <c r="C31" s="39">
        <f ca="1">Calc!M31</f>
        <v>995</v>
      </c>
      <c r="D31" s="59" t="str">
        <f ca="1">IF(C31=0,"Exact",IF(C31&lt;=Calc!$D$4,"Nice",""))</f>
        <v/>
      </c>
      <c r="E31" s="60"/>
      <c r="F31" s="24">
        <v>31</v>
      </c>
    </row>
    <row r="32" spans="1:6" ht="15.75" hidden="1" thickTop="1" x14ac:dyDescent="0.25">
      <c r="A32" s="21" t="str">
        <f ca="1">Calc!L32</f>
        <v/>
      </c>
      <c r="B32" s="22" t="str">
        <f ca="1">Calc!K32</f>
        <v/>
      </c>
      <c r="C32" s="39">
        <f ca="1">Calc!M32</f>
        <v>995</v>
      </c>
      <c r="D32" s="59" t="str">
        <f ca="1">IF(C32=0,"Exact",IF(C32&lt;=Calc!$D$4,"Nice",""))</f>
        <v/>
      </c>
      <c r="E32" s="60"/>
      <c r="F32" s="24">
        <v>32</v>
      </c>
    </row>
    <row r="33" spans="1:6" hidden="1" x14ac:dyDescent="0.25">
      <c r="A33" s="21" t="str">
        <f ca="1">Calc!L33</f>
        <v/>
      </c>
      <c r="B33" s="22" t="str">
        <f ca="1">Calc!K33</f>
        <v/>
      </c>
      <c r="C33" s="39">
        <f ca="1">Calc!M33</f>
        <v>995</v>
      </c>
      <c r="D33" s="59" t="str">
        <f ca="1">IF(C33=0,"Exact",IF(C33&lt;=Calc!$D$4,"Nice",""))</f>
        <v/>
      </c>
      <c r="E33" s="60"/>
      <c r="F33" s="24">
        <v>33</v>
      </c>
    </row>
    <row r="34" spans="1:6" ht="15.75" hidden="1" thickTop="1" x14ac:dyDescent="0.25">
      <c r="A34" s="21" t="str">
        <f ca="1">Calc!L34</f>
        <v/>
      </c>
      <c r="B34" s="22" t="str">
        <f ca="1">Calc!K34</f>
        <v/>
      </c>
      <c r="C34" s="39">
        <f ca="1">Calc!M34</f>
        <v>995</v>
      </c>
      <c r="D34" s="59" t="str">
        <f ca="1">IF(C34=0,"Exact",IF(C34&lt;=Calc!$D$4,"Nice",""))</f>
        <v/>
      </c>
      <c r="E34" s="60"/>
      <c r="F34" s="24">
        <v>34</v>
      </c>
    </row>
    <row r="35" spans="1:6" hidden="1" x14ac:dyDescent="0.25">
      <c r="A35" s="21" t="str">
        <f ca="1">Calc!L35</f>
        <v/>
      </c>
      <c r="B35" s="22" t="str">
        <f ca="1">Calc!K35</f>
        <v/>
      </c>
      <c r="C35" s="39">
        <f ca="1">Calc!M35</f>
        <v>995</v>
      </c>
      <c r="D35" s="59" t="str">
        <f ca="1">IF(C35=0,"Exact",IF(C35&lt;=Calc!$D$4,"Nice",""))</f>
        <v/>
      </c>
      <c r="E35" s="60"/>
      <c r="F35" s="24">
        <v>35</v>
      </c>
    </row>
    <row r="36" spans="1:6" ht="15.75" hidden="1" thickTop="1" x14ac:dyDescent="0.25">
      <c r="A36" s="21" t="str">
        <f ca="1">Calc!L36</f>
        <v/>
      </c>
      <c r="B36" s="22" t="str">
        <f ca="1">Calc!K36</f>
        <v/>
      </c>
      <c r="C36" s="39">
        <f ca="1">Calc!M36</f>
        <v>995</v>
      </c>
      <c r="D36" s="59" t="str">
        <f ca="1">IF(C36=0,"Exact",IF(C36&lt;=Calc!$D$4,"Nice",""))</f>
        <v/>
      </c>
      <c r="E36" s="60"/>
      <c r="F36" s="24">
        <v>36</v>
      </c>
    </row>
    <row r="37" spans="1:6" hidden="1" x14ac:dyDescent="0.25">
      <c r="A37" s="21" t="str">
        <f ca="1">Calc!L37</f>
        <v/>
      </c>
      <c r="B37" s="22" t="str">
        <f ca="1">Calc!K37</f>
        <v/>
      </c>
      <c r="C37" s="39">
        <f ca="1">Calc!M37</f>
        <v>995</v>
      </c>
      <c r="D37" s="59" t="str">
        <f ca="1">IF(C37=0,"Exact",IF(C37&lt;=Calc!$D$4,"Nice",""))</f>
        <v/>
      </c>
      <c r="E37" s="60"/>
      <c r="F37" s="24">
        <v>37</v>
      </c>
    </row>
    <row r="38" spans="1:6" ht="15.75" hidden="1" thickTop="1" x14ac:dyDescent="0.25">
      <c r="A38" s="21" t="str">
        <f ca="1">Calc!L38</f>
        <v/>
      </c>
      <c r="B38" s="22" t="str">
        <f ca="1">Calc!K38</f>
        <v/>
      </c>
      <c r="C38" s="39">
        <f ca="1">Calc!M38</f>
        <v>995</v>
      </c>
      <c r="D38" s="59" t="str">
        <f ca="1">IF(C38=0,"Exact",IF(C38&lt;=Calc!$D$4,"Nice",""))</f>
        <v/>
      </c>
      <c r="E38" s="60"/>
      <c r="F38" s="24">
        <v>38</v>
      </c>
    </row>
    <row r="39" spans="1:6" hidden="1" x14ac:dyDescent="0.25">
      <c r="A39" s="21" t="str">
        <f ca="1">Calc!L39</f>
        <v/>
      </c>
      <c r="B39" s="22" t="str">
        <f ca="1">Calc!K39</f>
        <v/>
      </c>
      <c r="C39" s="39">
        <f ca="1">Calc!M39</f>
        <v>995</v>
      </c>
      <c r="D39" s="59" t="str">
        <f ca="1">IF(C39=0,"Exact",IF(C39&lt;=Calc!$D$4,"Nice",""))</f>
        <v/>
      </c>
      <c r="E39" s="60"/>
      <c r="F39" s="24">
        <v>39</v>
      </c>
    </row>
    <row r="40" spans="1:6" ht="15.75" hidden="1" thickTop="1" x14ac:dyDescent="0.25">
      <c r="A40" s="21" t="str">
        <f ca="1">Calc!L40</f>
        <v/>
      </c>
      <c r="B40" s="22" t="str">
        <f ca="1">Calc!K40</f>
        <v/>
      </c>
      <c r="C40" s="39">
        <f ca="1">Calc!M40</f>
        <v>995</v>
      </c>
      <c r="D40" s="59" t="str">
        <f ca="1">IF(C40=0,"Exact",IF(C40&lt;=Calc!$D$4,"Nice",""))</f>
        <v/>
      </c>
      <c r="E40" s="60"/>
      <c r="F40" s="24">
        <v>40</v>
      </c>
    </row>
    <row r="41" spans="1:6" hidden="1" x14ac:dyDescent="0.25">
      <c r="A41" s="21" t="str">
        <f ca="1">Calc!L41</f>
        <v/>
      </c>
      <c r="B41" s="22" t="str">
        <f ca="1">Calc!K41</f>
        <v/>
      </c>
      <c r="C41" s="39">
        <f ca="1">Calc!M41</f>
        <v>995</v>
      </c>
      <c r="D41" s="59" t="str">
        <f ca="1">IF(C41=0,"Exact",IF(C41&lt;=Calc!$D$4,"Nice",""))</f>
        <v/>
      </c>
      <c r="E41" s="60"/>
      <c r="F41" s="24">
        <v>41</v>
      </c>
    </row>
    <row r="42" spans="1:6" ht="15.75" hidden="1" thickTop="1" x14ac:dyDescent="0.25">
      <c r="A42" s="21" t="str">
        <f ca="1">Calc!L42</f>
        <v/>
      </c>
      <c r="B42" s="22" t="str">
        <f ca="1">Calc!K42</f>
        <v/>
      </c>
      <c r="C42" s="39">
        <f ca="1">Calc!M42</f>
        <v>995</v>
      </c>
      <c r="D42" s="59" t="str">
        <f ca="1">IF(C42=0,"Exact",IF(C42&lt;=Calc!$D$4,"Nice",""))</f>
        <v/>
      </c>
      <c r="E42" s="60"/>
      <c r="F42" s="24">
        <v>42</v>
      </c>
    </row>
    <row r="43" spans="1:6" hidden="1" x14ac:dyDescent="0.25">
      <c r="A43" s="21" t="str">
        <f ca="1">Calc!L43</f>
        <v/>
      </c>
      <c r="B43" s="22" t="str">
        <f ca="1">Calc!K43</f>
        <v/>
      </c>
      <c r="C43" s="39">
        <f ca="1">Calc!M43</f>
        <v>995</v>
      </c>
      <c r="D43" s="59" t="str">
        <f ca="1">IF(C43=0,"Exact",IF(C43&lt;=Calc!$D$4,"Nice",""))</f>
        <v/>
      </c>
      <c r="E43" s="60"/>
      <c r="F43" s="24">
        <v>43</v>
      </c>
    </row>
    <row r="44" spans="1:6" ht="15.75" hidden="1" thickTop="1" x14ac:dyDescent="0.25">
      <c r="A44" s="21" t="str">
        <f ca="1">Calc!L44</f>
        <v/>
      </c>
      <c r="B44" s="22" t="str">
        <f ca="1">Calc!K44</f>
        <v/>
      </c>
      <c r="C44" s="39">
        <f ca="1">Calc!M44</f>
        <v>995</v>
      </c>
      <c r="D44" s="59" t="str">
        <f ca="1">IF(C44=0,"Exact",IF(C44&lt;=Calc!$D$4,"Nice",""))</f>
        <v/>
      </c>
      <c r="E44" s="60"/>
      <c r="F44" s="24">
        <v>44</v>
      </c>
    </row>
    <row r="45" spans="1:6" hidden="1" x14ac:dyDescent="0.25">
      <c r="A45" s="21" t="str">
        <f ca="1">Calc!L45</f>
        <v/>
      </c>
      <c r="B45" s="22" t="str">
        <f ca="1">Calc!K45</f>
        <v/>
      </c>
      <c r="C45" s="39">
        <f ca="1">Calc!M45</f>
        <v>995</v>
      </c>
      <c r="D45" s="59" t="str">
        <f ca="1">IF(C45=0,"Exact",IF(C45&lt;=Calc!$D$4,"Nice",""))</f>
        <v/>
      </c>
      <c r="E45" s="60"/>
      <c r="F45" s="24">
        <v>45</v>
      </c>
    </row>
    <row r="46" spans="1:6" ht="15.75" hidden="1" thickTop="1" x14ac:dyDescent="0.25">
      <c r="A46" s="21" t="str">
        <f ca="1">Calc!L46</f>
        <v/>
      </c>
      <c r="B46" s="22" t="str">
        <f ca="1">Calc!K46</f>
        <v/>
      </c>
      <c r="C46" s="39">
        <f ca="1">Calc!M46</f>
        <v>995</v>
      </c>
      <c r="D46" s="59" t="str">
        <f ca="1">IF(C46=0,"Exact",IF(C46&lt;=Calc!$D$4,"Nice",""))</f>
        <v/>
      </c>
      <c r="E46" s="60"/>
      <c r="F46" s="24">
        <v>46</v>
      </c>
    </row>
    <row r="47" spans="1:6" hidden="1" x14ac:dyDescent="0.25">
      <c r="A47" s="21" t="str">
        <f ca="1">Calc!L47</f>
        <v/>
      </c>
      <c r="B47" s="22" t="str">
        <f ca="1">Calc!K47</f>
        <v/>
      </c>
      <c r="C47" s="39">
        <f ca="1">Calc!M47</f>
        <v>995</v>
      </c>
      <c r="D47" s="59" t="str">
        <f ca="1">IF(C47=0,"Exact",IF(C47&lt;=Calc!$D$4,"Nice",""))</f>
        <v/>
      </c>
      <c r="E47" s="60"/>
      <c r="F47" s="24">
        <v>47</v>
      </c>
    </row>
    <row r="48" spans="1:6" ht="15.75" hidden="1" thickTop="1" x14ac:dyDescent="0.25">
      <c r="A48" s="21" t="str">
        <f ca="1">Calc!L48</f>
        <v/>
      </c>
      <c r="B48" s="22" t="str">
        <f ca="1">Calc!K48</f>
        <v/>
      </c>
      <c r="C48" s="39">
        <f ca="1">Calc!M48</f>
        <v>995</v>
      </c>
      <c r="D48" s="59" t="str">
        <f ca="1">IF(C48=0,"Exact",IF(C48&lt;=Calc!$D$4,"Nice",""))</f>
        <v/>
      </c>
      <c r="E48" s="60"/>
      <c r="F48" s="24">
        <v>48</v>
      </c>
    </row>
    <row r="49" spans="1:6" hidden="1" x14ac:dyDescent="0.25">
      <c r="A49" s="21" t="str">
        <f ca="1">Calc!L49</f>
        <v/>
      </c>
      <c r="B49" s="22" t="str">
        <f ca="1">Calc!K49</f>
        <v/>
      </c>
      <c r="C49" s="39">
        <f ca="1">Calc!M49</f>
        <v>995</v>
      </c>
      <c r="D49" s="59" t="str">
        <f ca="1">IF(C49=0,"Exact",IF(C49&lt;=Calc!$D$4,"Nice",""))</f>
        <v/>
      </c>
      <c r="E49" s="60"/>
      <c r="F49" s="24">
        <v>49</v>
      </c>
    </row>
    <row r="50" spans="1:6" ht="15.75" hidden="1" thickTop="1" x14ac:dyDescent="0.25">
      <c r="A50" s="21" t="str">
        <f ca="1">Calc!L50</f>
        <v/>
      </c>
      <c r="B50" s="22" t="str">
        <f ca="1">Calc!K50</f>
        <v/>
      </c>
      <c r="C50" s="39">
        <f ca="1">Calc!M50</f>
        <v>995</v>
      </c>
      <c r="D50" s="59" t="str">
        <f ca="1">IF(C50=0,"Exact",IF(C50&lt;=Calc!$D$4,"Nice",""))</f>
        <v/>
      </c>
      <c r="E50" s="60"/>
      <c r="F50" s="24">
        <v>50</v>
      </c>
    </row>
    <row r="51" spans="1:6" hidden="1" x14ac:dyDescent="0.25">
      <c r="A51" s="21" t="str">
        <f ca="1">Calc!L51</f>
        <v/>
      </c>
      <c r="B51" s="22" t="str">
        <f ca="1">Calc!K51</f>
        <v/>
      </c>
      <c r="C51" s="39">
        <f ca="1">Calc!M51</f>
        <v>995</v>
      </c>
      <c r="D51" s="59" t="str">
        <f ca="1">IF(C51=0,"Exact",IF(C51&lt;=Calc!$D$4,"Nice",""))</f>
        <v/>
      </c>
      <c r="E51" s="60"/>
      <c r="F51" s="24">
        <v>51</v>
      </c>
    </row>
    <row r="52" spans="1:6" ht="15.75" hidden="1" thickTop="1" x14ac:dyDescent="0.25">
      <c r="A52" s="21" t="str">
        <f ca="1">Calc!L52</f>
        <v/>
      </c>
      <c r="B52" s="22" t="str">
        <f ca="1">Calc!K52</f>
        <v/>
      </c>
      <c r="C52" s="39">
        <f ca="1">Calc!M52</f>
        <v>995</v>
      </c>
      <c r="D52" s="59" t="str">
        <f ca="1">IF(C52=0,"Exact",IF(C52&lt;=Calc!$D$4,"Nice",""))</f>
        <v/>
      </c>
      <c r="E52" s="60"/>
      <c r="F52" s="24">
        <v>52</v>
      </c>
    </row>
    <row r="53" spans="1:6" hidden="1" x14ac:dyDescent="0.25">
      <c r="A53" s="21" t="str">
        <f ca="1">Calc!L53</f>
        <v/>
      </c>
      <c r="B53" s="22" t="str">
        <f ca="1">Calc!K53</f>
        <v/>
      </c>
      <c r="C53" s="39">
        <f ca="1">Calc!M53</f>
        <v>995</v>
      </c>
      <c r="D53" s="59" t="str">
        <f ca="1">IF(C53=0,"Exact",IF(C53&lt;=Calc!$D$4,"Nice",""))</f>
        <v/>
      </c>
      <c r="E53" s="60"/>
      <c r="F53" s="24">
        <v>53</v>
      </c>
    </row>
    <row r="54" spans="1:6" ht="15.75" hidden="1" thickTop="1" x14ac:dyDescent="0.25">
      <c r="A54" s="21" t="str">
        <f ca="1">Calc!L54</f>
        <v/>
      </c>
      <c r="B54" s="22" t="str">
        <f ca="1">Calc!K54</f>
        <v/>
      </c>
      <c r="C54" s="39">
        <f ca="1">Calc!M54</f>
        <v>995</v>
      </c>
      <c r="D54" s="59" t="str">
        <f ca="1">IF(C54=0,"Exact",IF(C54&lt;=Calc!$D$4,"Nice",""))</f>
        <v/>
      </c>
      <c r="E54" s="60"/>
      <c r="F54" s="24">
        <v>54</v>
      </c>
    </row>
    <row r="55" spans="1:6" hidden="1" x14ac:dyDescent="0.25">
      <c r="A55" s="21" t="str">
        <f ca="1">Calc!L55</f>
        <v/>
      </c>
      <c r="B55" s="22" t="str">
        <f ca="1">Calc!K55</f>
        <v/>
      </c>
      <c r="C55" s="39">
        <f ca="1">Calc!M55</f>
        <v>995</v>
      </c>
      <c r="D55" s="59" t="str">
        <f ca="1">IF(C55=0,"Exact",IF(C55&lt;=Calc!$D$4,"Nice",""))</f>
        <v/>
      </c>
      <c r="E55" s="60"/>
      <c r="F55" s="24">
        <v>55</v>
      </c>
    </row>
    <row r="56" spans="1:6" ht="15.75" hidden="1" thickTop="1" x14ac:dyDescent="0.25">
      <c r="A56" s="21" t="str">
        <f ca="1">Calc!L56</f>
        <v/>
      </c>
      <c r="B56" s="22" t="str">
        <f ca="1">Calc!K56</f>
        <v/>
      </c>
      <c r="C56" s="39">
        <f ca="1">Calc!M56</f>
        <v>995</v>
      </c>
      <c r="D56" s="59" t="str">
        <f ca="1">IF(C56=0,"Exact",IF(C56&lt;=Calc!$D$4,"Nice",""))</f>
        <v/>
      </c>
      <c r="E56" s="60"/>
      <c r="F56" s="24">
        <v>56</v>
      </c>
    </row>
    <row r="57" spans="1:6" hidden="1" x14ac:dyDescent="0.25">
      <c r="A57" s="21" t="str">
        <f ca="1">Calc!L57</f>
        <v/>
      </c>
      <c r="B57" s="22" t="str">
        <f ca="1">Calc!K57</f>
        <v/>
      </c>
      <c r="C57" s="39">
        <f ca="1">Calc!M57</f>
        <v>995</v>
      </c>
      <c r="D57" s="59" t="str">
        <f ca="1">IF(C57=0,"Exact",IF(C57&lt;=Calc!$D$4,"Nice",""))</f>
        <v/>
      </c>
      <c r="E57" s="60"/>
      <c r="F57" s="24">
        <v>57</v>
      </c>
    </row>
    <row r="58" spans="1:6" ht="15.75" hidden="1" thickTop="1" x14ac:dyDescent="0.25">
      <c r="A58" s="21" t="str">
        <f ca="1">Calc!L58</f>
        <v/>
      </c>
      <c r="B58" s="22" t="str">
        <f ca="1">Calc!K58</f>
        <v/>
      </c>
      <c r="C58" s="39">
        <f ca="1">Calc!M58</f>
        <v>995</v>
      </c>
      <c r="D58" s="59" t="str">
        <f ca="1">IF(C58=0,"Exact",IF(C58&lt;=Calc!$D$4,"Nice",""))</f>
        <v/>
      </c>
      <c r="E58" s="60"/>
      <c r="F58" s="24">
        <v>58</v>
      </c>
    </row>
    <row r="59" spans="1:6" hidden="1" x14ac:dyDescent="0.25">
      <c r="A59" s="21" t="str">
        <f ca="1">Calc!L59</f>
        <v/>
      </c>
      <c r="B59" s="22" t="str">
        <f ca="1">Calc!K59</f>
        <v/>
      </c>
      <c r="C59" s="39">
        <f ca="1">Calc!M59</f>
        <v>995</v>
      </c>
      <c r="D59" s="59" t="str">
        <f ca="1">IF(C59=0,"Exact",IF(C59&lt;=Calc!$D$4,"Nice",""))</f>
        <v/>
      </c>
      <c r="E59" s="60"/>
      <c r="F59" s="24">
        <v>59</v>
      </c>
    </row>
    <row r="60" spans="1:6" hidden="1" x14ac:dyDescent="0.25">
      <c r="A60" s="21" t="str">
        <f ca="1">Calc!L60</f>
        <v/>
      </c>
      <c r="B60" s="22" t="str">
        <f ca="1">Calc!K60</f>
        <v/>
      </c>
      <c r="C60" s="39">
        <f ca="1">Calc!M60</f>
        <v>995</v>
      </c>
      <c r="D60" s="59" t="str">
        <f ca="1">IF(C60=0,"Exact",IF(C60&lt;=Calc!$D$4,"Nice",""))</f>
        <v/>
      </c>
      <c r="E60" s="60"/>
      <c r="F60" s="24">
        <v>60</v>
      </c>
    </row>
    <row r="61" spans="1:6" ht="15.75" hidden="1" thickTop="1" x14ac:dyDescent="0.25">
      <c r="A61" s="21" t="str">
        <f ca="1">Calc!L61</f>
        <v/>
      </c>
      <c r="B61" s="22" t="str">
        <f ca="1">Calc!K61</f>
        <v/>
      </c>
      <c r="C61" s="39">
        <f ca="1">Calc!M61</f>
        <v>995</v>
      </c>
      <c r="D61" s="59" t="str">
        <f ca="1">IF(C61=0,"Exact",IF(C61&lt;=Calc!$D$4,"Nice",""))</f>
        <v/>
      </c>
      <c r="E61" s="60"/>
      <c r="F61" s="24">
        <v>61</v>
      </c>
    </row>
    <row r="62" spans="1:6" hidden="1" x14ac:dyDescent="0.25">
      <c r="A62" s="21" t="str">
        <f ca="1">Calc!L62</f>
        <v/>
      </c>
      <c r="B62" s="22" t="str">
        <f ca="1">Calc!K62</f>
        <v/>
      </c>
      <c r="C62" s="39">
        <f ca="1">Calc!M62</f>
        <v>995</v>
      </c>
      <c r="D62" s="59" t="str">
        <f ca="1">IF(C62=0,"Exact",IF(C62&lt;=Calc!$D$4,"Nice",""))</f>
        <v/>
      </c>
      <c r="E62" s="60"/>
      <c r="F62" s="24">
        <v>62</v>
      </c>
    </row>
    <row r="63" spans="1:6" hidden="1" x14ac:dyDescent="0.25">
      <c r="A63" s="21" t="str">
        <f ca="1">Calc!L63</f>
        <v/>
      </c>
      <c r="B63" s="22" t="str">
        <f ca="1">Calc!K63</f>
        <v/>
      </c>
      <c r="C63" s="39">
        <f ca="1">Calc!M63</f>
        <v>995</v>
      </c>
      <c r="D63" s="59" t="str">
        <f ca="1">IF(C63=0,"Exact",IF(C63&lt;=Calc!$D$4,"Nice",""))</f>
        <v/>
      </c>
      <c r="E63" s="60"/>
      <c r="F63" s="24">
        <v>63</v>
      </c>
    </row>
    <row r="64" spans="1:6" hidden="1" x14ac:dyDescent="0.25">
      <c r="A64" s="21" t="str">
        <f ca="1">Calc!L64</f>
        <v/>
      </c>
      <c r="B64" s="22" t="str">
        <f ca="1">Calc!K64</f>
        <v/>
      </c>
      <c r="C64" s="39">
        <f ca="1">Calc!M64</f>
        <v>995</v>
      </c>
      <c r="D64" s="59" t="str">
        <f ca="1">IF(C64=0,"Exact",IF(C64&lt;=Calc!$D$4,"Nice",""))</f>
        <v/>
      </c>
      <c r="E64" s="60"/>
      <c r="F64" s="24">
        <v>64</v>
      </c>
    </row>
    <row r="65" spans="1:6" ht="15.75" hidden="1" thickTop="1" x14ac:dyDescent="0.25">
      <c r="A65" s="21" t="str">
        <f ca="1">Calc!L65</f>
        <v/>
      </c>
      <c r="B65" s="22" t="str">
        <f ca="1">Calc!K65</f>
        <v/>
      </c>
      <c r="C65" s="39">
        <f ca="1">Calc!M65</f>
        <v>995</v>
      </c>
      <c r="D65" s="59" t="str">
        <f ca="1">IF(C65=0,"Exact",IF(C65&lt;=Calc!$D$4,"Nice",""))</f>
        <v/>
      </c>
      <c r="E65" s="60"/>
      <c r="F65" s="24">
        <v>65</v>
      </c>
    </row>
    <row r="66" spans="1:6" ht="15.75" hidden="1" thickTop="1" x14ac:dyDescent="0.25">
      <c r="A66" s="21" t="str">
        <f ca="1">Calc!L66</f>
        <v/>
      </c>
      <c r="B66" s="22" t="str">
        <f ca="1">Calc!K66</f>
        <v/>
      </c>
      <c r="C66" s="39">
        <f ca="1">Calc!M66</f>
        <v>995</v>
      </c>
      <c r="D66" s="59" t="str">
        <f ca="1">IF(C66=0,"Exact",IF(C66&lt;=Calc!$D$4,"Nice",""))</f>
        <v/>
      </c>
      <c r="E66" s="60"/>
      <c r="F66" s="24">
        <v>66</v>
      </c>
    </row>
    <row r="67" spans="1:6" ht="15.75" hidden="1" thickTop="1" x14ac:dyDescent="0.25">
      <c r="A67" s="21" t="str">
        <f ca="1">Calc!L67</f>
        <v/>
      </c>
      <c r="B67" s="22" t="str">
        <f ca="1">Calc!K67</f>
        <v/>
      </c>
      <c r="C67" s="39">
        <f ca="1">Calc!M67</f>
        <v>995</v>
      </c>
      <c r="D67" s="59" t="str">
        <f ca="1">IF(C67=0,"Exact",IF(C67&lt;=Calc!$D$4,"Nice",""))</f>
        <v/>
      </c>
      <c r="E67" s="60"/>
      <c r="F67" s="24">
        <v>67</v>
      </c>
    </row>
    <row r="68" spans="1:6" ht="15.75" hidden="1" thickTop="1" x14ac:dyDescent="0.25">
      <c r="A68" s="21" t="str">
        <f ca="1">Calc!L68</f>
        <v/>
      </c>
      <c r="B68" s="22" t="str">
        <f ca="1">Calc!K68</f>
        <v/>
      </c>
      <c r="C68" s="39">
        <f ca="1">Calc!M68</f>
        <v>995</v>
      </c>
      <c r="D68" s="59" t="str">
        <f ca="1">IF(C68=0,"Exact",IF(C68&lt;=Calc!$D$4,"Nice",""))</f>
        <v/>
      </c>
      <c r="E68" s="60"/>
      <c r="F68" s="24">
        <v>68</v>
      </c>
    </row>
    <row r="69" spans="1:6" ht="15.75" hidden="1" thickTop="1" x14ac:dyDescent="0.25">
      <c r="A69" s="21" t="str">
        <f ca="1">Calc!L69</f>
        <v/>
      </c>
      <c r="B69" s="22" t="str">
        <f ca="1">Calc!K69</f>
        <v/>
      </c>
      <c r="C69" s="39">
        <f ca="1">Calc!M69</f>
        <v>995</v>
      </c>
      <c r="D69" s="59" t="str">
        <f ca="1">IF(C69=0,"Exact",IF(C69&lt;=Calc!$D$4,"Nice",""))</f>
        <v/>
      </c>
      <c r="E69" s="60"/>
      <c r="F69" s="24">
        <v>69</v>
      </c>
    </row>
    <row r="70" spans="1:6" ht="15.75" hidden="1" thickTop="1" x14ac:dyDescent="0.25">
      <c r="A70" s="21" t="str">
        <f ca="1">Calc!L70</f>
        <v/>
      </c>
      <c r="B70" s="22" t="str">
        <f ca="1">Calc!K70</f>
        <v/>
      </c>
      <c r="C70" s="39">
        <f ca="1">Calc!M70</f>
        <v>995</v>
      </c>
      <c r="D70" s="59" t="str">
        <f ca="1">IF(C70=0,"Exact",IF(C70&lt;=Calc!$D$4,"Nice",""))</f>
        <v/>
      </c>
      <c r="E70" s="60"/>
      <c r="F70" s="24">
        <v>70</v>
      </c>
    </row>
    <row r="71" spans="1:6" ht="15.75" hidden="1" thickTop="1" x14ac:dyDescent="0.25">
      <c r="A71" s="21" t="str">
        <f ca="1">Calc!L71</f>
        <v/>
      </c>
      <c r="B71" s="22" t="str">
        <f ca="1">Calc!K71</f>
        <v/>
      </c>
      <c r="C71" s="39">
        <f ca="1">Calc!M71</f>
        <v>995</v>
      </c>
      <c r="D71" s="59" t="str">
        <f ca="1">IF(C71=0,"Exact",IF(C71&lt;=Calc!$D$4,"Nice",""))</f>
        <v/>
      </c>
      <c r="E71" s="60"/>
      <c r="F71" s="24">
        <v>71</v>
      </c>
    </row>
    <row r="72" spans="1:6" ht="15.75" hidden="1" thickTop="1" x14ac:dyDescent="0.25">
      <c r="A72" s="21" t="str">
        <f ca="1">Calc!L72</f>
        <v/>
      </c>
      <c r="B72" s="22" t="str">
        <f ca="1">Calc!K72</f>
        <v/>
      </c>
      <c r="C72" s="39">
        <f ca="1">Calc!M72</f>
        <v>995</v>
      </c>
      <c r="D72" s="59" t="str">
        <f ca="1">IF(C72=0,"Exact",IF(C72&lt;=Calc!$D$4,"Nice",""))</f>
        <v/>
      </c>
      <c r="E72" s="60"/>
      <c r="F72" s="24">
        <v>72</v>
      </c>
    </row>
    <row r="73" spans="1:6" ht="15.75" hidden="1" thickTop="1" x14ac:dyDescent="0.25">
      <c r="A73" s="21" t="str">
        <f ca="1">Calc!L73</f>
        <v/>
      </c>
      <c r="B73" s="22" t="str">
        <f ca="1">Calc!K73</f>
        <v/>
      </c>
      <c r="C73" s="39">
        <f ca="1">Calc!M73</f>
        <v>995</v>
      </c>
      <c r="D73" s="59" t="str">
        <f ca="1">IF(C73=0,"Exact",IF(C73&lt;=Calc!$D$4,"Nice",""))</f>
        <v/>
      </c>
      <c r="E73" s="60"/>
      <c r="F73" s="24">
        <v>73</v>
      </c>
    </row>
    <row r="74" spans="1:6" ht="15.75" hidden="1" thickTop="1" x14ac:dyDescent="0.25">
      <c r="A74" s="21" t="str">
        <f ca="1">Calc!L74</f>
        <v/>
      </c>
      <c r="B74" s="22" t="str">
        <f ca="1">Calc!K74</f>
        <v/>
      </c>
      <c r="C74" s="39">
        <f ca="1">Calc!M74</f>
        <v>995</v>
      </c>
      <c r="D74" s="59" t="str">
        <f ca="1">IF(C74=0,"Exact",IF(C74&lt;=Calc!$D$4,"Nice",""))</f>
        <v/>
      </c>
      <c r="E74" s="60"/>
      <c r="F74" s="24">
        <v>74</v>
      </c>
    </row>
    <row r="75" spans="1:6" hidden="1" x14ac:dyDescent="0.25">
      <c r="A75" s="21" t="str">
        <f ca="1">Calc!L75</f>
        <v/>
      </c>
      <c r="B75" s="22" t="str">
        <f ca="1">Calc!K75</f>
        <v/>
      </c>
      <c r="C75" s="39">
        <f ca="1">Calc!M75</f>
        <v>995</v>
      </c>
      <c r="D75" s="59" t="str">
        <f ca="1">IF(C75=0,"Exact",IF(C75&lt;=Calc!$D$4,"Nice",""))</f>
        <v/>
      </c>
      <c r="E75" s="60"/>
      <c r="F75" s="24">
        <v>75</v>
      </c>
    </row>
    <row r="76" spans="1:6" hidden="1" x14ac:dyDescent="0.25">
      <c r="A76" s="21" t="str">
        <f ca="1">Calc!L76</f>
        <v/>
      </c>
      <c r="B76" s="22" t="str">
        <f ca="1">Calc!K76</f>
        <v/>
      </c>
      <c r="C76" s="39">
        <f ca="1">Calc!M76</f>
        <v>995</v>
      </c>
      <c r="D76" s="59" t="str">
        <f ca="1">IF(C76=0,"Exact",IF(C76&lt;=Calc!$D$4,"Nice",""))</f>
        <v/>
      </c>
      <c r="E76" s="60"/>
      <c r="F76" s="24">
        <v>76</v>
      </c>
    </row>
    <row r="77" spans="1:6" ht="15.75" hidden="1" thickTop="1" x14ac:dyDescent="0.25">
      <c r="A77" s="21" t="str">
        <f ca="1">Calc!L77</f>
        <v/>
      </c>
      <c r="B77" s="22" t="str">
        <f ca="1">Calc!K77</f>
        <v/>
      </c>
      <c r="C77" s="39">
        <f ca="1">Calc!M77</f>
        <v>995</v>
      </c>
      <c r="D77" s="59" t="str">
        <f ca="1">IF(C77=0,"Exact",IF(C77&lt;=Calc!$D$4,"Nice",""))</f>
        <v/>
      </c>
      <c r="E77" s="60"/>
      <c r="F77" s="24">
        <v>77</v>
      </c>
    </row>
    <row r="78" spans="1:6" ht="15.75" hidden="1" thickTop="1" x14ac:dyDescent="0.25">
      <c r="A78" s="21" t="str">
        <f ca="1">Calc!L78</f>
        <v/>
      </c>
      <c r="B78" s="22" t="str">
        <f ca="1">Calc!K78</f>
        <v/>
      </c>
      <c r="C78" s="39">
        <f ca="1">Calc!M78</f>
        <v>995</v>
      </c>
      <c r="D78" s="59" t="str">
        <f ca="1">IF(C78=0,"Exact",IF(C78&lt;=Calc!$D$4,"Nice",""))</f>
        <v/>
      </c>
      <c r="E78" s="60"/>
      <c r="F78" s="24">
        <v>78</v>
      </c>
    </row>
    <row r="79" spans="1:6" hidden="1" x14ac:dyDescent="0.25">
      <c r="A79" s="21" t="str">
        <f ca="1">Calc!L79</f>
        <v/>
      </c>
      <c r="B79" s="22" t="str">
        <f ca="1">Calc!K79</f>
        <v/>
      </c>
      <c r="C79" s="39">
        <f ca="1">Calc!M79</f>
        <v>995</v>
      </c>
      <c r="D79" s="59" t="str">
        <f ca="1">IF(C79=0,"Exact",IF(C79&lt;=Calc!$D$4,"Nice",""))</f>
        <v/>
      </c>
      <c r="E79" s="60"/>
      <c r="F79" s="24">
        <v>79</v>
      </c>
    </row>
    <row r="80" spans="1:6" hidden="1" x14ac:dyDescent="0.25">
      <c r="A80" s="21" t="str">
        <f ca="1">Calc!L80</f>
        <v/>
      </c>
      <c r="B80" s="22" t="str">
        <f ca="1">Calc!K80</f>
        <v/>
      </c>
      <c r="C80" s="39">
        <f ca="1">Calc!M80</f>
        <v>995</v>
      </c>
      <c r="D80" s="59" t="str">
        <f ca="1">IF(C80=0,"Exact",IF(C80&lt;=Calc!$D$4,"Nice",""))</f>
        <v/>
      </c>
      <c r="E80" s="60"/>
      <c r="F80" s="24">
        <v>80</v>
      </c>
    </row>
    <row r="81" spans="1:6" ht="15.75" hidden="1" thickTop="1" x14ac:dyDescent="0.25">
      <c r="A81" s="21" t="str">
        <f ca="1">Calc!L81</f>
        <v/>
      </c>
      <c r="B81" s="22" t="str">
        <f ca="1">Calc!K81</f>
        <v/>
      </c>
      <c r="C81" s="39">
        <f ca="1">Calc!M81</f>
        <v>995</v>
      </c>
      <c r="D81" s="59" t="str">
        <f ca="1">IF(C81=0,"Exact",IF(C81&lt;=Calc!$D$4,"Nice",""))</f>
        <v/>
      </c>
      <c r="E81" s="60"/>
      <c r="F81" s="24">
        <v>81</v>
      </c>
    </row>
    <row r="82" spans="1:6" hidden="1" x14ac:dyDescent="0.25">
      <c r="A82" s="21" t="str">
        <f ca="1">Calc!L82</f>
        <v/>
      </c>
      <c r="B82" s="22" t="str">
        <f ca="1">Calc!K82</f>
        <v/>
      </c>
      <c r="C82" s="39">
        <f ca="1">Calc!M82</f>
        <v>995</v>
      </c>
      <c r="D82" s="59" t="str">
        <f ca="1">IF(C82=0,"Exact",IF(C82&lt;=Calc!$D$4,"Nice",""))</f>
        <v/>
      </c>
      <c r="E82" s="60"/>
      <c r="F82" s="24">
        <v>82</v>
      </c>
    </row>
    <row r="83" spans="1:6" hidden="1" x14ac:dyDescent="0.25">
      <c r="A83" s="21" t="str">
        <f ca="1">Calc!L83</f>
        <v/>
      </c>
      <c r="B83" s="22" t="str">
        <f ca="1">Calc!K83</f>
        <v/>
      </c>
      <c r="C83" s="39">
        <f ca="1">Calc!M83</f>
        <v>995</v>
      </c>
      <c r="D83" s="59" t="str">
        <f ca="1">IF(C83=0,"Exact",IF(C83&lt;=Calc!$D$4,"Nice",""))</f>
        <v/>
      </c>
      <c r="E83" s="60"/>
      <c r="F83" s="24">
        <v>83</v>
      </c>
    </row>
    <row r="84" spans="1:6" ht="15.75" hidden="1" thickTop="1" x14ac:dyDescent="0.25">
      <c r="A84" s="21" t="str">
        <f ca="1">Calc!L84</f>
        <v/>
      </c>
      <c r="B84" s="22" t="str">
        <f ca="1">Calc!K84</f>
        <v/>
      </c>
      <c r="C84" s="39">
        <f ca="1">Calc!M84</f>
        <v>995</v>
      </c>
      <c r="D84" s="59" t="str">
        <f ca="1">IF(C84=0,"Exact",IF(C84&lt;=Calc!$D$4,"Nice",""))</f>
        <v/>
      </c>
      <c r="E84" s="60"/>
      <c r="F84" s="24">
        <v>84</v>
      </c>
    </row>
    <row r="85" spans="1:6" ht="15.75" hidden="1" thickTop="1" x14ac:dyDescent="0.25">
      <c r="A85" s="21" t="str">
        <f ca="1">Calc!L85</f>
        <v/>
      </c>
      <c r="B85" s="22" t="str">
        <f ca="1">Calc!K85</f>
        <v/>
      </c>
      <c r="C85" s="39">
        <f ca="1">Calc!M85</f>
        <v>995</v>
      </c>
      <c r="D85" s="59" t="str">
        <f ca="1">IF(C85=0,"Exact",IF(C85&lt;=Calc!$D$4,"Nice",""))</f>
        <v/>
      </c>
      <c r="E85" s="60"/>
      <c r="F85" s="24">
        <v>85</v>
      </c>
    </row>
    <row r="86" spans="1:6" ht="15.75" hidden="1" thickTop="1" x14ac:dyDescent="0.25">
      <c r="A86" s="21" t="str">
        <f ca="1">Calc!L86</f>
        <v/>
      </c>
      <c r="B86" s="22" t="str">
        <f ca="1">Calc!K86</f>
        <v/>
      </c>
      <c r="C86" s="39">
        <f ca="1">Calc!M86</f>
        <v>995</v>
      </c>
      <c r="D86" s="59" t="str">
        <f ca="1">IF(C86=0,"Exact",IF(C86&lt;=Calc!$D$4,"Nice",""))</f>
        <v/>
      </c>
      <c r="E86" s="60"/>
      <c r="F86" s="24">
        <v>86</v>
      </c>
    </row>
    <row r="87" spans="1:6" ht="15.75" hidden="1" thickTop="1" x14ac:dyDescent="0.25">
      <c r="A87" s="21" t="str">
        <f ca="1">Calc!L87</f>
        <v/>
      </c>
      <c r="B87" s="22" t="str">
        <f ca="1">Calc!K87</f>
        <v/>
      </c>
      <c r="C87" s="39">
        <f ca="1">Calc!M87</f>
        <v>995</v>
      </c>
      <c r="D87" s="59" t="str">
        <f ca="1">IF(C87=0,"Exact",IF(C87&lt;=Calc!$D$4,"Nice",""))</f>
        <v/>
      </c>
      <c r="E87" s="60"/>
      <c r="F87" s="24">
        <v>87</v>
      </c>
    </row>
    <row r="88" spans="1:6" ht="15.75" hidden="1" thickTop="1" x14ac:dyDescent="0.25">
      <c r="A88" s="21" t="str">
        <f ca="1">Calc!L88</f>
        <v/>
      </c>
      <c r="B88" s="22" t="str">
        <f ca="1">Calc!K88</f>
        <v/>
      </c>
      <c r="C88" s="39">
        <f ca="1">Calc!M88</f>
        <v>995</v>
      </c>
      <c r="D88" s="59" t="str">
        <f ca="1">IF(C88=0,"Exact",IF(C88&lt;=Calc!$D$4,"Nice",""))</f>
        <v/>
      </c>
      <c r="E88" s="60"/>
      <c r="F88" s="24">
        <v>88</v>
      </c>
    </row>
    <row r="89" spans="1:6" ht="15.75" hidden="1" thickTop="1" x14ac:dyDescent="0.25">
      <c r="A89" s="21" t="str">
        <f ca="1">Calc!L89</f>
        <v/>
      </c>
      <c r="B89" s="22" t="str">
        <f ca="1">Calc!K89</f>
        <v/>
      </c>
      <c r="C89" s="39">
        <f ca="1">Calc!M89</f>
        <v>995</v>
      </c>
      <c r="D89" s="59" t="str">
        <f ca="1">IF(C89=0,"Exact",IF(C89&lt;=Calc!$D$4,"Nice",""))</f>
        <v/>
      </c>
      <c r="E89" s="60"/>
      <c r="F89" s="24">
        <v>89</v>
      </c>
    </row>
    <row r="90" spans="1:6" hidden="1" x14ac:dyDescent="0.25">
      <c r="A90" s="21" t="str">
        <f ca="1">Calc!L90</f>
        <v/>
      </c>
      <c r="B90" s="22" t="str">
        <f ca="1">Calc!K90</f>
        <v/>
      </c>
      <c r="C90" s="39">
        <f ca="1">Calc!M90</f>
        <v>995</v>
      </c>
      <c r="D90" s="59" t="str">
        <f ca="1">IF(C90=0,"Exact",IF(C90&lt;=Calc!$D$4,"Nice",""))</f>
        <v/>
      </c>
      <c r="E90" s="60"/>
      <c r="F90" s="24">
        <v>90</v>
      </c>
    </row>
    <row r="91" spans="1:6" hidden="1" x14ac:dyDescent="0.25">
      <c r="A91" s="21" t="str">
        <f ca="1">Calc!L91</f>
        <v/>
      </c>
      <c r="B91" s="22" t="str">
        <f ca="1">Calc!K91</f>
        <v/>
      </c>
      <c r="C91" s="39">
        <f ca="1">Calc!M91</f>
        <v>995</v>
      </c>
      <c r="D91" s="59" t="str">
        <f ca="1">IF(C91=0,"Exact",IF(C91&lt;=Calc!$D$4,"Nice",""))</f>
        <v/>
      </c>
      <c r="E91" s="60"/>
      <c r="F91" s="24">
        <v>91</v>
      </c>
    </row>
    <row r="92" spans="1:6" hidden="1" x14ac:dyDescent="0.25">
      <c r="A92" s="21" t="str">
        <f ca="1">Calc!L92</f>
        <v/>
      </c>
      <c r="B92" s="22" t="str">
        <f ca="1">Calc!K92</f>
        <v/>
      </c>
      <c r="C92" s="39">
        <f ca="1">Calc!M92</f>
        <v>995</v>
      </c>
      <c r="D92" s="59" t="str">
        <f ca="1">IF(C92=0,"Exact",IF(C92&lt;=Calc!$D$4,"Nice",""))</f>
        <v/>
      </c>
      <c r="E92" s="60"/>
      <c r="F92" s="24">
        <v>92</v>
      </c>
    </row>
    <row r="93" spans="1:6" ht="15.75" hidden="1" thickTop="1" x14ac:dyDescent="0.25">
      <c r="A93" s="21" t="str">
        <f ca="1">Calc!L93</f>
        <v/>
      </c>
      <c r="B93" s="22" t="str">
        <f ca="1">Calc!K93</f>
        <v/>
      </c>
      <c r="C93" s="39">
        <f ca="1">Calc!M93</f>
        <v>995</v>
      </c>
      <c r="D93" s="59" t="str">
        <f ca="1">IF(C93=0,"Exact",IF(C93&lt;=Calc!$D$4,"Nice",""))</f>
        <v/>
      </c>
      <c r="E93" s="60"/>
      <c r="F93" s="24">
        <v>93</v>
      </c>
    </row>
    <row r="94" spans="1:6" ht="15.75" hidden="1" thickTop="1" x14ac:dyDescent="0.25">
      <c r="A94" s="21" t="str">
        <f ca="1">Calc!L94</f>
        <v/>
      </c>
      <c r="B94" s="22" t="str">
        <f ca="1">Calc!K94</f>
        <v/>
      </c>
      <c r="C94" s="39">
        <f ca="1">Calc!M94</f>
        <v>995</v>
      </c>
      <c r="D94" s="59" t="str">
        <f ca="1">IF(C94=0,"Exact",IF(C94&lt;=Calc!$D$4,"Nice",""))</f>
        <v/>
      </c>
      <c r="E94" s="60"/>
      <c r="F94" s="24">
        <v>94</v>
      </c>
    </row>
    <row r="95" spans="1:6" hidden="1" x14ac:dyDescent="0.25">
      <c r="A95" s="21" t="str">
        <f ca="1">Calc!L95</f>
        <v/>
      </c>
      <c r="B95" s="22" t="str">
        <f ca="1">Calc!K95</f>
        <v/>
      </c>
      <c r="C95" s="39">
        <f ca="1">Calc!M95</f>
        <v>995</v>
      </c>
      <c r="D95" s="59" t="str">
        <f ca="1">IF(C95=0,"Exact",IF(C95&lt;=Calc!$D$4,"Nice",""))</f>
        <v/>
      </c>
      <c r="E95" s="60"/>
      <c r="F95" s="24">
        <v>95</v>
      </c>
    </row>
    <row r="96" spans="1:6" ht="15.75" hidden="1" thickTop="1" x14ac:dyDescent="0.25">
      <c r="A96" s="21" t="str">
        <f ca="1">Calc!L96</f>
        <v/>
      </c>
      <c r="B96" s="22" t="str">
        <f ca="1">Calc!K96</f>
        <v/>
      </c>
      <c r="C96" s="39">
        <f ca="1">Calc!M96</f>
        <v>995</v>
      </c>
      <c r="D96" s="59" t="str">
        <f ca="1">IF(C96=0,"Exact",IF(C96&lt;=Calc!$D$4,"Nice",""))</f>
        <v/>
      </c>
      <c r="E96" s="60"/>
      <c r="F96" s="24">
        <v>96</v>
      </c>
    </row>
    <row r="97" spans="1:6" ht="15.75" hidden="1" thickTop="1" x14ac:dyDescent="0.25">
      <c r="A97" s="21" t="str">
        <f ca="1">Calc!L97</f>
        <v/>
      </c>
      <c r="B97" s="22" t="str">
        <f ca="1">Calc!K97</f>
        <v/>
      </c>
      <c r="C97" s="39">
        <f ca="1">Calc!M97</f>
        <v>995</v>
      </c>
      <c r="D97" s="59" t="str">
        <f ca="1">IF(C97=0,"Exact",IF(C97&lt;=Calc!$D$4,"Nice",""))</f>
        <v/>
      </c>
      <c r="E97" s="60"/>
      <c r="F97" s="24">
        <v>97</v>
      </c>
    </row>
    <row r="98" spans="1:6" ht="15.75" hidden="1" thickTop="1" x14ac:dyDescent="0.25">
      <c r="A98" s="21" t="str">
        <f ca="1">Calc!L98</f>
        <v/>
      </c>
      <c r="B98" s="22" t="str">
        <f ca="1">Calc!K98</f>
        <v/>
      </c>
      <c r="C98" s="39">
        <f ca="1">Calc!M98</f>
        <v>995</v>
      </c>
      <c r="D98" s="59" t="str">
        <f ca="1">IF(C98=0,"Exact",IF(C98&lt;=Calc!$D$4,"Nice",""))</f>
        <v/>
      </c>
      <c r="E98" s="60"/>
      <c r="F98" s="24">
        <v>98</v>
      </c>
    </row>
    <row r="99" spans="1:6" ht="15.75" hidden="1" thickTop="1" x14ac:dyDescent="0.25">
      <c r="A99" s="21" t="str">
        <f ca="1">Calc!L99</f>
        <v/>
      </c>
      <c r="B99" s="22" t="str">
        <f ca="1">Calc!K99</f>
        <v/>
      </c>
      <c r="C99" s="39">
        <f ca="1">Calc!M99</f>
        <v>995</v>
      </c>
      <c r="D99" s="59" t="str">
        <f ca="1">IF(C99=0,"Exact",IF(C99&lt;=Calc!$D$4,"Nice",""))</f>
        <v/>
      </c>
      <c r="E99" s="60"/>
      <c r="F99" s="24">
        <v>99</v>
      </c>
    </row>
    <row r="100" spans="1:6" ht="15.75" hidden="1" thickTop="1" x14ac:dyDescent="0.25">
      <c r="A100" s="21" t="str">
        <f ca="1">Calc!L100</f>
        <v/>
      </c>
      <c r="B100" s="22" t="str">
        <f ca="1">Calc!K100</f>
        <v/>
      </c>
      <c r="C100" s="39">
        <f ca="1">Calc!M100</f>
        <v>995</v>
      </c>
      <c r="D100" s="59" t="str">
        <f ca="1">IF(C100=0,"Exact",IF(C100&lt;=Calc!$D$4,"Nice",""))</f>
        <v/>
      </c>
      <c r="E100" s="60"/>
      <c r="F100" s="24">
        <v>100</v>
      </c>
    </row>
    <row r="101" spans="1:6" ht="15.75" hidden="1" thickTop="1" x14ac:dyDescent="0.25">
      <c r="A101" s="21" t="str">
        <f ca="1">Calc!L101</f>
        <v/>
      </c>
      <c r="B101" s="22" t="str">
        <f ca="1">Calc!K101</f>
        <v/>
      </c>
      <c r="C101" s="39">
        <f ca="1">Calc!M101</f>
        <v>995</v>
      </c>
      <c r="D101" s="59" t="str">
        <f ca="1">IF(C101=0,"Exact",IF(C101&lt;=Calc!$D$4,"Nice",""))</f>
        <v/>
      </c>
      <c r="E101" s="60"/>
      <c r="F101" s="24">
        <v>101</v>
      </c>
    </row>
    <row r="102" spans="1:6" hidden="1" x14ac:dyDescent="0.25">
      <c r="A102" s="21" t="str">
        <f ca="1">Calc!L102</f>
        <v/>
      </c>
      <c r="B102" s="22" t="str">
        <f ca="1">Calc!K102</f>
        <v/>
      </c>
      <c r="C102" s="39">
        <f ca="1">Calc!M102</f>
        <v>995</v>
      </c>
      <c r="D102" s="59" t="str">
        <f ca="1">IF(C102=0,"Exact",IF(C102&lt;=Calc!$D$4,"Nice",""))</f>
        <v/>
      </c>
      <c r="E102" s="60"/>
      <c r="F102" s="24">
        <v>102</v>
      </c>
    </row>
    <row r="103" spans="1:6" hidden="1" x14ac:dyDescent="0.25">
      <c r="A103" s="21" t="str">
        <f ca="1">Calc!L103</f>
        <v/>
      </c>
      <c r="B103" s="22" t="str">
        <f ca="1">Calc!K103</f>
        <v/>
      </c>
      <c r="C103" s="39">
        <f ca="1">Calc!M103</f>
        <v>995</v>
      </c>
      <c r="D103" s="59" t="str">
        <f ca="1">IF(C103=0,"Exact",IF(C103&lt;=Calc!$D$4,"Nice",""))</f>
        <v/>
      </c>
      <c r="E103" s="60"/>
      <c r="F103" s="24">
        <v>103</v>
      </c>
    </row>
    <row r="104" spans="1:6" ht="15.75" hidden="1" thickTop="1" x14ac:dyDescent="0.25">
      <c r="A104" s="21" t="str">
        <f ca="1">Calc!L104</f>
        <v/>
      </c>
      <c r="B104" s="22" t="str">
        <f ca="1">Calc!K104</f>
        <v/>
      </c>
      <c r="C104" s="39">
        <f ca="1">Calc!M104</f>
        <v>995</v>
      </c>
      <c r="D104" s="59" t="str">
        <f ca="1">IF(C104=0,"Exact",IF(C104&lt;=Calc!$D$4,"Nice",""))</f>
        <v/>
      </c>
      <c r="E104" s="60"/>
      <c r="F104" s="24">
        <v>104</v>
      </c>
    </row>
    <row r="105" spans="1:6" ht="15.75" thickTop="1" x14ac:dyDescent="0.25">
      <c r="A105" s="21">
        <f ca="1">Calc!L105</f>
        <v>24.800000000000004</v>
      </c>
      <c r="B105" s="22" t="str">
        <f ca="1">Calc!K105</f>
        <v>1.100 + 23.700</v>
      </c>
      <c r="C105" s="39">
        <f ca="1">Calc!M105</f>
        <v>0.79999999999998295</v>
      </c>
      <c r="D105" s="59" t="str">
        <f ca="1">IF(C105=0,"Exact",IF(C105&lt;=Calc!$D$4,"Nice",""))</f>
        <v/>
      </c>
      <c r="E105" s="60"/>
      <c r="F105" s="24">
        <v>105</v>
      </c>
    </row>
    <row r="106" spans="1:6" ht="15.75" hidden="1" thickTop="1" x14ac:dyDescent="0.25">
      <c r="A106" s="21">
        <f ca="1">Calc!L106</f>
        <v>24.800000000000004</v>
      </c>
      <c r="B106" s="22" t="str">
        <f ca="1">Calc!K106</f>
        <v>1.100 + 23.700</v>
      </c>
      <c r="C106" s="39">
        <f ca="1">Calc!M106</f>
        <v>0.79999999999998295</v>
      </c>
      <c r="D106" s="59" t="str">
        <f ca="1">IF(C106=0,"Exact",IF(C106&lt;=Calc!$D$4,"Nice",""))</f>
        <v/>
      </c>
      <c r="E106" s="60"/>
      <c r="F106" s="24">
        <v>106</v>
      </c>
    </row>
    <row r="107" spans="1:6" ht="15.75" hidden="1" thickTop="1" x14ac:dyDescent="0.25">
      <c r="A107" s="21">
        <f ca="1">Calc!L107</f>
        <v>24.800000000000004</v>
      </c>
      <c r="B107" s="22" t="str">
        <f ca="1">Calc!K107</f>
        <v>1.100 + 23.700</v>
      </c>
      <c r="C107" s="39">
        <f ca="1">Calc!M107</f>
        <v>0.79999999999998295</v>
      </c>
      <c r="D107" s="59" t="str">
        <f ca="1">IF(C107=0,"Exact",IF(C107&lt;=Calc!$D$4,"Nice",""))</f>
        <v/>
      </c>
      <c r="E107" s="60"/>
      <c r="F107" s="24">
        <v>107</v>
      </c>
    </row>
    <row r="108" spans="1:6" ht="15.75" hidden="1" thickTop="1" x14ac:dyDescent="0.25">
      <c r="A108" s="21">
        <f ca="1">Calc!L108</f>
        <v>24.800000000000004</v>
      </c>
      <c r="B108" s="22" t="str">
        <f ca="1">Calc!K108</f>
        <v>1.100 + 23.700</v>
      </c>
      <c r="C108" s="39">
        <f ca="1">Calc!M108</f>
        <v>0.79999999999998295</v>
      </c>
      <c r="D108" s="59" t="str">
        <f ca="1">IF(C108=0,"Exact",IF(C108&lt;=Calc!$D$4,"Nice",""))</f>
        <v/>
      </c>
      <c r="E108" s="60"/>
      <c r="F108" s="24">
        <v>108</v>
      </c>
    </row>
    <row r="109" spans="1:6" x14ac:dyDescent="0.25">
      <c r="A109" s="21">
        <f ca="1">Calc!L361</f>
        <v>24.831688698566378</v>
      </c>
      <c r="B109" s="22" t="str">
        <f ca="1">Calc!K361</f>
        <v>26.100 || 511.000</v>
      </c>
      <c r="C109" s="39">
        <f ca="1">Calc!M361</f>
        <v>0.67324520573448865</v>
      </c>
      <c r="D109" s="59" t="str">
        <f ca="1">IF(C109=0,"Exact",IF(C109&lt;=Calc!$D$4,"Nice",""))</f>
        <v/>
      </c>
      <c r="E109" s="60"/>
      <c r="F109" s="24">
        <v>361</v>
      </c>
    </row>
    <row r="110" spans="1:6" hidden="1" x14ac:dyDescent="0.25">
      <c r="A110" s="21">
        <f ca="1">Calc!L110</f>
        <v>24.910000000000004</v>
      </c>
      <c r="B110" s="22" t="str">
        <f ca="1">Calc!K110</f>
        <v>1.210 + 23.700</v>
      </c>
      <c r="C110" s="39">
        <f ca="1">Calc!M110</f>
        <v>0.35999999999998522</v>
      </c>
      <c r="D110" s="59" t="str">
        <f ca="1">IF(C110=0,"Exact",IF(C110&lt;=Calc!$D$4,"Nice",""))</f>
        <v>Nice</v>
      </c>
      <c r="E110" s="60"/>
      <c r="F110" s="24">
        <v>110</v>
      </c>
    </row>
    <row r="111" spans="1:6" hidden="1" x14ac:dyDescent="0.25">
      <c r="A111" s="21">
        <f ca="1">Calc!L111</f>
        <v>24.910000000000004</v>
      </c>
      <c r="B111" s="22" t="str">
        <f ca="1">Calc!K111</f>
        <v>1.210 + 23.700</v>
      </c>
      <c r="C111" s="39">
        <f ca="1">Calc!M111</f>
        <v>0.35999999999998522</v>
      </c>
      <c r="D111" s="59" t="str">
        <f ca="1">IF(C111=0,"Exact",IF(C111&lt;=Calc!$D$4,"Nice",""))</f>
        <v>Nice</v>
      </c>
      <c r="E111" s="60"/>
      <c r="F111" s="24">
        <v>111</v>
      </c>
    </row>
    <row r="112" spans="1:6" hidden="1" x14ac:dyDescent="0.25">
      <c r="A112" s="21">
        <f ca="1">Calc!L112</f>
        <v>24.910000000000004</v>
      </c>
      <c r="B112" s="22" t="str">
        <f ca="1">Calc!K112</f>
        <v>1.210 + 23.700</v>
      </c>
      <c r="C112" s="39">
        <f ca="1">Calc!M112</f>
        <v>0.35999999999998522</v>
      </c>
      <c r="D112" s="59" t="str">
        <f ca="1">IF(C112=0,"Exact",IF(C112&lt;=Calc!$D$4,"Nice",""))</f>
        <v>Nice</v>
      </c>
      <c r="E112" s="60"/>
      <c r="F112" s="24">
        <v>112</v>
      </c>
    </row>
    <row r="113" spans="1:6" x14ac:dyDescent="0.25">
      <c r="A113" s="21">
        <f ca="1">Calc!L109</f>
        <v>24.910000000000004</v>
      </c>
      <c r="B113" s="22" t="str">
        <f ca="1">Calc!K109</f>
        <v>1.210 + 23.700</v>
      </c>
      <c r="C113" s="39">
        <f ca="1">Calc!M109</f>
        <v>0.35999999999998522</v>
      </c>
      <c r="D113" s="59" t="str">
        <f ca="1">IF(C113=0,"Exact",IF(C113&lt;=Calc!$D$4,"Nice",""))</f>
        <v>Nice</v>
      </c>
      <c r="E113" s="60"/>
      <c r="F113" s="24">
        <v>109</v>
      </c>
    </row>
    <row r="114" spans="1:6" hidden="1" x14ac:dyDescent="0.25">
      <c r="A114" s="21">
        <f ca="1">Calc!L114</f>
        <v>25.03</v>
      </c>
      <c r="B114" s="22" t="str">
        <f ca="1">Calc!K114</f>
        <v>1.330 + 23.700</v>
      </c>
      <c r="C114" s="39">
        <f ca="1">Calc!M114</f>
        <v>0.12000000000000455</v>
      </c>
      <c r="D114" s="59" t="str">
        <f ca="1">IF(C114=0,"Exact",IF(C114&lt;=Calc!$D$4,"Nice",""))</f>
        <v>Nice</v>
      </c>
      <c r="E114" s="60"/>
      <c r="F114" s="24">
        <v>114</v>
      </c>
    </row>
    <row r="115" spans="1:6" ht="15.75" hidden="1" thickTop="1" x14ac:dyDescent="0.25">
      <c r="A115" s="21">
        <f ca="1">Calc!L115</f>
        <v>25.03</v>
      </c>
      <c r="B115" s="22" t="str">
        <f ca="1">Calc!K115</f>
        <v>1.330 + 23.700</v>
      </c>
      <c r="C115" s="39">
        <f ca="1">Calc!M115</f>
        <v>0.12000000000000455</v>
      </c>
      <c r="D115" s="59" t="str">
        <f ca="1">IF(C115=0,"Exact",IF(C115&lt;=Calc!$D$4,"Nice",""))</f>
        <v>Nice</v>
      </c>
      <c r="E115" s="60"/>
      <c r="F115" s="24">
        <v>115</v>
      </c>
    </row>
    <row r="116" spans="1:6" hidden="1" x14ac:dyDescent="0.25">
      <c r="A116" s="21">
        <f ca="1">Calc!L116</f>
        <v>25.03</v>
      </c>
      <c r="B116" s="22" t="str">
        <f ca="1">Calc!K116</f>
        <v>1.330 + 23.700</v>
      </c>
      <c r="C116" s="39">
        <f ca="1">Calc!M116</f>
        <v>0.12000000000000455</v>
      </c>
      <c r="D116" s="59" t="str">
        <f ca="1">IF(C116=0,"Exact",IF(C116&lt;=Calc!$D$4,"Nice",""))</f>
        <v>Nice</v>
      </c>
      <c r="E116" s="60"/>
      <c r="F116" s="24">
        <v>116</v>
      </c>
    </row>
    <row r="117" spans="1:6" x14ac:dyDescent="0.25">
      <c r="A117" s="21">
        <f ca="1">Calc!L365</f>
        <v>24.941676585614694</v>
      </c>
      <c r="B117" s="22" t="str">
        <f ca="1">Calc!K365</f>
        <v>26.100 || 562.000</v>
      </c>
      <c r="C117" s="39">
        <f ca="1">Calc!M365</f>
        <v>0.23329365754122477</v>
      </c>
      <c r="D117" s="59" t="str">
        <f ca="1">IF(C117=0,"Exact",IF(C117&lt;=Calc!$D$4,"Nice",""))</f>
        <v>Nice</v>
      </c>
      <c r="E117" s="60"/>
      <c r="F117" s="24">
        <v>365</v>
      </c>
    </row>
    <row r="118" spans="1:6" hidden="1" x14ac:dyDescent="0.25">
      <c r="A118" s="21">
        <f ca="1">Calc!L118</f>
        <v>25.17</v>
      </c>
      <c r="B118" s="22" t="str">
        <f ca="1">Calc!K118</f>
        <v>1.470 + 23.700</v>
      </c>
      <c r="C118" s="39">
        <f ca="1">Calc!M118</f>
        <v>0.68000000000000682</v>
      </c>
      <c r="D118" s="59" t="str">
        <f ca="1">IF(C118=0,"Exact",IF(C118&lt;=Calc!$D$4,"Nice",""))</f>
        <v/>
      </c>
      <c r="E118" s="60"/>
      <c r="F118" s="24">
        <v>118</v>
      </c>
    </row>
    <row r="119" spans="1:6" hidden="1" x14ac:dyDescent="0.25">
      <c r="A119" s="21">
        <f ca="1">Calc!L119</f>
        <v>25.17</v>
      </c>
      <c r="B119" s="22" t="str">
        <f ca="1">Calc!K119</f>
        <v>1.470 + 23.700</v>
      </c>
      <c r="C119" s="39">
        <f ca="1">Calc!M119</f>
        <v>0.68000000000000682</v>
      </c>
      <c r="D119" s="59" t="str">
        <f ca="1">IF(C119=0,"Exact",IF(C119&lt;=Calc!$D$4,"Nice",""))</f>
        <v/>
      </c>
      <c r="E119" s="60"/>
      <c r="F119" s="24">
        <v>119</v>
      </c>
    </row>
    <row r="120" spans="1:6" ht="15.75" hidden="1" thickTop="1" x14ac:dyDescent="0.25">
      <c r="A120" s="21">
        <f ca="1">Calc!L120</f>
        <v>25.17</v>
      </c>
      <c r="B120" s="22" t="str">
        <f ca="1">Calc!K120</f>
        <v>1.470 + 23.700</v>
      </c>
      <c r="C120" s="39">
        <f ca="1">Calc!M120</f>
        <v>0.68000000000000682</v>
      </c>
      <c r="D120" s="59" t="str">
        <f ca="1">IF(C120=0,"Exact",IF(C120&lt;=Calc!$D$4,"Nice",""))</f>
        <v/>
      </c>
      <c r="E120" s="60"/>
      <c r="F120" s="24">
        <v>120</v>
      </c>
    </row>
    <row r="121" spans="1:6" hidden="1" x14ac:dyDescent="0.25">
      <c r="A121" s="21" t="str">
        <f ca="1">Calc!L121</f>
        <v/>
      </c>
      <c r="B121" s="22" t="str">
        <f ca="1">Calc!K121</f>
        <v/>
      </c>
      <c r="C121" s="39">
        <f ca="1">Calc!M121</f>
        <v>995</v>
      </c>
      <c r="D121" s="59" t="str">
        <f ca="1">IF(C121=0,"Exact",IF(C121&lt;=Calc!$D$4,"Nice",""))</f>
        <v/>
      </c>
      <c r="E121" s="60"/>
      <c r="F121" s="24">
        <v>121</v>
      </c>
    </row>
    <row r="122" spans="1:6" hidden="1" x14ac:dyDescent="0.25">
      <c r="A122" s="21" t="str">
        <f ca="1">Calc!L122</f>
        <v/>
      </c>
      <c r="B122" s="22" t="str">
        <f ca="1">Calc!K122</f>
        <v/>
      </c>
      <c r="C122" s="39">
        <f ca="1">Calc!M122</f>
        <v>995</v>
      </c>
      <c r="D122" s="59" t="str">
        <f ca="1">IF(C122=0,"Exact",IF(C122&lt;=Calc!$D$4,"Nice",""))</f>
        <v/>
      </c>
      <c r="E122" s="60"/>
      <c r="F122" s="24">
        <v>122</v>
      </c>
    </row>
    <row r="123" spans="1:6" hidden="1" x14ac:dyDescent="0.25">
      <c r="A123" s="21" t="str">
        <f ca="1">Calc!L123</f>
        <v/>
      </c>
      <c r="B123" s="22" t="str">
        <f ca="1">Calc!K123</f>
        <v/>
      </c>
      <c r="C123" s="39">
        <f ca="1">Calc!M123</f>
        <v>995</v>
      </c>
      <c r="D123" s="59" t="str">
        <f ca="1">IF(C123=0,"Exact",IF(C123&lt;=Calc!$D$4,"Nice",""))</f>
        <v/>
      </c>
      <c r="E123" s="60"/>
      <c r="F123" s="24">
        <v>123</v>
      </c>
    </row>
    <row r="124" spans="1:6" hidden="1" x14ac:dyDescent="0.25">
      <c r="A124" s="21" t="str">
        <f ca="1">Calc!L124</f>
        <v/>
      </c>
      <c r="B124" s="22" t="str">
        <f ca="1">Calc!K124</f>
        <v/>
      </c>
      <c r="C124" s="39">
        <f ca="1">Calc!M124</f>
        <v>995</v>
      </c>
      <c r="D124" s="59" t="str">
        <f ca="1">IF(C124=0,"Exact",IF(C124&lt;=Calc!$D$4,"Nice",""))</f>
        <v/>
      </c>
      <c r="E124" s="60"/>
      <c r="F124" s="24">
        <v>124</v>
      </c>
    </row>
    <row r="125" spans="1:6" ht="15.75" hidden="1" thickTop="1" x14ac:dyDescent="0.25">
      <c r="A125" s="21" t="str">
        <f ca="1">Calc!L125</f>
        <v/>
      </c>
      <c r="B125" s="22" t="str">
        <f ca="1">Calc!K125</f>
        <v/>
      </c>
      <c r="C125" s="39">
        <f ca="1">Calc!M125</f>
        <v>995</v>
      </c>
      <c r="D125" s="59" t="str">
        <f ca="1">IF(C125=0,"Exact",IF(C125&lt;=Calc!$D$4,"Nice",""))</f>
        <v/>
      </c>
      <c r="E125" s="60"/>
      <c r="F125" s="24">
        <v>125</v>
      </c>
    </row>
    <row r="126" spans="1:6" hidden="1" x14ac:dyDescent="0.25">
      <c r="A126" s="21" t="str">
        <f ca="1">Calc!L126</f>
        <v/>
      </c>
      <c r="B126" s="22" t="str">
        <f ca="1">Calc!K126</f>
        <v/>
      </c>
      <c r="C126" s="39">
        <f ca="1">Calc!M126</f>
        <v>995</v>
      </c>
      <c r="D126" s="59" t="str">
        <f ca="1">IF(C126=0,"Exact",IF(C126&lt;=Calc!$D$4,"Nice",""))</f>
        <v/>
      </c>
      <c r="E126" s="60"/>
      <c r="F126" s="24">
        <v>126</v>
      </c>
    </row>
    <row r="127" spans="1:6" hidden="1" x14ac:dyDescent="0.25">
      <c r="A127" s="21" t="str">
        <f ca="1">Calc!L127</f>
        <v/>
      </c>
      <c r="B127" s="22" t="str">
        <f ca="1">Calc!K127</f>
        <v/>
      </c>
      <c r="C127" s="39">
        <f ca="1">Calc!M127</f>
        <v>995</v>
      </c>
      <c r="D127" s="59" t="str">
        <f ca="1">IF(C127=0,"Exact",IF(C127&lt;=Calc!$D$4,"Nice",""))</f>
        <v/>
      </c>
      <c r="E127" s="60"/>
      <c r="F127" s="24">
        <v>127</v>
      </c>
    </row>
    <row r="128" spans="1:6" hidden="1" x14ac:dyDescent="0.25">
      <c r="A128" s="21" t="str">
        <f ca="1">Calc!L128</f>
        <v/>
      </c>
      <c r="B128" s="22" t="str">
        <f ca="1">Calc!K128</f>
        <v/>
      </c>
      <c r="C128" s="39">
        <f ca="1">Calc!M128</f>
        <v>995</v>
      </c>
      <c r="D128" s="59" t="str">
        <f ca="1">IF(C128=0,"Exact",IF(C128&lt;=Calc!$D$4,"Nice",""))</f>
        <v/>
      </c>
      <c r="E128" s="60"/>
      <c r="F128" s="24">
        <v>128</v>
      </c>
    </row>
    <row r="129" spans="1:6" hidden="1" x14ac:dyDescent="0.25">
      <c r="A129" s="21" t="str">
        <f ca="1">Calc!L129</f>
        <v/>
      </c>
      <c r="B129" s="22" t="str">
        <f ca="1">Calc!K129</f>
        <v/>
      </c>
      <c r="C129" s="39">
        <f ca="1">Calc!M129</f>
        <v>995</v>
      </c>
      <c r="D129" s="59" t="str">
        <f ca="1">IF(C129=0,"Exact",IF(C129&lt;=Calc!$D$4,"Nice",""))</f>
        <v/>
      </c>
      <c r="E129" s="60"/>
      <c r="F129" s="24">
        <v>129</v>
      </c>
    </row>
    <row r="130" spans="1:6" hidden="1" x14ac:dyDescent="0.25">
      <c r="A130" s="21" t="str">
        <f ca="1">Calc!L130</f>
        <v/>
      </c>
      <c r="B130" s="22" t="str">
        <f ca="1">Calc!K130</f>
        <v/>
      </c>
      <c r="C130" s="39">
        <f ca="1">Calc!M130</f>
        <v>995</v>
      </c>
      <c r="D130" s="59" t="str">
        <f ca="1">IF(C130=0,"Exact",IF(C130&lt;=Calc!$D$4,"Nice",""))</f>
        <v/>
      </c>
      <c r="E130" s="60"/>
      <c r="F130" s="24">
        <v>130</v>
      </c>
    </row>
    <row r="131" spans="1:6" hidden="1" x14ac:dyDescent="0.25">
      <c r="A131" s="21" t="str">
        <f ca="1">Calc!L131</f>
        <v/>
      </c>
      <c r="B131" s="22" t="str">
        <f ca="1">Calc!K131</f>
        <v/>
      </c>
      <c r="C131" s="39">
        <f ca="1">Calc!M131</f>
        <v>995</v>
      </c>
      <c r="D131" s="59" t="str">
        <f ca="1">IF(C131=0,"Exact",IF(C131&lt;=Calc!$D$4,"Nice",""))</f>
        <v/>
      </c>
      <c r="E131" s="60"/>
      <c r="F131" s="24">
        <v>131</v>
      </c>
    </row>
    <row r="132" spans="1:6" hidden="1" x14ac:dyDescent="0.25">
      <c r="A132" s="21" t="str">
        <f ca="1">Calc!L132</f>
        <v/>
      </c>
      <c r="B132" s="22" t="str">
        <f ca="1">Calc!K132</f>
        <v/>
      </c>
      <c r="C132" s="39">
        <f ca="1">Calc!M132</f>
        <v>995</v>
      </c>
      <c r="D132" s="59" t="str">
        <f ca="1">IF(C132=0,"Exact",IF(C132&lt;=Calc!$D$4,"Nice",""))</f>
        <v/>
      </c>
      <c r="E132" s="60"/>
      <c r="F132" s="24">
        <v>132</v>
      </c>
    </row>
    <row r="133" spans="1:6" hidden="1" x14ac:dyDescent="0.25">
      <c r="A133" s="21" t="str">
        <f ca="1">Calc!L133</f>
        <v/>
      </c>
      <c r="B133" s="22" t="str">
        <f ca="1">Calc!K133</f>
        <v/>
      </c>
      <c r="C133" s="39">
        <f ca="1">Calc!M133</f>
        <v>995</v>
      </c>
      <c r="D133" s="59" t="str">
        <f ca="1">IF(C133=0,"Exact",IF(C133&lt;=Calc!$D$4,"Nice",""))</f>
        <v/>
      </c>
      <c r="E133" s="60"/>
      <c r="F133" s="24">
        <v>133</v>
      </c>
    </row>
    <row r="134" spans="1:6" hidden="1" x14ac:dyDescent="0.25">
      <c r="A134" s="21" t="str">
        <f ca="1">Calc!L134</f>
        <v/>
      </c>
      <c r="B134" s="22" t="str">
        <f ca="1">Calc!K134</f>
        <v/>
      </c>
      <c r="C134" s="39">
        <f ca="1">Calc!M134</f>
        <v>995</v>
      </c>
      <c r="D134" s="59" t="str">
        <f ca="1">IF(C134=0,"Exact",IF(C134&lt;=Calc!$D$4,"Nice",""))</f>
        <v/>
      </c>
      <c r="E134" s="60"/>
      <c r="F134" s="24">
        <v>134</v>
      </c>
    </row>
    <row r="135" spans="1:6" hidden="1" x14ac:dyDescent="0.25">
      <c r="A135" s="21" t="str">
        <f ca="1">Calc!L135</f>
        <v/>
      </c>
      <c r="B135" s="22" t="str">
        <f ca="1">Calc!K135</f>
        <v/>
      </c>
      <c r="C135" s="39">
        <f ca="1">Calc!M135</f>
        <v>995</v>
      </c>
      <c r="D135" s="59" t="str">
        <f ca="1">IF(C135=0,"Exact",IF(C135&lt;=Calc!$D$4,"Nice",""))</f>
        <v/>
      </c>
      <c r="E135" s="60"/>
      <c r="F135" s="24">
        <v>135</v>
      </c>
    </row>
    <row r="136" spans="1:6" hidden="1" x14ac:dyDescent="0.25">
      <c r="A136" s="21" t="str">
        <f ca="1">Calc!L136</f>
        <v/>
      </c>
      <c r="B136" s="22" t="str">
        <f ca="1">Calc!K136</f>
        <v/>
      </c>
      <c r="C136" s="39">
        <f ca="1">Calc!M136</f>
        <v>995</v>
      </c>
      <c r="D136" s="59" t="str">
        <f ca="1">IF(C136=0,"Exact",IF(C136&lt;=Calc!$D$4,"Nice",""))</f>
        <v/>
      </c>
      <c r="E136" s="60"/>
      <c r="F136" s="24">
        <v>136</v>
      </c>
    </row>
    <row r="137" spans="1:6" hidden="1" x14ac:dyDescent="0.25">
      <c r="A137" s="21" t="str">
        <f ca="1">Calc!L137</f>
        <v/>
      </c>
      <c r="B137" s="22" t="str">
        <f ca="1">Calc!K137</f>
        <v/>
      </c>
      <c r="C137" s="39">
        <f ca="1">Calc!M137</f>
        <v>995</v>
      </c>
      <c r="D137" s="59" t="str">
        <f ca="1">IF(C137=0,"Exact",IF(C137&lt;=Calc!$D$4,"Nice",""))</f>
        <v/>
      </c>
      <c r="E137" s="60"/>
      <c r="F137" s="24">
        <v>137</v>
      </c>
    </row>
    <row r="138" spans="1:6" hidden="1" x14ac:dyDescent="0.25">
      <c r="A138" s="21" t="str">
        <f ca="1">Calc!L138</f>
        <v/>
      </c>
      <c r="B138" s="22" t="str">
        <f ca="1">Calc!K138</f>
        <v/>
      </c>
      <c r="C138" s="39">
        <f ca="1">Calc!M138</f>
        <v>995</v>
      </c>
      <c r="D138" s="59" t="str">
        <f ca="1">IF(C138=0,"Exact",IF(C138&lt;=Calc!$D$4,"Nice",""))</f>
        <v/>
      </c>
      <c r="E138" s="60"/>
      <c r="F138" s="24">
        <v>138</v>
      </c>
    </row>
    <row r="139" spans="1:6" hidden="1" x14ac:dyDescent="0.25">
      <c r="A139" s="21" t="str">
        <f ca="1">Calc!L139</f>
        <v/>
      </c>
      <c r="B139" s="22" t="str">
        <f ca="1">Calc!K139</f>
        <v/>
      </c>
      <c r="C139" s="39">
        <f ca="1">Calc!M139</f>
        <v>995</v>
      </c>
      <c r="D139" s="59" t="str">
        <f ca="1">IF(C139=0,"Exact",IF(C139&lt;=Calc!$D$4,"Nice",""))</f>
        <v/>
      </c>
      <c r="E139" s="60"/>
      <c r="F139" s="24">
        <v>139</v>
      </c>
    </row>
    <row r="140" spans="1:6" hidden="1" x14ac:dyDescent="0.25">
      <c r="A140" s="21" t="str">
        <f ca="1">Calc!L140</f>
        <v/>
      </c>
      <c r="B140" s="22" t="str">
        <f ca="1">Calc!K140</f>
        <v/>
      </c>
      <c r="C140" s="39">
        <f ca="1">Calc!M140</f>
        <v>995</v>
      </c>
      <c r="D140" s="59" t="str">
        <f ca="1">IF(C140=0,"Exact",IF(C140&lt;=Calc!$D$4,"Nice",""))</f>
        <v/>
      </c>
      <c r="E140" s="60"/>
      <c r="F140" s="24">
        <v>140</v>
      </c>
    </row>
    <row r="141" spans="1:6" hidden="1" x14ac:dyDescent="0.25">
      <c r="A141" s="21" t="str">
        <f ca="1">Calc!L141</f>
        <v/>
      </c>
      <c r="B141" s="22" t="str">
        <f ca="1">Calc!K141</f>
        <v/>
      </c>
      <c r="C141" s="39">
        <f ca="1">Calc!M141</f>
        <v>995</v>
      </c>
      <c r="D141" s="59" t="str">
        <f ca="1">IF(C141=0,"Exact",IF(C141&lt;=Calc!$D$4,"Nice",""))</f>
        <v/>
      </c>
      <c r="E141" s="60"/>
      <c r="F141" s="24">
        <v>141</v>
      </c>
    </row>
    <row r="142" spans="1:6" hidden="1" x14ac:dyDescent="0.25">
      <c r="A142" s="21" t="str">
        <f ca="1">Calc!L142</f>
        <v/>
      </c>
      <c r="B142" s="22" t="str">
        <f ca="1">Calc!K142</f>
        <v/>
      </c>
      <c r="C142" s="39">
        <f ca="1">Calc!M142</f>
        <v>995</v>
      </c>
      <c r="D142" s="59" t="str">
        <f ca="1">IF(C142=0,"Exact",IF(C142&lt;=Calc!$D$4,"Nice",""))</f>
        <v/>
      </c>
      <c r="E142" s="60"/>
      <c r="F142" s="24">
        <v>142</v>
      </c>
    </row>
    <row r="143" spans="1:6" hidden="1" x14ac:dyDescent="0.25">
      <c r="A143" s="21" t="str">
        <f ca="1">Calc!L143</f>
        <v/>
      </c>
      <c r="B143" s="22" t="str">
        <f ca="1">Calc!K143</f>
        <v/>
      </c>
      <c r="C143" s="39">
        <f ca="1">Calc!M143</f>
        <v>995</v>
      </c>
      <c r="D143" s="59" t="str">
        <f ca="1">IF(C143=0,"Exact",IF(C143&lt;=Calc!$D$4,"Nice",""))</f>
        <v/>
      </c>
      <c r="E143" s="60"/>
      <c r="F143" s="24">
        <v>143</v>
      </c>
    </row>
    <row r="144" spans="1:6" hidden="1" x14ac:dyDescent="0.25">
      <c r="A144" s="21" t="str">
        <f ca="1">Calc!L144</f>
        <v/>
      </c>
      <c r="B144" s="22" t="str">
        <f ca="1">Calc!K144</f>
        <v/>
      </c>
      <c r="C144" s="39">
        <f ca="1">Calc!M144</f>
        <v>995</v>
      </c>
      <c r="D144" s="59" t="str">
        <f ca="1">IF(C144=0,"Exact",IF(C144&lt;=Calc!$D$4,"Nice",""))</f>
        <v/>
      </c>
      <c r="E144" s="60"/>
      <c r="F144" s="24">
        <v>144</v>
      </c>
    </row>
    <row r="145" spans="1:6" hidden="1" x14ac:dyDescent="0.25">
      <c r="A145" s="21" t="str">
        <f ca="1">Calc!L145</f>
        <v/>
      </c>
      <c r="B145" s="22" t="str">
        <f ca="1">Calc!K145</f>
        <v/>
      </c>
      <c r="C145" s="39">
        <f ca="1">Calc!M145</f>
        <v>995</v>
      </c>
      <c r="D145" s="59" t="str">
        <f ca="1">IF(C145=0,"Exact",IF(C145&lt;=Calc!$D$4,"Nice",""))</f>
        <v/>
      </c>
      <c r="E145" s="60"/>
      <c r="F145" s="24">
        <v>145</v>
      </c>
    </row>
    <row r="146" spans="1:6" hidden="1" x14ac:dyDescent="0.25">
      <c r="A146" s="21" t="str">
        <f ca="1">Calc!L146</f>
        <v/>
      </c>
      <c r="B146" s="22" t="str">
        <f ca="1">Calc!K146</f>
        <v/>
      </c>
      <c r="C146" s="39">
        <f ca="1">Calc!M146</f>
        <v>995</v>
      </c>
      <c r="D146" s="59" t="str">
        <f ca="1">IF(C146=0,"Exact",IF(C146&lt;=Calc!$D$4,"Nice",""))</f>
        <v/>
      </c>
      <c r="E146" s="60"/>
      <c r="F146" s="24">
        <v>146</v>
      </c>
    </row>
    <row r="147" spans="1:6" hidden="1" x14ac:dyDescent="0.25">
      <c r="A147" s="21" t="str">
        <f ca="1">Calc!L147</f>
        <v/>
      </c>
      <c r="B147" s="22" t="str">
        <f ca="1">Calc!K147</f>
        <v/>
      </c>
      <c r="C147" s="39">
        <f ca="1">Calc!M147</f>
        <v>995</v>
      </c>
      <c r="D147" s="59" t="str">
        <f ca="1">IF(C147=0,"Exact",IF(C147&lt;=Calc!$D$4,"Nice",""))</f>
        <v/>
      </c>
      <c r="E147" s="60"/>
      <c r="F147" s="24">
        <v>147</v>
      </c>
    </row>
    <row r="148" spans="1:6" hidden="1" x14ac:dyDescent="0.25">
      <c r="A148" s="21" t="str">
        <f ca="1">Calc!L148</f>
        <v/>
      </c>
      <c r="B148" s="22" t="str">
        <f ca="1">Calc!K148</f>
        <v/>
      </c>
      <c r="C148" s="39">
        <f ca="1">Calc!M148</f>
        <v>995</v>
      </c>
      <c r="D148" s="59" t="str">
        <f ca="1">IF(C148=0,"Exact",IF(C148&lt;=Calc!$D$4,"Nice",""))</f>
        <v/>
      </c>
      <c r="E148" s="60"/>
      <c r="F148" s="24">
        <v>148</v>
      </c>
    </row>
    <row r="149" spans="1:6" hidden="1" x14ac:dyDescent="0.25">
      <c r="A149" s="21" t="str">
        <f ca="1">Calc!L149</f>
        <v/>
      </c>
      <c r="B149" s="22" t="str">
        <f ca="1">Calc!K149</f>
        <v/>
      </c>
      <c r="C149" s="39">
        <f ca="1">Calc!M149</f>
        <v>995</v>
      </c>
      <c r="D149" s="59" t="str">
        <f ca="1">IF(C149=0,"Exact",IF(C149&lt;=Calc!$D$4,"Nice",""))</f>
        <v/>
      </c>
      <c r="E149" s="60"/>
      <c r="F149" s="24">
        <v>149</v>
      </c>
    </row>
    <row r="150" spans="1:6" hidden="1" x14ac:dyDescent="0.25">
      <c r="A150" s="21" t="str">
        <f ca="1">Calc!L150</f>
        <v/>
      </c>
      <c r="B150" s="22" t="str">
        <f ca="1">Calc!K150</f>
        <v/>
      </c>
      <c r="C150" s="39">
        <f ca="1">Calc!M150</f>
        <v>995</v>
      </c>
      <c r="D150" s="59" t="str">
        <f ca="1">IF(C150=0,"Exact",IF(C150&lt;=Calc!$D$4,"Nice",""))</f>
        <v/>
      </c>
      <c r="E150" s="60"/>
      <c r="F150" s="24">
        <v>150</v>
      </c>
    </row>
    <row r="151" spans="1:6" hidden="1" x14ac:dyDescent="0.25">
      <c r="A151" s="21" t="str">
        <f ca="1">Calc!L151</f>
        <v/>
      </c>
      <c r="B151" s="22" t="str">
        <f ca="1">Calc!K151</f>
        <v/>
      </c>
      <c r="C151" s="39">
        <f ca="1">Calc!M151</f>
        <v>995</v>
      </c>
      <c r="D151" s="59" t="str">
        <f ca="1">IF(C151=0,"Exact",IF(C151&lt;=Calc!$D$4,"Nice",""))</f>
        <v/>
      </c>
      <c r="E151" s="60"/>
      <c r="F151" s="24">
        <v>151</v>
      </c>
    </row>
    <row r="152" spans="1:6" hidden="1" x14ac:dyDescent="0.25">
      <c r="A152" s="21" t="str">
        <f ca="1">Calc!L152</f>
        <v/>
      </c>
      <c r="B152" s="22" t="str">
        <f ca="1">Calc!K152</f>
        <v/>
      </c>
      <c r="C152" s="39">
        <f ca="1">Calc!M152</f>
        <v>995</v>
      </c>
      <c r="D152" s="59" t="str">
        <f ca="1">IF(C152=0,"Exact",IF(C152&lt;=Calc!$D$4,"Nice",""))</f>
        <v/>
      </c>
      <c r="E152" s="60"/>
      <c r="F152" s="24">
        <v>152</v>
      </c>
    </row>
    <row r="153" spans="1:6" x14ac:dyDescent="0.25">
      <c r="A153" s="21">
        <f ca="1">Calc!L153</f>
        <v>24.98</v>
      </c>
      <c r="B153" s="22" t="str">
        <f ca="1">Calc!K153</f>
        <v>3.480 + 21.500</v>
      </c>
      <c r="C153" s="39">
        <f ca="1">Calc!M153</f>
        <v>7.9999999999998295E-2</v>
      </c>
      <c r="D153" s="59" t="str">
        <f ca="1">IF(C153=0,"Exact",IF(C153&lt;=Calc!$D$4,"Nice",""))</f>
        <v>Nice</v>
      </c>
      <c r="E153" s="60"/>
      <c r="F153" s="24">
        <v>153</v>
      </c>
    </row>
    <row r="154" spans="1:6" hidden="1" x14ac:dyDescent="0.25">
      <c r="A154" s="21">
        <f ca="1">Calc!L154</f>
        <v>24.98</v>
      </c>
      <c r="B154" s="22" t="str">
        <f ca="1">Calc!K154</f>
        <v>3.480 + 21.500</v>
      </c>
      <c r="C154" s="39">
        <f ca="1">Calc!M154</f>
        <v>7.9999999999998295E-2</v>
      </c>
      <c r="D154" s="59" t="str">
        <f ca="1">IF(C154=0,"Exact",IF(C154&lt;=Calc!$D$4,"Nice",""))</f>
        <v>Nice</v>
      </c>
      <c r="E154" s="60"/>
      <c r="F154" s="24">
        <v>154</v>
      </c>
    </row>
    <row r="155" spans="1:6" hidden="1" x14ac:dyDescent="0.25">
      <c r="A155" s="21">
        <f ca="1">Calc!L155</f>
        <v>24.98</v>
      </c>
      <c r="B155" s="22" t="str">
        <f ca="1">Calc!K155</f>
        <v>3.480 + 21.500</v>
      </c>
      <c r="C155" s="39">
        <f ca="1">Calc!M155</f>
        <v>7.9999999999998295E-2</v>
      </c>
      <c r="D155" s="59" t="str">
        <f ca="1">IF(C155=0,"Exact",IF(C155&lt;=Calc!$D$4,"Nice",""))</f>
        <v>Nice</v>
      </c>
      <c r="E155" s="60"/>
      <c r="F155" s="24">
        <v>155</v>
      </c>
    </row>
    <row r="156" spans="1:6" hidden="1" x14ac:dyDescent="0.25">
      <c r="A156" s="21">
        <f ca="1">Calc!L156</f>
        <v>24.98</v>
      </c>
      <c r="B156" s="22" t="str">
        <f ca="1">Calc!K156</f>
        <v>3.480 + 21.500</v>
      </c>
      <c r="C156" s="39">
        <f ca="1">Calc!M156</f>
        <v>7.9999999999998295E-2</v>
      </c>
      <c r="D156" s="59" t="str">
        <f ca="1">IF(C156=0,"Exact",IF(C156&lt;=Calc!$D$4,"Nice",""))</f>
        <v>Nice</v>
      </c>
      <c r="E156" s="60"/>
      <c r="F156" s="24">
        <v>156</v>
      </c>
    </row>
    <row r="157" spans="1:6" hidden="1" x14ac:dyDescent="0.25">
      <c r="A157" s="21" t="str">
        <f ca="1">Calc!L157</f>
        <v/>
      </c>
      <c r="B157" s="22" t="str">
        <f ca="1">Calc!K157</f>
        <v/>
      </c>
      <c r="C157" s="39">
        <f ca="1">Calc!M157</f>
        <v>995</v>
      </c>
      <c r="D157" s="59" t="str">
        <f ca="1">IF(C157=0,"Exact",IF(C157&lt;=Calc!$D$4,"Nice",""))</f>
        <v/>
      </c>
      <c r="E157" s="60"/>
      <c r="F157" s="24">
        <v>157</v>
      </c>
    </row>
    <row r="158" spans="1:6" hidden="1" x14ac:dyDescent="0.25">
      <c r="A158" s="21" t="str">
        <f ca="1">Calc!L158</f>
        <v/>
      </c>
      <c r="B158" s="22" t="str">
        <f ca="1">Calc!K158</f>
        <v/>
      </c>
      <c r="C158" s="39">
        <f ca="1">Calc!M158</f>
        <v>995</v>
      </c>
      <c r="D158" s="59" t="str">
        <f ca="1">IF(C158=0,"Exact",IF(C158&lt;=Calc!$D$4,"Nice",""))</f>
        <v/>
      </c>
      <c r="E158" s="60"/>
      <c r="F158" s="24">
        <v>158</v>
      </c>
    </row>
    <row r="159" spans="1:6" hidden="1" x14ac:dyDescent="0.25">
      <c r="A159" s="21" t="str">
        <f ca="1">Calc!L159</f>
        <v/>
      </c>
      <c r="B159" s="22" t="str">
        <f ca="1">Calc!K159</f>
        <v/>
      </c>
      <c r="C159" s="39">
        <f ca="1">Calc!M159</f>
        <v>995</v>
      </c>
      <c r="D159" s="59" t="str">
        <f ca="1">IF(C159=0,"Exact",IF(C159&lt;=Calc!$D$4,"Nice",""))</f>
        <v/>
      </c>
      <c r="E159" s="60"/>
      <c r="F159" s="24">
        <v>159</v>
      </c>
    </row>
    <row r="160" spans="1:6" hidden="1" x14ac:dyDescent="0.25">
      <c r="A160" s="21" t="str">
        <f ca="1">Calc!L160</f>
        <v/>
      </c>
      <c r="B160" s="22" t="str">
        <f ca="1">Calc!K160</f>
        <v/>
      </c>
      <c r="C160" s="39">
        <f ca="1">Calc!M160</f>
        <v>995</v>
      </c>
      <c r="D160" s="59" t="str">
        <f ca="1">IF(C160=0,"Exact",IF(C160&lt;=Calc!$D$4,"Nice",""))</f>
        <v/>
      </c>
      <c r="E160" s="60"/>
      <c r="F160" s="24">
        <v>160</v>
      </c>
    </row>
    <row r="161" spans="1:6" hidden="1" x14ac:dyDescent="0.25">
      <c r="A161" s="21" t="str">
        <f ca="1">Calc!L161</f>
        <v/>
      </c>
      <c r="B161" s="22" t="str">
        <f ca="1">Calc!K161</f>
        <v/>
      </c>
      <c r="C161" s="39">
        <f ca="1">Calc!M161</f>
        <v>995</v>
      </c>
      <c r="D161" s="59" t="str">
        <f ca="1">IF(C161=0,"Exact",IF(C161&lt;=Calc!$D$4,"Nice",""))</f>
        <v/>
      </c>
      <c r="E161" s="60"/>
      <c r="F161" s="24">
        <v>161</v>
      </c>
    </row>
    <row r="162" spans="1:6" hidden="1" x14ac:dyDescent="0.25">
      <c r="A162" s="21" t="str">
        <f ca="1">Calc!L162</f>
        <v/>
      </c>
      <c r="B162" s="22" t="str">
        <f ca="1">Calc!K162</f>
        <v/>
      </c>
      <c r="C162" s="39">
        <f ca="1">Calc!M162</f>
        <v>995</v>
      </c>
      <c r="D162" s="59" t="str">
        <f ca="1">IF(C162=0,"Exact",IF(C162&lt;=Calc!$D$4,"Nice",""))</f>
        <v/>
      </c>
      <c r="E162" s="60"/>
      <c r="F162" s="24">
        <v>162</v>
      </c>
    </row>
    <row r="163" spans="1:6" hidden="1" x14ac:dyDescent="0.25">
      <c r="A163" s="21" t="str">
        <f ca="1">Calc!L163</f>
        <v/>
      </c>
      <c r="B163" s="22" t="str">
        <f ca="1">Calc!K163</f>
        <v/>
      </c>
      <c r="C163" s="39">
        <f ca="1">Calc!M163</f>
        <v>995</v>
      </c>
      <c r="D163" s="59" t="str">
        <f ca="1">IF(C163=0,"Exact",IF(C163&lt;=Calc!$D$4,"Nice",""))</f>
        <v/>
      </c>
      <c r="E163" s="60"/>
      <c r="F163" s="24">
        <v>163</v>
      </c>
    </row>
    <row r="164" spans="1:6" hidden="1" x14ac:dyDescent="0.25">
      <c r="A164" s="21" t="str">
        <f ca="1">Calc!L164</f>
        <v/>
      </c>
      <c r="B164" s="22" t="str">
        <f ca="1">Calc!K164</f>
        <v/>
      </c>
      <c r="C164" s="39">
        <f ca="1">Calc!M164</f>
        <v>995</v>
      </c>
      <c r="D164" s="59" t="str">
        <f ca="1">IF(C164=0,"Exact",IF(C164&lt;=Calc!$D$4,"Nice",""))</f>
        <v/>
      </c>
      <c r="E164" s="60"/>
      <c r="F164" s="24">
        <v>164</v>
      </c>
    </row>
    <row r="165" spans="1:6" hidden="1" x14ac:dyDescent="0.25">
      <c r="A165" s="21" t="str">
        <f ca="1">Calc!L165</f>
        <v/>
      </c>
      <c r="B165" s="22" t="str">
        <f ca="1">Calc!K165</f>
        <v/>
      </c>
      <c r="C165" s="39">
        <f ca="1">Calc!M165</f>
        <v>995</v>
      </c>
      <c r="D165" s="59" t="str">
        <f ca="1">IF(C165=0,"Exact",IF(C165&lt;=Calc!$D$4,"Nice",""))</f>
        <v/>
      </c>
      <c r="E165" s="60"/>
      <c r="F165" s="24">
        <v>165</v>
      </c>
    </row>
    <row r="166" spans="1:6" hidden="1" x14ac:dyDescent="0.25">
      <c r="A166" s="21" t="str">
        <f ca="1">Calc!L166</f>
        <v/>
      </c>
      <c r="B166" s="22" t="str">
        <f ca="1">Calc!K166</f>
        <v/>
      </c>
      <c r="C166" s="39">
        <f ca="1">Calc!M166</f>
        <v>995</v>
      </c>
      <c r="D166" s="59" t="str">
        <f ca="1">IF(C166=0,"Exact",IF(C166&lt;=Calc!$D$4,"Nice",""))</f>
        <v/>
      </c>
      <c r="E166" s="60"/>
      <c r="F166" s="24">
        <v>166</v>
      </c>
    </row>
    <row r="167" spans="1:6" hidden="1" x14ac:dyDescent="0.25">
      <c r="A167" s="21" t="str">
        <f ca="1">Calc!L167</f>
        <v/>
      </c>
      <c r="B167" s="22" t="str">
        <f ca="1">Calc!K167</f>
        <v/>
      </c>
      <c r="C167" s="39">
        <f ca="1">Calc!M167</f>
        <v>995</v>
      </c>
      <c r="D167" s="59" t="str">
        <f ca="1">IF(C167=0,"Exact",IF(C167&lt;=Calc!$D$4,"Nice",""))</f>
        <v/>
      </c>
      <c r="E167" s="60"/>
      <c r="F167" s="24">
        <v>167</v>
      </c>
    </row>
    <row r="168" spans="1:6" hidden="1" x14ac:dyDescent="0.25">
      <c r="A168" s="21" t="str">
        <f ca="1">Calc!L168</f>
        <v/>
      </c>
      <c r="B168" s="22" t="str">
        <f ca="1">Calc!K168</f>
        <v/>
      </c>
      <c r="C168" s="39">
        <f ca="1">Calc!M168</f>
        <v>995</v>
      </c>
      <c r="D168" s="59" t="str">
        <f ca="1">IF(C168=0,"Exact",IF(C168&lt;=Calc!$D$4,"Nice",""))</f>
        <v/>
      </c>
      <c r="E168" s="60"/>
      <c r="F168" s="24">
        <v>168</v>
      </c>
    </row>
    <row r="169" spans="1:6" hidden="1" x14ac:dyDescent="0.25">
      <c r="A169" s="21" t="str">
        <f ca="1">Calc!L169</f>
        <v/>
      </c>
      <c r="B169" s="22" t="str">
        <f ca="1">Calc!K169</f>
        <v/>
      </c>
      <c r="C169" s="39">
        <f ca="1">Calc!M169</f>
        <v>995</v>
      </c>
      <c r="D169" s="59" t="str">
        <f ca="1">IF(C169=0,"Exact",IF(C169&lt;=Calc!$D$4,"Nice",""))</f>
        <v/>
      </c>
      <c r="E169" s="60"/>
      <c r="F169" s="24">
        <v>169</v>
      </c>
    </row>
    <row r="170" spans="1:6" hidden="1" x14ac:dyDescent="0.25">
      <c r="A170" s="21" t="str">
        <f ca="1">Calc!L170</f>
        <v/>
      </c>
      <c r="B170" s="22" t="str">
        <f ca="1">Calc!K170</f>
        <v/>
      </c>
      <c r="C170" s="39">
        <f ca="1">Calc!M170</f>
        <v>995</v>
      </c>
      <c r="D170" s="59" t="str">
        <f ca="1">IF(C170=0,"Exact",IF(C170&lt;=Calc!$D$4,"Nice",""))</f>
        <v/>
      </c>
      <c r="E170" s="60"/>
      <c r="F170" s="24">
        <v>170</v>
      </c>
    </row>
    <row r="171" spans="1:6" hidden="1" x14ac:dyDescent="0.25">
      <c r="A171" s="21" t="str">
        <f ca="1">Calc!L171</f>
        <v/>
      </c>
      <c r="B171" s="22" t="str">
        <f ca="1">Calc!K171</f>
        <v/>
      </c>
      <c r="C171" s="39">
        <f ca="1">Calc!M171</f>
        <v>995</v>
      </c>
      <c r="D171" s="59" t="str">
        <f ca="1">IF(C171=0,"Exact",IF(C171&lt;=Calc!$D$4,"Nice",""))</f>
        <v/>
      </c>
      <c r="E171" s="60"/>
      <c r="F171" s="24">
        <v>171</v>
      </c>
    </row>
    <row r="172" spans="1:6" hidden="1" x14ac:dyDescent="0.25">
      <c r="A172" s="21" t="str">
        <f ca="1">Calc!L172</f>
        <v/>
      </c>
      <c r="B172" s="22" t="str">
        <f ca="1">Calc!K172</f>
        <v/>
      </c>
      <c r="C172" s="39">
        <f ca="1">Calc!M172</f>
        <v>995</v>
      </c>
      <c r="D172" s="59" t="str">
        <f ca="1">IF(C172=0,"Exact",IF(C172&lt;=Calc!$D$4,"Nice",""))</f>
        <v/>
      </c>
      <c r="E172" s="60"/>
      <c r="F172" s="24">
        <v>172</v>
      </c>
    </row>
    <row r="173" spans="1:6" x14ac:dyDescent="0.25">
      <c r="A173" s="21">
        <f ca="1">Calc!L113</f>
        <v>25.03</v>
      </c>
      <c r="B173" s="22" t="str">
        <f ca="1">Calc!K113</f>
        <v>1.330 + 23.700</v>
      </c>
      <c r="C173" s="39">
        <f ca="1">Calc!M113</f>
        <v>0.12000000000000455</v>
      </c>
      <c r="D173" s="59" t="str">
        <f ca="1">IF(C173=0,"Exact",IF(C173&lt;=Calc!$D$4,"Nice",""))</f>
        <v>Nice</v>
      </c>
      <c r="E173" s="60"/>
      <c r="F173" s="24">
        <v>113</v>
      </c>
    </row>
    <row r="174" spans="1:6" hidden="1" x14ac:dyDescent="0.25">
      <c r="A174" s="21">
        <f ca="1">Calc!L174</f>
        <v>25.220000000000002</v>
      </c>
      <c r="B174" s="22" t="str">
        <f ca="1">Calc!K174</f>
        <v>5.620 + 19.600</v>
      </c>
      <c r="C174" s="39">
        <f ca="1">Calc!M174</f>
        <v>0.88000000000000966</v>
      </c>
      <c r="D174" s="59" t="str">
        <f ca="1">IF(C174=0,"Exact",IF(C174&lt;=Calc!$D$4,"Nice",""))</f>
        <v/>
      </c>
      <c r="E174" s="60"/>
      <c r="F174" s="24">
        <v>174</v>
      </c>
    </row>
    <row r="175" spans="1:6" hidden="1" x14ac:dyDescent="0.25">
      <c r="A175" s="21">
        <f ca="1">Calc!L175</f>
        <v>25.220000000000002</v>
      </c>
      <c r="B175" s="22" t="str">
        <f ca="1">Calc!K175</f>
        <v>5.620 + 19.600</v>
      </c>
      <c r="C175" s="39">
        <f ca="1">Calc!M175</f>
        <v>0.88000000000000966</v>
      </c>
      <c r="D175" s="59" t="str">
        <f ca="1">IF(C175=0,"Exact",IF(C175&lt;=Calc!$D$4,"Nice",""))</f>
        <v/>
      </c>
      <c r="E175" s="60"/>
      <c r="F175" s="24">
        <v>175</v>
      </c>
    </row>
    <row r="176" spans="1:6" hidden="1" x14ac:dyDescent="0.25">
      <c r="A176" s="21">
        <f ca="1">Calc!L176</f>
        <v>25.220000000000002</v>
      </c>
      <c r="B176" s="22" t="str">
        <f ca="1">Calc!K176</f>
        <v>5.620 + 19.600</v>
      </c>
      <c r="C176" s="39">
        <f ca="1">Calc!M176</f>
        <v>0.88000000000000966</v>
      </c>
      <c r="D176" s="59" t="str">
        <f ca="1">IF(C176=0,"Exact",IF(C176&lt;=Calc!$D$4,"Nice",""))</f>
        <v/>
      </c>
      <c r="E176" s="60"/>
      <c r="F176" s="24">
        <v>176</v>
      </c>
    </row>
    <row r="177" spans="1:6" hidden="1" x14ac:dyDescent="0.25">
      <c r="A177" s="21" t="str">
        <f ca="1">Calc!L177</f>
        <v/>
      </c>
      <c r="B177" s="22" t="str">
        <f ca="1">Calc!K177</f>
        <v/>
      </c>
      <c r="C177" s="39">
        <f ca="1">Calc!M177</f>
        <v>995</v>
      </c>
      <c r="D177" s="59" t="str">
        <f ca="1">IF(C177=0,"Exact",IF(C177&lt;=Calc!$D$4,"Nice",""))</f>
        <v/>
      </c>
      <c r="E177" s="60"/>
      <c r="F177" s="24">
        <v>177</v>
      </c>
    </row>
    <row r="178" spans="1:6" hidden="1" x14ac:dyDescent="0.25">
      <c r="A178" s="21" t="str">
        <f ca="1">Calc!L178</f>
        <v/>
      </c>
      <c r="B178" s="22" t="str">
        <f ca="1">Calc!K178</f>
        <v/>
      </c>
      <c r="C178" s="39">
        <f ca="1">Calc!M178</f>
        <v>995</v>
      </c>
      <c r="D178" s="59" t="str">
        <f ca="1">IF(C178=0,"Exact",IF(C178&lt;=Calc!$D$4,"Nice",""))</f>
        <v/>
      </c>
      <c r="E178" s="60"/>
      <c r="F178" s="24">
        <v>178</v>
      </c>
    </row>
    <row r="179" spans="1:6" hidden="1" x14ac:dyDescent="0.25">
      <c r="A179" s="21" t="str">
        <f ca="1">Calc!L179</f>
        <v/>
      </c>
      <c r="B179" s="22" t="str">
        <f ca="1">Calc!K179</f>
        <v/>
      </c>
      <c r="C179" s="39">
        <f ca="1">Calc!M179</f>
        <v>995</v>
      </c>
      <c r="D179" s="59" t="str">
        <f ca="1">IF(C179=0,"Exact",IF(C179&lt;=Calc!$D$4,"Nice",""))</f>
        <v/>
      </c>
      <c r="E179" s="60"/>
      <c r="F179" s="24">
        <v>179</v>
      </c>
    </row>
    <row r="180" spans="1:6" hidden="1" x14ac:dyDescent="0.25">
      <c r="A180" s="21" t="str">
        <f ca="1">Calc!L180</f>
        <v/>
      </c>
      <c r="B180" s="22" t="str">
        <f ca="1">Calc!K180</f>
        <v/>
      </c>
      <c r="C180" s="39">
        <f ca="1">Calc!M180</f>
        <v>995</v>
      </c>
      <c r="D180" s="59" t="str">
        <f ca="1">IF(C180=0,"Exact",IF(C180&lt;=Calc!$D$4,"Nice",""))</f>
        <v/>
      </c>
      <c r="E180" s="60"/>
      <c r="F180" s="24">
        <v>180</v>
      </c>
    </row>
    <row r="181" spans="1:6" hidden="1" x14ac:dyDescent="0.25">
      <c r="A181" s="21" t="str">
        <f ca="1">Calc!L181</f>
        <v/>
      </c>
      <c r="B181" s="22" t="str">
        <f ca="1">Calc!K181</f>
        <v/>
      </c>
      <c r="C181" s="39">
        <f ca="1">Calc!M181</f>
        <v>995</v>
      </c>
      <c r="D181" s="59" t="str">
        <f ca="1">IF(C181=0,"Exact",IF(C181&lt;=Calc!$D$4,"Nice",""))</f>
        <v/>
      </c>
      <c r="E181" s="60"/>
      <c r="F181" s="24">
        <v>181</v>
      </c>
    </row>
    <row r="182" spans="1:6" hidden="1" x14ac:dyDescent="0.25">
      <c r="A182" s="21" t="str">
        <f ca="1">Calc!L182</f>
        <v/>
      </c>
      <c r="B182" s="22" t="str">
        <f ca="1">Calc!K182</f>
        <v/>
      </c>
      <c r="C182" s="39">
        <f ca="1">Calc!M182</f>
        <v>995</v>
      </c>
      <c r="D182" s="59" t="str">
        <f ca="1">IF(C182=0,"Exact",IF(C182&lt;=Calc!$D$4,"Nice",""))</f>
        <v/>
      </c>
      <c r="E182" s="60"/>
      <c r="F182" s="24">
        <v>182</v>
      </c>
    </row>
    <row r="183" spans="1:6" hidden="1" x14ac:dyDescent="0.25">
      <c r="A183" s="21" t="str">
        <f ca="1">Calc!L183</f>
        <v/>
      </c>
      <c r="B183" s="22" t="str">
        <f ca="1">Calc!K183</f>
        <v/>
      </c>
      <c r="C183" s="39">
        <f ca="1">Calc!M183</f>
        <v>995</v>
      </c>
      <c r="D183" s="59" t="str">
        <f ca="1">IF(C183=0,"Exact",IF(C183&lt;=Calc!$D$4,"Nice",""))</f>
        <v/>
      </c>
      <c r="E183" s="60"/>
      <c r="F183" s="24">
        <v>183</v>
      </c>
    </row>
    <row r="184" spans="1:6" hidden="1" x14ac:dyDescent="0.25">
      <c r="A184" s="21" t="str">
        <f ca="1">Calc!L184</f>
        <v/>
      </c>
      <c r="B184" s="22" t="str">
        <f ca="1">Calc!K184</f>
        <v/>
      </c>
      <c r="C184" s="39">
        <f ca="1">Calc!M184</f>
        <v>995</v>
      </c>
      <c r="D184" s="59" t="str">
        <f ca="1">IF(C184=0,"Exact",IF(C184&lt;=Calc!$D$4,"Nice",""))</f>
        <v/>
      </c>
      <c r="E184" s="60"/>
      <c r="F184" s="24">
        <v>184</v>
      </c>
    </row>
    <row r="185" spans="1:6" hidden="1" x14ac:dyDescent="0.25">
      <c r="A185" s="21" t="str">
        <f ca="1">Calc!L185</f>
        <v/>
      </c>
      <c r="B185" s="22" t="str">
        <f ca="1">Calc!K185</f>
        <v/>
      </c>
      <c r="C185" s="39">
        <f ca="1">Calc!M185</f>
        <v>995</v>
      </c>
      <c r="D185" s="59" t="str">
        <f ca="1">IF(C185=0,"Exact",IF(C185&lt;=Calc!$D$4,"Nice",""))</f>
        <v/>
      </c>
      <c r="E185" s="60"/>
      <c r="F185" s="24">
        <v>185</v>
      </c>
    </row>
    <row r="186" spans="1:6" hidden="1" x14ac:dyDescent="0.25">
      <c r="A186" s="21" t="str">
        <f ca="1">Calc!L186</f>
        <v/>
      </c>
      <c r="B186" s="22" t="str">
        <f ca="1">Calc!K186</f>
        <v/>
      </c>
      <c r="C186" s="39">
        <f ca="1">Calc!M186</f>
        <v>995</v>
      </c>
      <c r="D186" s="59" t="str">
        <f ca="1">IF(C186=0,"Exact",IF(C186&lt;=Calc!$D$4,"Nice",""))</f>
        <v/>
      </c>
      <c r="E186" s="60"/>
      <c r="F186" s="24">
        <v>186</v>
      </c>
    </row>
    <row r="187" spans="1:6" hidden="1" x14ac:dyDescent="0.25">
      <c r="A187" s="21" t="str">
        <f ca="1">Calc!L187</f>
        <v/>
      </c>
      <c r="B187" s="22" t="str">
        <f ca="1">Calc!K187</f>
        <v/>
      </c>
      <c r="C187" s="39">
        <f ca="1">Calc!M187</f>
        <v>995</v>
      </c>
      <c r="D187" s="59" t="str">
        <f ca="1">IF(C187=0,"Exact",IF(C187&lt;=Calc!$D$4,"Nice",""))</f>
        <v/>
      </c>
      <c r="E187" s="60"/>
      <c r="F187" s="24">
        <v>187</v>
      </c>
    </row>
    <row r="188" spans="1:6" hidden="1" x14ac:dyDescent="0.25">
      <c r="A188" s="21" t="str">
        <f ca="1">Calc!L188</f>
        <v/>
      </c>
      <c r="B188" s="22" t="str">
        <f ca="1">Calc!K188</f>
        <v/>
      </c>
      <c r="C188" s="39">
        <f ca="1">Calc!M188</f>
        <v>995</v>
      </c>
      <c r="D188" s="59" t="str">
        <f ca="1">IF(C188=0,"Exact",IF(C188&lt;=Calc!$D$4,"Nice",""))</f>
        <v/>
      </c>
      <c r="E188" s="60"/>
      <c r="F188" s="24">
        <v>188</v>
      </c>
    </row>
    <row r="189" spans="1:6" hidden="1" x14ac:dyDescent="0.25">
      <c r="A189" s="21" t="str">
        <f ca="1">Calc!L189</f>
        <v/>
      </c>
      <c r="B189" s="22" t="str">
        <f ca="1">Calc!K189</f>
        <v/>
      </c>
      <c r="C189" s="39">
        <f ca="1">Calc!M189</f>
        <v>995</v>
      </c>
      <c r="D189" s="59" t="str">
        <f ca="1">IF(C189=0,"Exact",IF(C189&lt;=Calc!$D$4,"Nice",""))</f>
        <v/>
      </c>
      <c r="E189" s="60"/>
      <c r="F189" s="24">
        <v>189</v>
      </c>
    </row>
    <row r="190" spans="1:6" hidden="1" x14ac:dyDescent="0.25">
      <c r="A190" s="21" t="str">
        <f ca="1">Calc!L190</f>
        <v/>
      </c>
      <c r="B190" s="22" t="str">
        <f ca="1">Calc!K190</f>
        <v/>
      </c>
      <c r="C190" s="39">
        <f ca="1">Calc!M190</f>
        <v>995</v>
      </c>
      <c r="D190" s="59" t="str">
        <f ca="1">IF(C190=0,"Exact",IF(C190&lt;=Calc!$D$4,"Nice",""))</f>
        <v/>
      </c>
      <c r="E190" s="60"/>
      <c r="F190" s="24">
        <v>190</v>
      </c>
    </row>
    <row r="191" spans="1:6" hidden="1" x14ac:dyDescent="0.25">
      <c r="A191" s="21" t="str">
        <f ca="1">Calc!L191</f>
        <v/>
      </c>
      <c r="B191" s="22" t="str">
        <f ca="1">Calc!K191</f>
        <v/>
      </c>
      <c r="C191" s="39">
        <f ca="1">Calc!M191</f>
        <v>995</v>
      </c>
      <c r="D191" s="59" t="str">
        <f ca="1">IF(C191=0,"Exact",IF(C191&lt;=Calc!$D$4,"Nice",""))</f>
        <v/>
      </c>
      <c r="E191" s="60"/>
      <c r="F191" s="24">
        <v>191</v>
      </c>
    </row>
    <row r="192" spans="1:6" hidden="1" x14ac:dyDescent="0.25">
      <c r="A192" s="21" t="str">
        <f ca="1">Calc!L192</f>
        <v/>
      </c>
      <c r="B192" s="22" t="str">
        <f ca="1">Calc!K192</f>
        <v/>
      </c>
      <c r="C192" s="39">
        <f ca="1">Calc!M192</f>
        <v>995</v>
      </c>
      <c r="D192" s="59" t="str">
        <f ca="1">IF(C192=0,"Exact",IF(C192&lt;=Calc!$D$4,"Nice",""))</f>
        <v/>
      </c>
      <c r="E192" s="60"/>
      <c r="F192" s="24">
        <v>192</v>
      </c>
    </row>
    <row r="193" spans="1:6" hidden="1" x14ac:dyDescent="0.25">
      <c r="A193" s="21" t="str">
        <f ca="1">Calc!L193</f>
        <v/>
      </c>
      <c r="B193" s="22" t="str">
        <f ca="1">Calc!K193</f>
        <v/>
      </c>
      <c r="C193" s="39">
        <f ca="1">Calc!M193</f>
        <v>995</v>
      </c>
      <c r="D193" s="59" t="str">
        <f ca="1">IF(C193=0,"Exact",IF(C193&lt;=Calc!$D$4,"Nice",""))</f>
        <v/>
      </c>
      <c r="E193" s="60"/>
      <c r="F193" s="24">
        <v>193</v>
      </c>
    </row>
    <row r="194" spans="1:6" hidden="1" x14ac:dyDescent="0.25">
      <c r="A194" s="21" t="str">
        <f ca="1">Calc!L194</f>
        <v/>
      </c>
      <c r="B194" s="22" t="str">
        <f ca="1">Calc!K194</f>
        <v/>
      </c>
      <c r="C194" s="39">
        <f ca="1">Calc!M194</f>
        <v>995</v>
      </c>
      <c r="D194" s="59" t="str">
        <f ca="1">IF(C194=0,"Exact",IF(C194&lt;=Calc!$D$4,"Nice",""))</f>
        <v/>
      </c>
      <c r="E194" s="60"/>
      <c r="F194" s="24">
        <v>194</v>
      </c>
    </row>
    <row r="195" spans="1:6" hidden="1" x14ac:dyDescent="0.25">
      <c r="A195" s="21" t="str">
        <f ca="1">Calc!L195</f>
        <v/>
      </c>
      <c r="B195" s="22" t="str">
        <f ca="1">Calc!K195</f>
        <v/>
      </c>
      <c r="C195" s="39">
        <f ca="1">Calc!M195</f>
        <v>995</v>
      </c>
      <c r="D195" s="59" t="str">
        <f ca="1">IF(C195=0,"Exact",IF(C195&lt;=Calc!$D$4,"Nice",""))</f>
        <v/>
      </c>
      <c r="E195" s="60"/>
      <c r="F195" s="24">
        <v>195</v>
      </c>
    </row>
    <row r="196" spans="1:6" hidden="1" x14ac:dyDescent="0.25">
      <c r="A196" s="21" t="str">
        <f ca="1">Calc!L196</f>
        <v/>
      </c>
      <c r="B196" s="22" t="str">
        <f ca="1">Calc!K196</f>
        <v/>
      </c>
      <c r="C196" s="39">
        <f ca="1">Calc!M196</f>
        <v>995</v>
      </c>
      <c r="D196" s="59" t="str">
        <f ca="1">IF(C196=0,"Exact",IF(C196&lt;=Calc!$D$4,"Nice",""))</f>
        <v/>
      </c>
      <c r="E196" s="60"/>
      <c r="F196" s="24">
        <v>196</v>
      </c>
    </row>
    <row r="197" spans="1:6" hidden="1" x14ac:dyDescent="0.25">
      <c r="A197" s="21" t="str">
        <f ca="1">Calc!L197</f>
        <v/>
      </c>
      <c r="B197" s="22" t="str">
        <f ca="1">Calc!K197</f>
        <v/>
      </c>
      <c r="C197" s="39">
        <f ca="1">Calc!M197</f>
        <v>995</v>
      </c>
      <c r="D197" s="59" t="str">
        <f ca="1">IF(C197=0,"Exact",IF(C197&lt;=Calc!$D$4,"Nice",""))</f>
        <v/>
      </c>
      <c r="E197" s="60"/>
      <c r="F197" s="24">
        <v>197</v>
      </c>
    </row>
    <row r="198" spans="1:6" hidden="1" x14ac:dyDescent="0.25">
      <c r="A198" s="21" t="str">
        <f ca="1">Calc!L198</f>
        <v/>
      </c>
      <c r="B198" s="22" t="str">
        <f ca="1">Calc!K198</f>
        <v/>
      </c>
      <c r="C198" s="39">
        <f ca="1">Calc!M198</f>
        <v>995</v>
      </c>
      <c r="D198" s="59" t="str">
        <f ca="1">IF(C198=0,"Exact",IF(C198&lt;=Calc!$D$4,"Nice",""))</f>
        <v/>
      </c>
      <c r="E198" s="60"/>
      <c r="F198" s="24">
        <v>198</v>
      </c>
    </row>
    <row r="199" spans="1:6" hidden="1" x14ac:dyDescent="0.25">
      <c r="A199" s="21" t="str">
        <f ca="1">Calc!L199</f>
        <v/>
      </c>
      <c r="B199" s="22" t="str">
        <f ca="1">Calc!K199</f>
        <v/>
      </c>
      <c r="C199" s="39">
        <f ca="1">Calc!M199</f>
        <v>995</v>
      </c>
      <c r="D199" s="59" t="str">
        <f ca="1">IF(C199=0,"Exact",IF(C199&lt;=Calc!$D$4,"Nice",""))</f>
        <v/>
      </c>
      <c r="E199" s="60"/>
      <c r="F199" s="24">
        <v>199</v>
      </c>
    </row>
    <row r="200" spans="1:6" hidden="1" x14ac:dyDescent="0.25">
      <c r="A200" s="21" t="str">
        <f ca="1">Calc!L200</f>
        <v/>
      </c>
      <c r="B200" s="22" t="str">
        <f ca="1">Calc!K200</f>
        <v/>
      </c>
      <c r="C200" s="39">
        <f ca="1">Calc!M200</f>
        <v>995</v>
      </c>
      <c r="D200" s="59" t="str">
        <f ca="1">IF(C200=0,"Exact",IF(C200&lt;=Calc!$D$4,"Nice",""))</f>
        <v/>
      </c>
      <c r="E200" s="60"/>
      <c r="F200" s="24">
        <v>200</v>
      </c>
    </row>
    <row r="201" spans="1:6" hidden="1" x14ac:dyDescent="0.25">
      <c r="A201" s="21" t="str">
        <f ca="1">Calc!L201</f>
        <v/>
      </c>
      <c r="B201" s="22" t="str">
        <f ca="1">Calc!K201</f>
        <v/>
      </c>
      <c r="C201" s="39">
        <f ca="1">Calc!M201</f>
        <v>995</v>
      </c>
      <c r="D201" s="59" t="str">
        <f ca="1">IF(C201=0,"Exact",IF(C201&lt;=Calc!$D$4,"Nice",""))</f>
        <v/>
      </c>
      <c r="E201" s="60"/>
      <c r="F201" s="24">
        <v>201</v>
      </c>
    </row>
    <row r="202" spans="1:6" hidden="1" x14ac:dyDescent="0.25">
      <c r="A202" s="21" t="str">
        <f ca="1">Calc!L202</f>
        <v/>
      </c>
      <c r="B202" s="22" t="str">
        <f ca="1">Calc!K202</f>
        <v/>
      </c>
      <c r="C202" s="39">
        <f ca="1">Calc!M202</f>
        <v>995</v>
      </c>
      <c r="D202" s="59" t="str">
        <f ca="1">IF(C202=0,"Exact",IF(C202&lt;=Calc!$D$4,"Nice",""))</f>
        <v/>
      </c>
      <c r="E202" s="60"/>
      <c r="F202" s="24">
        <v>202</v>
      </c>
    </row>
    <row r="203" spans="1:6" hidden="1" x14ac:dyDescent="0.25">
      <c r="A203" s="21" t="str">
        <f ca="1">Calc!L203</f>
        <v/>
      </c>
      <c r="B203" s="22" t="str">
        <f ca="1">Calc!K203</f>
        <v/>
      </c>
      <c r="C203" s="39">
        <f ca="1">Calc!M203</f>
        <v>995</v>
      </c>
      <c r="D203" s="59" t="str">
        <f ca="1">IF(C203=0,"Exact",IF(C203&lt;=Calc!$D$4,"Nice",""))</f>
        <v/>
      </c>
      <c r="E203" s="60"/>
      <c r="F203" s="24">
        <v>203</v>
      </c>
    </row>
    <row r="204" spans="1:6" hidden="1" x14ac:dyDescent="0.25">
      <c r="A204" s="21" t="str">
        <f ca="1">Calc!L204</f>
        <v/>
      </c>
      <c r="B204" s="22" t="str">
        <f ca="1">Calc!K204</f>
        <v/>
      </c>
      <c r="C204" s="39">
        <f ca="1">Calc!M204</f>
        <v>995</v>
      </c>
      <c r="D204" s="59" t="str">
        <f ca="1">IF(C204=0,"Exact",IF(C204&lt;=Calc!$D$4,"Nice",""))</f>
        <v/>
      </c>
      <c r="E204" s="60"/>
      <c r="F204" s="24">
        <v>204</v>
      </c>
    </row>
    <row r="205" spans="1:6" hidden="1" x14ac:dyDescent="0.25">
      <c r="A205" s="21" t="str">
        <f ca="1">Calc!L205</f>
        <v/>
      </c>
      <c r="B205" s="22" t="str">
        <f ca="1">Calc!K205</f>
        <v/>
      </c>
      <c r="C205" s="39">
        <f ca="1">Calc!M205</f>
        <v>995</v>
      </c>
      <c r="D205" s="59" t="str">
        <f ca="1">IF(C205=0,"Exact",IF(C205&lt;=Calc!$D$4,"Nice",""))</f>
        <v/>
      </c>
      <c r="E205" s="60"/>
      <c r="F205" s="24">
        <v>205</v>
      </c>
    </row>
    <row r="206" spans="1:6" ht="15.75" hidden="1" thickBot="1" x14ac:dyDescent="0.3">
      <c r="A206" s="21" t="str">
        <f ca="1">Calc!L206</f>
        <v/>
      </c>
      <c r="B206" s="22" t="str">
        <f ca="1">Calc!K206</f>
        <v/>
      </c>
      <c r="C206" s="39">
        <f ca="1">Calc!M206</f>
        <v>995</v>
      </c>
      <c r="D206" s="59" t="str">
        <f ca="1">IF(C206=0,"Exact",IF(C206&lt;=Calc!$D$4,"Nice",""))</f>
        <v/>
      </c>
      <c r="E206" s="60"/>
      <c r="F206" s="24">
        <v>206</v>
      </c>
    </row>
    <row r="207" spans="1:6" hidden="1" x14ac:dyDescent="0.25">
      <c r="A207" s="21" t="str">
        <f ca="1">Calc!L207</f>
        <v/>
      </c>
      <c r="B207" s="22" t="str">
        <f ca="1">Calc!K207</f>
        <v/>
      </c>
      <c r="C207" s="39">
        <f ca="1">Calc!M207</f>
        <v>995</v>
      </c>
      <c r="D207" s="59" t="str">
        <f ca="1">IF(C207=0,"Exact",IF(C207&lt;=Calc!$D$4,"Nice",""))</f>
        <v/>
      </c>
      <c r="E207" s="60"/>
      <c r="F207" s="24">
        <v>207</v>
      </c>
    </row>
    <row r="208" spans="1:6" hidden="1" x14ac:dyDescent="0.25">
      <c r="A208" s="21" t="str">
        <f ca="1">Calc!L208</f>
        <v/>
      </c>
      <c r="B208" s="22" t="str">
        <f ca="1">Calc!K208</f>
        <v/>
      </c>
      <c r="C208" s="39">
        <f ca="1">Calc!M208</f>
        <v>995</v>
      </c>
      <c r="D208" s="59" t="str">
        <f ca="1">IF(C208=0,"Exact",IF(C208&lt;=Calc!$D$4,"Nice",""))</f>
        <v/>
      </c>
      <c r="E208" s="60"/>
      <c r="F208" s="24">
        <v>208</v>
      </c>
    </row>
    <row r="209" spans="1:6" hidden="1" x14ac:dyDescent="0.25">
      <c r="A209" s="21" t="str">
        <f ca="1">Calc!L209</f>
        <v/>
      </c>
      <c r="B209" s="22" t="str">
        <f ca="1">Calc!K209</f>
        <v/>
      </c>
      <c r="C209" s="39">
        <f ca="1">Calc!M209</f>
        <v>995</v>
      </c>
      <c r="D209" s="59" t="str">
        <f ca="1">IF(C209=0,"Exact",IF(C209&lt;=Calc!$D$4,"Nice",""))</f>
        <v/>
      </c>
      <c r="E209" s="60"/>
      <c r="F209" s="24">
        <v>209</v>
      </c>
    </row>
    <row r="210" spans="1:6" hidden="1" x14ac:dyDescent="0.25">
      <c r="A210" s="21" t="str">
        <f ca="1">Calc!L210</f>
        <v/>
      </c>
      <c r="B210" s="22" t="str">
        <f ca="1">Calc!K210</f>
        <v/>
      </c>
      <c r="C210" s="39">
        <f ca="1">Calc!M210</f>
        <v>995</v>
      </c>
      <c r="D210" s="59" t="str">
        <f ca="1">IF(C210=0,"Exact",IF(C210&lt;=Calc!$D$4,"Nice",""))</f>
        <v/>
      </c>
      <c r="E210" s="60"/>
      <c r="F210" s="24">
        <v>210</v>
      </c>
    </row>
    <row r="211" spans="1:6" hidden="1" x14ac:dyDescent="0.25">
      <c r="A211" s="21" t="str">
        <f ca="1">Calc!L211</f>
        <v/>
      </c>
      <c r="B211" s="22" t="str">
        <f ca="1">Calc!K211</f>
        <v/>
      </c>
      <c r="C211" s="39">
        <f ca="1">Calc!M211</f>
        <v>995</v>
      </c>
      <c r="D211" s="59" t="str">
        <f ca="1">IF(C211=0,"Exact",IF(C211&lt;=Calc!$D$4,"Nice",""))</f>
        <v/>
      </c>
      <c r="E211" s="60"/>
      <c r="F211" s="24">
        <v>211</v>
      </c>
    </row>
    <row r="212" spans="1:6" hidden="1" x14ac:dyDescent="0.25">
      <c r="A212" s="21" t="str">
        <f ca="1">Calc!L212</f>
        <v/>
      </c>
      <c r="B212" s="22" t="str">
        <f ca="1">Calc!K212</f>
        <v/>
      </c>
      <c r="C212" s="39">
        <f ca="1">Calc!M212</f>
        <v>995</v>
      </c>
      <c r="D212" s="59" t="str">
        <f ca="1">IF(C212=0,"Exact",IF(C212&lt;=Calc!$D$4,"Nice",""))</f>
        <v/>
      </c>
      <c r="E212" s="60"/>
      <c r="F212" s="24">
        <v>212</v>
      </c>
    </row>
    <row r="213" spans="1:6" hidden="1" x14ac:dyDescent="0.25">
      <c r="A213" s="21" t="str">
        <f ca="1">Calc!L213</f>
        <v/>
      </c>
      <c r="B213" s="22" t="str">
        <f ca="1">Calc!K213</f>
        <v/>
      </c>
      <c r="C213" s="39">
        <f ca="1">Calc!M213</f>
        <v>995</v>
      </c>
      <c r="D213" s="59" t="str">
        <f ca="1">IF(C213=0,"Exact",IF(C213&lt;=Calc!$D$4,"Nice",""))</f>
        <v/>
      </c>
      <c r="E213" s="60"/>
      <c r="F213" s="24">
        <v>213</v>
      </c>
    </row>
    <row r="214" spans="1:6" hidden="1" x14ac:dyDescent="0.25">
      <c r="A214" s="21" t="str">
        <f ca="1">Calc!L214</f>
        <v/>
      </c>
      <c r="B214" s="22" t="str">
        <f ca="1">Calc!K214</f>
        <v/>
      </c>
      <c r="C214" s="39">
        <f ca="1">Calc!M214</f>
        <v>995</v>
      </c>
      <c r="D214" s="59" t="str">
        <f ca="1">IF(C214=0,"Exact",IF(C214&lt;=Calc!$D$4,"Nice",""))</f>
        <v/>
      </c>
      <c r="E214" s="60"/>
      <c r="F214" s="24">
        <v>214</v>
      </c>
    </row>
    <row r="215" spans="1:6" hidden="1" x14ac:dyDescent="0.25">
      <c r="A215" s="21" t="str">
        <f ca="1">Calc!L215</f>
        <v/>
      </c>
      <c r="B215" s="22" t="str">
        <f ca="1">Calc!K215</f>
        <v/>
      </c>
      <c r="C215" s="39">
        <f ca="1">Calc!M215</f>
        <v>995</v>
      </c>
      <c r="D215" s="59" t="str">
        <f ca="1">IF(C215=0,"Exact",IF(C215&lt;=Calc!$D$4,"Nice",""))</f>
        <v/>
      </c>
      <c r="E215" s="60"/>
      <c r="F215" s="24">
        <v>215</v>
      </c>
    </row>
    <row r="216" spans="1:6" hidden="1" x14ac:dyDescent="0.25">
      <c r="A216" s="21" t="str">
        <f ca="1">Calc!L216</f>
        <v/>
      </c>
      <c r="B216" s="22" t="str">
        <f ca="1">Calc!K216</f>
        <v/>
      </c>
      <c r="C216" s="39">
        <f ca="1">Calc!M216</f>
        <v>995</v>
      </c>
      <c r="D216" s="59" t="str">
        <f ca="1">IF(C216=0,"Exact",IF(C216&lt;=Calc!$D$4,"Nice",""))</f>
        <v/>
      </c>
      <c r="E216" s="60"/>
      <c r="F216" s="24">
        <v>216</v>
      </c>
    </row>
    <row r="217" spans="1:6" hidden="1" x14ac:dyDescent="0.25">
      <c r="A217" s="21" t="str">
        <f ca="1">Calc!L217</f>
        <v/>
      </c>
      <c r="B217" s="22" t="str">
        <f ca="1">Calc!K217</f>
        <v/>
      </c>
      <c r="C217" s="39">
        <f ca="1">Calc!M217</f>
        <v>995</v>
      </c>
      <c r="D217" s="59" t="str">
        <f ca="1">IF(C217=0,"Exact",IF(C217&lt;=Calc!$D$4,"Nice",""))</f>
        <v/>
      </c>
      <c r="E217" s="60"/>
      <c r="F217" s="24">
        <v>217</v>
      </c>
    </row>
    <row r="218" spans="1:6" hidden="1" x14ac:dyDescent="0.25">
      <c r="A218" s="21" t="str">
        <f ca="1">Calc!L218</f>
        <v/>
      </c>
      <c r="B218" s="22" t="str">
        <f ca="1">Calc!K218</f>
        <v/>
      </c>
      <c r="C218" s="39">
        <f ca="1">Calc!M218</f>
        <v>995</v>
      </c>
      <c r="D218" s="59" t="str">
        <f ca="1">IF(C218=0,"Exact",IF(C218&lt;=Calc!$D$4,"Nice",""))</f>
        <v/>
      </c>
      <c r="E218" s="60"/>
      <c r="F218" s="24">
        <v>218</v>
      </c>
    </row>
    <row r="219" spans="1:6" hidden="1" x14ac:dyDescent="0.25">
      <c r="A219" s="21" t="str">
        <f ca="1">Calc!L219</f>
        <v/>
      </c>
      <c r="B219" s="22" t="str">
        <f ca="1">Calc!K219</f>
        <v/>
      </c>
      <c r="C219" s="39">
        <f ca="1">Calc!M219</f>
        <v>995</v>
      </c>
      <c r="D219" s="59" t="str">
        <f ca="1">IF(C219=0,"Exact",IF(C219&lt;=Calc!$D$4,"Nice",""))</f>
        <v/>
      </c>
      <c r="E219" s="60"/>
      <c r="F219" s="24">
        <v>219</v>
      </c>
    </row>
    <row r="220" spans="1:6" hidden="1" x14ac:dyDescent="0.25">
      <c r="A220" s="21" t="str">
        <f ca="1">Calc!L220</f>
        <v/>
      </c>
      <c r="B220" s="22" t="str">
        <f ca="1">Calc!K220</f>
        <v/>
      </c>
      <c r="C220" s="39">
        <f ca="1">Calc!M220</f>
        <v>995</v>
      </c>
      <c r="D220" s="59" t="str">
        <f ca="1">IF(C220=0,"Exact",IF(C220&lt;=Calc!$D$4,"Nice",""))</f>
        <v/>
      </c>
      <c r="E220" s="60"/>
      <c r="F220" s="24">
        <v>220</v>
      </c>
    </row>
    <row r="221" spans="1:6" hidden="1" x14ac:dyDescent="0.25">
      <c r="A221" s="21" t="str">
        <f ca="1">Calc!L221</f>
        <v/>
      </c>
      <c r="B221" s="22" t="str">
        <f ca="1">Calc!K221</f>
        <v/>
      </c>
      <c r="C221" s="39">
        <f ca="1">Calc!M221</f>
        <v>995</v>
      </c>
      <c r="D221" s="59" t="str">
        <f ca="1">IF(C221=0,"Exact",IF(C221&lt;=Calc!$D$4,"Nice",""))</f>
        <v/>
      </c>
      <c r="E221" s="60"/>
      <c r="F221" s="24">
        <v>221</v>
      </c>
    </row>
    <row r="222" spans="1:6" hidden="1" x14ac:dyDescent="0.25">
      <c r="A222" s="21" t="str">
        <f ca="1">Calc!L222</f>
        <v/>
      </c>
      <c r="B222" s="22" t="str">
        <f ca="1">Calc!K222</f>
        <v/>
      </c>
      <c r="C222" s="39">
        <f ca="1">Calc!M222</f>
        <v>995</v>
      </c>
      <c r="D222" s="59" t="str">
        <f ca="1">IF(C222=0,"Exact",IF(C222&lt;=Calc!$D$4,"Nice",""))</f>
        <v/>
      </c>
      <c r="E222" s="60"/>
      <c r="F222" s="24">
        <v>222</v>
      </c>
    </row>
    <row r="223" spans="1:6" hidden="1" x14ac:dyDescent="0.25">
      <c r="A223" s="21" t="str">
        <f ca="1">Calc!L223</f>
        <v/>
      </c>
      <c r="B223" s="22" t="str">
        <f ca="1">Calc!K223</f>
        <v/>
      </c>
      <c r="C223" s="39">
        <f ca="1">Calc!M223</f>
        <v>995</v>
      </c>
      <c r="D223" s="59" t="str">
        <f ca="1">IF(C223=0,"Exact",IF(C223&lt;=Calc!$D$4,"Nice",""))</f>
        <v/>
      </c>
      <c r="E223" s="60"/>
      <c r="F223" s="24">
        <v>223</v>
      </c>
    </row>
    <row r="224" spans="1:6" hidden="1" x14ac:dyDescent="0.25">
      <c r="A224" s="21" t="str">
        <f ca="1">Calc!L224</f>
        <v/>
      </c>
      <c r="B224" s="22" t="str">
        <f ca="1">Calc!K224</f>
        <v/>
      </c>
      <c r="C224" s="39">
        <f ca="1">Calc!M224</f>
        <v>995</v>
      </c>
      <c r="D224" s="59" t="str">
        <f ca="1">IF(C224=0,"Exact",IF(C224&lt;=Calc!$D$4,"Nice",""))</f>
        <v/>
      </c>
      <c r="E224" s="60"/>
      <c r="F224" s="24">
        <v>224</v>
      </c>
    </row>
    <row r="225" spans="1:6" hidden="1" x14ac:dyDescent="0.25">
      <c r="A225" s="21">
        <f ca="1">Calc!L225</f>
        <v>25.220000000000002</v>
      </c>
      <c r="B225" s="22" t="str">
        <f ca="1">Calc!K225</f>
        <v>5.620 + 19.600</v>
      </c>
      <c r="C225" s="39">
        <f ca="1">Calc!M225</f>
        <v>0.88000000000000966</v>
      </c>
      <c r="D225" s="59" t="str">
        <f ca="1">IF(C225=0,"Exact",IF(C225&lt;=Calc!$D$4,"Nice",""))</f>
        <v/>
      </c>
      <c r="E225" s="60"/>
      <c r="F225" s="24">
        <v>225</v>
      </c>
    </row>
    <row r="226" spans="1:6" hidden="1" x14ac:dyDescent="0.25">
      <c r="A226" s="21">
        <f ca="1">Calc!L226</f>
        <v>25.220000000000002</v>
      </c>
      <c r="B226" s="22" t="str">
        <f ca="1">Calc!K226</f>
        <v>5.620 + 19.600</v>
      </c>
      <c r="C226" s="39">
        <f ca="1">Calc!M226</f>
        <v>0.88000000000000966</v>
      </c>
      <c r="D226" s="59" t="str">
        <f ca="1">IF(C226=0,"Exact",IF(C226&lt;=Calc!$D$4,"Nice",""))</f>
        <v/>
      </c>
      <c r="E226" s="60"/>
      <c r="F226" s="24">
        <v>226</v>
      </c>
    </row>
    <row r="227" spans="1:6" hidden="1" x14ac:dyDescent="0.25">
      <c r="A227" s="21">
        <f ca="1">Calc!L227</f>
        <v>25.220000000000002</v>
      </c>
      <c r="B227" s="22" t="str">
        <f ca="1">Calc!K227</f>
        <v>5.620 + 19.600</v>
      </c>
      <c r="C227" s="39">
        <f ca="1">Calc!M227</f>
        <v>0.88000000000000966</v>
      </c>
      <c r="D227" s="59" t="str">
        <f ca="1">IF(C227=0,"Exact",IF(C227&lt;=Calc!$D$4,"Nice",""))</f>
        <v/>
      </c>
      <c r="E227" s="60"/>
      <c r="F227" s="24">
        <v>227</v>
      </c>
    </row>
    <row r="228" spans="1:6" hidden="1" x14ac:dyDescent="0.25">
      <c r="A228" s="21">
        <f ca="1">Calc!L228</f>
        <v>25.220000000000002</v>
      </c>
      <c r="B228" s="22" t="str">
        <f ca="1">Calc!K228</f>
        <v>5.620 + 19.600</v>
      </c>
      <c r="C228" s="39">
        <f ca="1">Calc!M228</f>
        <v>0.88000000000000966</v>
      </c>
      <c r="D228" s="59" t="str">
        <f ca="1">IF(C228=0,"Exact",IF(C228&lt;=Calc!$D$4,"Nice",""))</f>
        <v/>
      </c>
      <c r="E228" s="60"/>
      <c r="F228" s="24">
        <v>228</v>
      </c>
    </row>
    <row r="229" spans="1:6" hidden="1" x14ac:dyDescent="0.25">
      <c r="A229" s="21">
        <f ca="1">Calc!L229</f>
        <v>24.98</v>
      </c>
      <c r="B229" s="22" t="str">
        <f ca="1">Calc!K229</f>
        <v>3.480 + 21.500</v>
      </c>
      <c r="C229" s="39">
        <f ca="1">Calc!M229</f>
        <v>7.9999999999998295E-2</v>
      </c>
      <c r="D229" s="59" t="str">
        <f ca="1">IF(C229=0,"Exact",IF(C229&lt;=Calc!$D$4,"Nice",""))</f>
        <v>Nice</v>
      </c>
      <c r="E229" s="60"/>
      <c r="F229" s="24">
        <v>229</v>
      </c>
    </row>
    <row r="230" spans="1:6" hidden="1" x14ac:dyDescent="0.25">
      <c r="A230" s="21">
        <f ca="1">Calc!L230</f>
        <v>24.98</v>
      </c>
      <c r="B230" s="22" t="str">
        <f ca="1">Calc!K230</f>
        <v>3.480 + 21.500</v>
      </c>
      <c r="C230" s="39">
        <f ca="1">Calc!M230</f>
        <v>7.9999999999998295E-2</v>
      </c>
      <c r="D230" s="59" t="str">
        <f ca="1">IF(C230=0,"Exact",IF(C230&lt;=Calc!$D$4,"Nice",""))</f>
        <v>Nice</v>
      </c>
      <c r="E230" s="60"/>
      <c r="F230" s="24">
        <v>230</v>
      </c>
    </row>
    <row r="231" spans="1:6" hidden="1" x14ac:dyDescent="0.25">
      <c r="A231" s="21">
        <f ca="1">Calc!L231</f>
        <v>24.98</v>
      </c>
      <c r="B231" s="22" t="str">
        <f ca="1">Calc!K231</f>
        <v>3.480 + 21.500</v>
      </c>
      <c r="C231" s="39">
        <f ca="1">Calc!M231</f>
        <v>7.9999999999998295E-2</v>
      </c>
      <c r="D231" s="59" t="str">
        <f ca="1">IF(C231=0,"Exact",IF(C231&lt;=Calc!$D$4,"Nice",""))</f>
        <v>Nice</v>
      </c>
      <c r="E231" s="60"/>
      <c r="F231" s="24">
        <v>231</v>
      </c>
    </row>
    <row r="232" spans="1:6" hidden="1" x14ac:dyDescent="0.25">
      <c r="A232" s="21">
        <f ca="1">Calc!L232</f>
        <v>24.98</v>
      </c>
      <c r="B232" s="22" t="str">
        <f ca="1">Calc!K232</f>
        <v>3.480 + 21.500</v>
      </c>
      <c r="C232" s="39">
        <f ca="1">Calc!M232</f>
        <v>7.9999999999998295E-2</v>
      </c>
      <c r="D232" s="59" t="str">
        <f ca="1">IF(C232=0,"Exact",IF(C232&lt;=Calc!$D$4,"Nice",""))</f>
        <v>Nice</v>
      </c>
      <c r="E232" s="60"/>
      <c r="F232" s="24">
        <v>232</v>
      </c>
    </row>
    <row r="233" spans="1:6" hidden="1" x14ac:dyDescent="0.25">
      <c r="A233" s="21">
        <f ca="1">Calc!L233</f>
        <v>25.03</v>
      </c>
      <c r="B233" s="22" t="str">
        <f ca="1">Calc!K233</f>
        <v>1.330 + 23.700</v>
      </c>
      <c r="C233" s="39">
        <f ca="1">Calc!M233</f>
        <v>0.12000000000000455</v>
      </c>
      <c r="D233" s="59" t="str">
        <f ca="1">IF(C233=0,"Exact",IF(C233&lt;=Calc!$D$4,"Nice",""))</f>
        <v>Nice</v>
      </c>
      <c r="E233" s="60"/>
      <c r="F233" s="24">
        <v>233</v>
      </c>
    </row>
    <row r="234" spans="1:6" hidden="1" x14ac:dyDescent="0.25">
      <c r="A234" s="21">
        <f ca="1">Calc!L234</f>
        <v>25.03</v>
      </c>
      <c r="B234" s="22" t="str">
        <f ca="1">Calc!K234</f>
        <v>1.330 + 23.700</v>
      </c>
      <c r="C234" s="39">
        <f ca="1">Calc!M234</f>
        <v>0.12000000000000455</v>
      </c>
      <c r="D234" s="59" t="str">
        <f ca="1">IF(C234=0,"Exact",IF(C234&lt;=Calc!$D$4,"Nice",""))</f>
        <v>Nice</v>
      </c>
      <c r="E234" s="60"/>
      <c r="F234" s="24">
        <v>234</v>
      </c>
    </row>
    <row r="235" spans="1:6" hidden="1" x14ac:dyDescent="0.25">
      <c r="A235" s="21">
        <f ca="1">Calc!L235</f>
        <v>25.03</v>
      </c>
      <c r="B235" s="22" t="str">
        <f ca="1">Calc!K235</f>
        <v>1.330 + 23.700</v>
      </c>
      <c r="C235" s="39">
        <f ca="1">Calc!M235</f>
        <v>0.12000000000000455</v>
      </c>
      <c r="D235" s="59" t="str">
        <f ca="1">IF(C235=0,"Exact",IF(C235&lt;=Calc!$D$4,"Nice",""))</f>
        <v>Nice</v>
      </c>
      <c r="E235" s="60"/>
      <c r="F235" s="24">
        <v>235</v>
      </c>
    </row>
    <row r="236" spans="1:6" hidden="1" x14ac:dyDescent="0.25">
      <c r="A236" s="21">
        <f ca="1">Calc!L236</f>
        <v>25.03</v>
      </c>
      <c r="B236" s="22" t="str">
        <f ca="1">Calc!K236</f>
        <v>1.330 + 23.700</v>
      </c>
      <c r="C236" s="39">
        <f ca="1">Calc!M236</f>
        <v>0.12000000000000455</v>
      </c>
      <c r="D236" s="59" t="str">
        <f ca="1">IF(C236=0,"Exact",IF(C236&lt;=Calc!$D$4,"Nice",""))</f>
        <v>Nice</v>
      </c>
      <c r="E236" s="60"/>
      <c r="F236" s="24">
        <v>236</v>
      </c>
    </row>
    <row r="237" spans="1:6" x14ac:dyDescent="0.25">
      <c r="A237" s="21">
        <f ca="1">Calc!L241</f>
        <v>25.034267912772584</v>
      </c>
      <c r="B237" s="22" t="str">
        <f ca="1">Calc!K241</f>
        <v>28.700 || 196.000</v>
      </c>
      <c r="C237" s="39">
        <f ca="1">Calc!M241</f>
        <v>0.13707165109033781</v>
      </c>
      <c r="D237" s="59" t="str">
        <f ca="1">IF(C237=0,"Exact",IF(C237&lt;=Calc!$D$4,"Nice",""))</f>
        <v>Nice</v>
      </c>
      <c r="E237" s="60"/>
      <c r="F237" s="24">
        <v>241</v>
      </c>
    </row>
    <row r="238" spans="1:6" hidden="1" x14ac:dyDescent="0.25">
      <c r="A238" s="21">
        <f ca="1">Calc!L238</f>
        <v>25.044024182297321</v>
      </c>
      <c r="B238" s="22" t="str">
        <f ca="1">Calc!K238</f>
        <v>26.100 || 619.000</v>
      </c>
      <c r="C238" s="39">
        <f ca="1">Calc!M238</f>
        <v>0.17609672918928254</v>
      </c>
      <c r="D238" s="59" t="str">
        <f ca="1">IF(C238=0,"Exact",IF(C238&lt;=Calc!$D$4,"Nice",""))</f>
        <v>Nice</v>
      </c>
      <c r="E238" s="60"/>
      <c r="F238" s="24">
        <v>238</v>
      </c>
    </row>
    <row r="239" spans="1:6" hidden="1" x14ac:dyDescent="0.25">
      <c r="A239" s="21">
        <f ca="1">Calc!L239</f>
        <v>25.044024182297321</v>
      </c>
      <c r="B239" s="22" t="str">
        <f ca="1">Calc!K239</f>
        <v>26.100 || 619.000</v>
      </c>
      <c r="C239" s="39">
        <f ca="1">Calc!M239</f>
        <v>0.17609672918928254</v>
      </c>
      <c r="D239" s="59" t="str">
        <f ca="1">IF(C239=0,"Exact",IF(C239&lt;=Calc!$D$4,"Nice",""))</f>
        <v>Nice</v>
      </c>
      <c r="E239" s="60"/>
      <c r="F239" s="24">
        <v>239</v>
      </c>
    </row>
    <row r="240" spans="1:6" hidden="1" x14ac:dyDescent="0.25">
      <c r="A240" s="21">
        <f ca="1">Calc!L240</f>
        <v>25.044024182297321</v>
      </c>
      <c r="B240" s="22" t="str">
        <f ca="1">Calc!K240</f>
        <v>26.100 || 619.000</v>
      </c>
      <c r="C240" s="39">
        <f ca="1">Calc!M240</f>
        <v>0.17609672918928254</v>
      </c>
      <c r="D240" s="59" t="str">
        <f ca="1">IF(C240=0,"Exact",IF(C240&lt;=Calc!$D$4,"Nice",""))</f>
        <v>Nice</v>
      </c>
      <c r="E240" s="60"/>
      <c r="F240" s="24">
        <v>240</v>
      </c>
    </row>
    <row r="241" spans="1:6" x14ac:dyDescent="0.25">
      <c r="A241" s="21">
        <f ca="1">Calc!L237</f>
        <v>25.044024182297321</v>
      </c>
      <c r="B241" s="22" t="str">
        <f ca="1">Calc!K237</f>
        <v>26.100 || 619.000</v>
      </c>
      <c r="C241" s="39">
        <f ca="1">Calc!M237</f>
        <v>0.17609672918928254</v>
      </c>
      <c r="D241" s="59" t="str">
        <f ca="1">IF(C241=0,"Exact",IF(C241&lt;=Calc!$D$4,"Nice",""))</f>
        <v>Nice</v>
      </c>
      <c r="E241" s="60"/>
      <c r="F241" s="24">
        <v>237</v>
      </c>
    </row>
    <row r="242" spans="1:6" hidden="1" x14ac:dyDescent="0.25">
      <c r="A242" s="21">
        <f ca="1">Calc!L242</f>
        <v>25.034267912772584</v>
      </c>
      <c r="B242" s="22" t="str">
        <f ca="1">Calc!K242</f>
        <v>28.700 || 196.000</v>
      </c>
      <c r="C242" s="39">
        <f ca="1">Calc!M242</f>
        <v>0.13707165109033781</v>
      </c>
      <c r="D242" s="59" t="str">
        <f ca="1">IF(C242=0,"Exact",IF(C242&lt;=Calc!$D$4,"Nice",""))</f>
        <v>Nice</v>
      </c>
      <c r="E242" s="60"/>
      <c r="F242" s="24">
        <v>242</v>
      </c>
    </row>
    <row r="243" spans="1:6" hidden="1" x14ac:dyDescent="0.25">
      <c r="A243" s="21">
        <f ca="1">Calc!L243</f>
        <v>25.034267912772584</v>
      </c>
      <c r="B243" s="22" t="str">
        <f ca="1">Calc!K243</f>
        <v>28.700 || 196.000</v>
      </c>
      <c r="C243" s="39">
        <f ca="1">Calc!M243</f>
        <v>0.13707165109033781</v>
      </c>
      <c r="D243" s="59" t="str">
        <f ca="1">IF(C243=0,"Exact",IF(C243&lt;=Calc!$D$4,"Nice",""))</f>
        <v>Nice</v>
      </c>
      <c r="E243" s="60"/>
      <c r="F243" s="24">
        <v>243</v>
      </c>
    </row>
    <row r="244" spans="1:6" hidden="1" x14ac:dyDescent="0.25">
      <c r="A244" s="21">
        <f ca="1">Calc!L244</f>
        <v>25.034267912772584</v>
      </c>
      <c r="B244" s="22" t="str">
        <f ca="1">Calc!K244</f>
        <v>28.700 || 196.000</v>
      </c>
      <c r="C244" s="39">
        <f ca="1">Calc!M244</f>
        <v>0.13707165109033781</v>
      </c>
      <c r="D244" s="59" t="str">
        <f ca="1">IF(C244=0,"Exact",IF(C244&lt;=Calc!$D$4,"Nice",""))</f>
        <v>Nice</v>
      </c>
      <c r="E244" s="60"/>
      <c r="F244" s="24">
        <v>244</v>
      </c>
    </row>
    <row r="245" spans="1:6" x14ac:dyDescent="0.25">
      <c r="A245" s="21">
        <f ca="1">Calc!L245</f>
        <v>25.056356487549152</v>
      </c>
      <c r="B245" s="22" t="str">
        <f ca="1">Calc!K245</f>
        <v>31.600 || 121.000</v>
      </c>
      <c r="C245" s="39">
        <f ca="1">Calc!M245</f>
        <v>0.22542595019660894</v>
      </c>
      <c r="D245" s="59" t="str">
        <f ca="1">IF(C245=0,"Exact",IF(C245&lt;=Calc!$D$4,"Nice",""))</f>
        <v>Nice</v>
      </c>
      <c r="E245" s="60"/>
      <c r="F245" s="24">
        <v>245</v>
      </c>
    </row>
    <row r="246" spans="1:6" hidden="1" x14ac:dyDescent="0.25">
      <c r="A246" s="21">
        <f ca="1">Calc!L246</f>
        <v>25.056356487549152</v>
      </c>
      <c r="B246" s="22" t="str">
        <f ca="1">Calc!K246</f>
        <v>31.600 || 121.000</v>
      </c>
      <c r="C246" s="39">
        <f ca="1">Calc!M246</f>
        <v>0.22542595019660894</v>
      </c>
      <c r="D246" s="59" t="str">
        <f ca="1">IF(C246=0,"Exact",IF(C246&lt;=Calc!$D$4,"Nice",""))</f>
        <v>Nice</v>
      </c>
      <c r="E246" s="60"/>
      <c r="F246" s="24">
        <v>246</v>
      </c>
    </row>
    <row r="247" spans="1:6" hidden="1" x14ac:dyDescent="0.25">
      <c r="A247" s="21">
        <f ca="1">Calc!L247</f>
        <v>25.056356487549152</v>
      </c>
      <c r="B247" s="22" t="str">
        <f ca="1">Calc!K247</f>
        <v>31.600 || 121.000</v>
      </c>
      <c r="C247" s="39">
        <f ca="1">Calc!M247</f>
        <v>0.22542595019660894</v>
      </c>
      <c r="D247" s="59" t="str">
        <f ca="1">IF(C247=0,"Exact",IF(C247&lt;=Calc!$D$4,"Nice",""))</f>
        <v>Nice</v>
      </c>
      <c r="E247" s="60"/>
      <c r="F247" s="24">
        <v>247</v>
      </c>
    </row>
    <row r="248" spans="1:6" hidden="1" x14ac:dyDescent="0.25">
      <c r="A248" s="21">
        <f ca="1">Calc!L248</f>
        <v>25.056356487549152</v>
      </c>
      <c r="B248" s="22" t="str">
        <f ca="1">Calc!K248</f>
        <v>31.600 || 121.000</v>
      </c>
      <c r="C248" s="39">
        <f ca="1">Calc!M248</f>
        <v>0.22542595019660894</v>
      </c>
      <c r="D248" s="59" t="str">
        <f ca="1">IF(C248=0,"Exact",IF(C248&lt;=Calc!$D$4,"Nice",""))</f>
        <v>Nice</v>
      </c>
      <c r="E248" s="60"/>
      <c r="F248" s="24">
        <v>248</v>
      </c>
    </row>
    <row r="249" spans="1:6" x14ac:dyDescent="0.25">
      <c r="A249" s="21">
        <f ca="1">Calc!L257</f>
        <v>25.092987512007678</v>
      </c>
      <c r="B249" s="22" t="str">
        <f ca="1">Calc!K257</f>
        <v>42.200 || 61.900</v>
      </c>
      <c r="C249" s="39">
        <f ca="1">Calc!M257</f>
        <v>0.37195004803071186</v>
      </c>
      <c r="D249" s="59" t="str">
        <f ca="1">IF(C249=0,"Exact",IF(C249&lt;=Calc!$D$4,"Nice",""))</f>
        <v>Nice</v>
      </c>
      <c r="E249" s="60"/>
      <c r="F249" s="24">
        <v>257</v>
      </c>
    </row>
    <row r="250" spans="1:6" hidden="1" x14ac:dyDescent="0.25">
      <c r="A250" s="21">
        <f ca="1">Calc!L250</f>
        <v>25.165632458233887</v>
      </c>
      <c r="B250" s="22" t="str">
        <f ca="1">Calc!K250</f>
        <v>34.800 || 90.900</v>
      </c>
      <c r="C250" s="39">
        <f ca="1">Calc!M250</f>
        <v>0.66252983293554735</v>
      </c>
      <c r="D250" s="59" t="str">
        <f ca="1">IF(C250=0,"Exact",IF(C250&lt;=Calc!$D$4,"Nice",""))</f>
        <v/>
      </c>
      <c r="E250" s="60"/>
      <c r="F250" s="24">
        <v>250</v>
      </c>
    </row>
    <row r="251" spans="1:6" hidden="1" x14ac:dyDescent="0.25">
      <c r="A251" s="21">
        <f ca="1">Calc!L251</f>
        <v>25.165632458233887</v>
      </c>
      <c r="B251" s="22" t="str">
        <f ca="1">Calc!K251</f>
        <v>34.800 || 90.900</v>
      </c>
      <c r="C251" s="39">
        <f ca="1">Calc!M251</f>
        <v>0.66252983293554735</v>
      </c>
      <c r="D251" s="59" t="str">
        <f ca="1">IF(C251=0,"Exact",IF(C251&lt;=Calc!$D$4,"Nice",""))</f>
        <v/>
      </c>
      <c r="E251" s="60"/>
      <c r="F251" s="24">
        <v>251</v>
      </c>
    </row>
    <row r="252" spans="1:6" hidden="1" x14ac:dyDescent="0.25">
      <c r="A252" s="21">
        <f ca="1">Calc!L252</f>
        <v>25.165632458233887</v>
      </c>
      <c r="B252" s="22" t="str">
        <f ca="1">Calc!K252</f>
        <v>34.800 || 90.900</v>
      </c>
      <c r="C252" s="39">
        <f ca="1">Calc!M252</f>
        <v>0.66252983293554735</v>
      </c>
      <c r="D252" s="59" t="str">
        <f ca="1">IF(C252=0,"Exact",IF(C252&lt;=Calc!$D$4,"Nice",""))</f>
        <v/>
      </c>
      <c r="E252" s="60"/>
      <c r="F252" s="24">
        <v>252</v>
      </c>
    </row>
    <row r="253" spans="1:6" hidden="1" x14ac:dyDescent="0.25">
      <c r="A253" s="21" t="str">
        <f ca="1">Calc!L253</f>
        <v/>
      </c>
      <c r="B253" s="22" t="str">
        <f ca="1">Calc!K253</f>
        <v/>
      </c>
      <c r="C253" s="39">
        <f ca="1">Calc!M253</f>
        <v>995</v>
      </c>
      <c r="D253" s="59" t="str">
        <f ca="1">IF(C253=0,"Exact",IF(C253&lt;=Calc!$D$4,"Nice",""))</f>
        <v/>
      </c>
      <c r="E253" s="60"/>
      <c r="F253" s="24">
        <v>253</v>
      </c>
    </row>
    <row r="254" spans="1:6" hidden="1" x14ac:dyDescent="0.25">
      <c r="A254" s="21" t="str">
        <f ca="1">Calc!L254</f>
        <v/>
      </c>
      <c r="B254" s="22" t="str">
        <f ca="1">Calc!K254</f>
        <v/>
      </c>
      <c r="C254" s="39">
        <f ca="1">Calc!M254</f>
        <v>995</v>
      </c>
      <c r="D254" s="59" t="str">
        <f ca="1">IF(C254=0,"Exact",IF(C254&lt;=Calc!$D$4,"Nice",""))</f>
        <v/>
      </c>
      <c r="E254" s="60"/>
      <c r="F254" s="24">
        <v>254</v>
      </c>
    </row>
    <row r="255" spans="1:6" hidden="1" x14ac:dyDescent="0.25">
      <c r="A255" s="21" t="str">
        <f ca="1">Calc!L255</f>
        <v/>
      </c>
      <c r="B255" s="22" t="str">
        <f ca="1">Calc!K255</f>
        <v/>
      </c>
      <c r="C255" s="39">
        <f ca="1">Calc!M255</f>
        <v>995</v>
      </c>
      <c r="D255" s="59" t="str">
        <f ca="1">IF(C255=0,"Exact",IF(C255&lt;=Calc!$D$4,"Nice",""))</f>
        <v/>
      </c>
      <c r="E255" s="60"/>
      <c r="F255" s="24">
        <v>255</v>
      </c>
    </row>
    <row r="256" spans="1:6" hidden="1" x14ac:dyDescent="0.25">
      <c r="A256" s="21" t="str">
        <f ca="1">Calc!L256</f>
        <v/>
      </c>
      <c r="B256" s="22" t="str">
        <f ca="1">Calc!K256</f>
        <v/>
      </c>
      <c r="C256" s="39">
        <f ca="1">Calc!M256</f>
        <v>995</v>
      </c>
      <c r="D256" s="59" t="str">
        <f ca="1">IF(C256=0,"Exact",IF(C256&lt;=Calc!$D$4,"Nice",""))</f>
        <v/>
      </c>
      <c r="E256" s="60"/>
      <c r="F256" s="24">
        <v>256</v>
      </c>
    </row>
    <row r="257" spans="1:6" x14ac:dyDescent="0.25">
      <c r="A257" s="21">
        <f ca="1">Calc!L373</f>
        <v>25.136614340263051</v>
      </c>
      <c r="B257" s="22" t="str">
        <f ca="1">Calc!K373</f>
        <v>26.100 || 681.000</v>
      </c>
      <c r="C257" s="39">
        <f ca="1">Calc!M373</f>
        <v>0.54645736105220521</v>
      </c>
      <c r="D257" s="59" t="str">
        <f ca="1">IF(C257=0,"Exact",IF(C257&lt;=Calc!$D$4,"Nice",""))</f>
        <v/>
      </c>
      <c r="E257" s="60"/>
      <c r="F257" s="24">
        <v>373</v>
      </c>
    </row>
    <row r="258" spans="1:6" hidden="1" x14ac:dyDescent="0.25">
      <c r="A258" s="21">
        <f ca="1">Calc!L258</f>
        <v>25.092987512007678</v>
      </c>
      <c r="B258" s="22" t="str">
        <f ca="1">Calc!K258</f>
        <v>42.200 || 61.900</v>
      </c>
      <c r="C258" s="39">
        <f ca="1">Calc!M258</f>
        <v>0.37195004803071186</v>
      </c>
      <c r="D258" s="59" t="str">
        <f ca="1">IF(C258=0,"Exact",IF(C258&lt;=Calc!$D$4,"Nice",""))</f>
        <v>Nice</v>
      </c>
      <c r="E258" s="60"/>
      <c r="F258" s="24">
        <v>258</v>
      </c>
    </row>
    <row r="259" spans="1:6" hidden="1" x14ac:dyDescent="0.25">
      <c r="A259" s="21">
        <f ca="1">Calc!L259</f>
        <v>25.092987512007678</v>
      </c>
      <c r="B259" s="22" t="str">
        <f ca="1">Calc!K259</f>
        <v>42.200 || 61.900</v>
      </c>
      <c r="C259" s="39">
        <f ca="1">Calc!M259</f>
        <v>0.37195004803071186</v>
      </c>
      <c r="D259" s="59" t="str">
        <f ca="1">IF(C259=0,"Exact",IF(C259&lt;=Calc!$D$4,"Nice",""))</f>
        <v>Nice</v>
      </c>
      <c r="E259" s="60"/>
      <c r="F259" s="24">
        <v>259</v>
      </c>
    </row>
    <row r="260" spans="1:6" hidden="1" x14ac:dyDescent="0.25">
      <c r="A260" s="21">
        <f ca="1">Calc!L260</f>
        <v>25.092987512007678</v>
      </c>
      <c r="B260" s="22" t="str">
        <f ca="1">Calc!K260</f>
        <v>42.200 || 61.900</v>
      </c>
      <c r="C260" s="39">
        <f ca="1">Calc!M260</f>
        <v>0.37195004803071186</v>
      </c>
      <c r="D260" s="59" t="str">
        <f ca="1">IF(C260=0,"Exact",IF(C260&lt;=Calc!$D$4,"Nice",""))</f>
        <v>Nice</v>
      </c>
      <c r="E260" s="60"/>
      <c r="F260" s="24">
        <v>260</v>
      </c>
    </row>
    <row r="261" spans="1:6" hidden="1" x14ac:dyDescent="0.25">
      <c r="A261" s="21" t="str">
        <f ca="1">Calc!L261</f>
        <v/>
      </c>
      <c r="B261" s="22" t="str">
        <f ca="1">Calc!K261</f>
        <v/>
      </c>
      <c r="C261" s="39">
        <f ca="1">Calc!M261</f>
        <v>995</v>
      </c>
      <c r="D261" s="59" t="str">
        <f ca="1">IF(C261=0,"Exact",IF(C261&lt;=Calc!$D$4,"Nice",""))</f>
        <v/>
      </c>
      <c r="E261" s="60"/>
      <c r="F261" s="24">
        <v>261</v>
      </c>
    </row>
    <row r="262" spans="1:6" hidden="1" x14ac:dyDescent="0.25">
      <c r="A262" s="21" t="str">
        <f ca="1">Calc!L262</f>
        <v/>
      </c>
      <c r="B262" s="22" t="str">
        <f ca="1">Calc!K262</f>
        <v/>
      </c>
      <c r="C262" s="39">
        <f ca="1">Calc!M262</f>
        <v>995</v>
      </c>
      <c r="D262" s="59" t="str">
        <f ca="1">IF(C262=0,"Exact",IF(C262&lt;=Calc!$D$4,"Nice",""))</f>
        <v/>
      </c>
      <c r="E262" s="60"/>
      <c r="F262" s="24">
        <v>262</v>
      </c>
    </row>
    <row r="263" spans="1:6" hidden="1" x14ac:dyDescent="0.25">
      <c r="A263" s="21" t="str">
        <f ca="1">Calc!L263</f>
        <v/>
      </c>
      <c r="B263" s="22" t="str">
        <f ca="1">Calc!K263</f>
        <v/>
      </c>
      <c r="C263" s="39">
        <f ca="1">Calc!M263</f>
        <v>995</v>
      </c>
      <c r="D263" s="59" t="str">
        <f ca="1">IF(C263=0,"Exact",IF(C263&lt;=Calc!$D$4,"Nice",""))</f>
        <v/>
      </c>
      <c r="E263" s="60"/>
      <c r="F263" s="24">
        <v>263</v>
      </c>
    </row>
    <row r="264" spans="1:6" hidden="1" x14ac:dyDescent="0.25">
      <c r="A264" s="21" t="str">
        <f ca="1">Calc!L264</f>
        <v/>
      </c>
      <c r="B264" s="22" t="str">
        <f ca="1">Calc!K264</f>
        <v/>
      </c>
      <c r="C264" s="39">
        <f ca="1">Calc!M264</f>
        <v>995</v>
      </c>
      <c r="D264" s="59" t="str">
        <f ca="1">IF(C264=0,"Exact",IF(C264&lt;=Calc!$D$4,"Nice",""))</f>
        <v/>
      </c>
      <c r="E264" s="60"/>
      <c r="F264" s="24">
        <v>264</v>
      </c>
    </row>
    <row r="265" spans="1:6" hidden="1" x14ac:dyDescent="0.25">
      <c r="A265" s="21" t="str">
        <f ca="1">Calc!L265</f>
        <v/>
      </c>
      <c r="B265" s="22" t="str">
        <f ca="1">Calc!K265</f>
        <v/>
      </c>
      <c r="C265" s="39">
        <f ca="1">Calc!M265</f>
        <v>995</v>
      </c>
      <c r="D265" s="59" t="str">
        <f ca="1">IF(C265=0,"Exact",IF(C265&lt;=Calc!$D$4,"Nice",""))</f>
        <v/>
      </c>
      <c r="E265" s="60"/>
      <c r="F265" s="24">
        <v>265</v>
      </c>
    </row>
    <row r="266" spans="1:6" hidden="1" x14ac:dyDescent="0.25">
      <c r="A266" s="21" t="str">
        <f ca="1">Calc!L266</f>
        <v/>
      </c>
      <c r="B266" s="22" t="str">
        <f ca="1">Calc!K266</f>
        <v/>
      </c>
      <c r="C266" s="39">
        <f ca="1">Calc!M266</f>
        <v>995</v>
      </c>
      <c r="D266" s="59" t="str">
        <f ca="1">IF(C266=0,"Exact",IF(C266&lt;=Calc!$D$4,"Nice",""))</f>
        <v/>
      </c>
      <c r="E266" s="60"/>
      <c r="F266" s="24">
        <v>266</v>
      </c>
    </row>
    <row r="267" spans="1:6" hidden="1" x14ac:dyDescent="0.25">
      <c r="A267" s="21" t="str">
        <f ca="1">Calc!L267</f>
        <v/>
      </c>
      <c r="B267" s="22" t="str">
        <f ca="1">Calc!K267</f>
        <v/>
      </c>
      <c r="C267" s="39">
        <f ca="1">Calc!M267</f>
        <v>995</v>
      </c>
      <c r="D267" s="59" t="str">
        <f ca="1">IF(C267=0,"Exact",IF(C267&lt;=Calc!$D$4,"Nice",""))</f>
        <v/>
      </c>
      <c r="E267" s="60"/>
      <c r="F267" s="24">
        <v>267</v>
      </c>
    </row>
    <row r="268" spans="1:6" hidden="1" x14ac:dyDescent="0.25">
      <c r="A268" s="21" t="str">
        <f ca="1">Calc!L268</f>
        <v/>
      </c>
      <c r="B268" s="22" t="str">
        <f ca="1">Calc!K268</f>
        <v/>
      </c>
      <c r="C268" s="39">
        <f ca="1">Calc!M268</f>
        <v>995</v>
      </c>
      <c r="D268" s="59" t="str">
        <f ca="1">IF(C268=0,"Exact",IF(C268&lt;=Calc!$D$4,"Nice",""))</f>
        <v/>
      </c>
      <c r="E268" s="60"/>
      <c r="F268" s="24">
        <v>268</v>
      </c>
    </row>
    <row r="269" spans="1:6" hidden="1" x14ac:dyDescent="0.25">
      <c r="A269" s="21" t="str">
        <f ca="1">Calc!L269</f>
        <v/>
      </c>
      <c r="B269" s="22" t="str">
        <f ca="1">Calc!K269</f>
        <v/>
      </c>
      <c r="C269" s="39">
        <f ca="1">Calc!M269</f>
        <v>995</v>
      </c>
      <c r="D269" s="59" t="str">
        <f ca="1">IF(C269=0,"Exact",IF(C269&lt;=Calc!$D$4,"Nice",""))</f>
        <v/>
      </c>
      <c r="E269" s="60"/>
      <c r="F269" s="24">
        <v>269</v>
      </c>
    </row>
    <row r="270" spans="1:6" hidden="1" x14ac:dyDescent="0.25">
      <c r="A270" s="21" t="str">
        <f ca="1">Calc!L270</f>
        <v/>
      </c>
      <c r="B270" s="22" t="str">
        <f ca="1">Calc!K270</f>
        <v/>
      </c>
      <c r="C270" s="39">
        <f ca="1">Calc!M270</f>
        <v>995</v>
      </c>
      <c r="D270" s="59" t="str">
        <f ca="1">IF(C270=0,"Exact",IF(C270&lt;=Calc!$D$4,"Nice",""))</f>
        <v/>
      </c>
      <c r="E270" s="60"/>
      <c r="F270" s="24">
        <v>270</v>
      </c>
    </row>
    <row r="271" spans="1:6" hidden="1" x14ac:dyDescent="0.25">
      <c r="A271" s="21" t="str">
        <f ca="1">Calc!L271</f>
        <v/>
      </c>
      <c r="B271" s="22" t="str">
        <f ca="1">Calc!K271</f>
        <v/>
      </c>
      <c r="C271" s="39">
        <f ca="1">Calc!M271</f>
        <v>995</v>
      </c>
      <c r="D271" s="59" t="str">
        <f ca="1">IF(C271=0,"Exact",IF(C271&lt;=Calc!$D$4,"Nice",""))</f>
        <v/>
      </c>
      <c r="E271" s="60"/>
      <c r="F271" s="24">
        <v>271</v>
      </c>
    </row>
    <row r="272" spans="1:6" hidden="1" x14ac:dyDescent="0.25">
      <c r="A272" s="21" t="str">
        <f ca="1">Calc!L272</f>
        <v/>
      </c>
      <c r="B272" s="22" t="str">
        <f ca="1">Calc!K272</f>
        <v/>
      </c>
      <c r="C272" s="39">
        <f ca="1">Calc!M272</f>
        <v>995</v>
      </c>
      <c r="D272" s="59" t="str">
        <f ca="1">IF(C272=0,"Exact",IF(C272&lt;=Calc!$D$4,"Nice",""))</f>
        <v/>
      </c>
      <c r="E272" s="60"/>
      <c r="F272" s="24">
        <v>272</v>
      </c>
    </row>
    <row r="273" spans="1:6" hidden="1" x14ac:dyDescent="0.25">
      <c r="A273" s="21">
        <f ca="1">Calc!L273</f>
        <v>25.092987512007678</v>
      </c>
      <c r="B273" s="22" t="str">
        <f ca="1">Calc!K273</f>
        <v>42.200 || 61.900</v>
      </c>
      <c r="C273" s="39">
        <f ca="1">Calc!M273</f>
        <v>0.37195004803071186</v>
      </c>
      <c r="D273" s="59" t="str">
        <f ca="1">IF(C273=0,"Exact",IF(C273&lt;=Calc!$D$4,"Nice",""))</f>
        <v>Nice</v>
      </c>
      <c r="E273" s="60"/>
      <c r="F273" s="24">
        <v>273</v>
      </c>
    </row>
    <row r="274" spans="1:6" hidden="1" x14ac:dyDescent="0.25">
      <c r="A274" s="21">
        <f ca="1">Calc!L274</f>
        <v>25.092987512007678</v>
      </c>
      <c r="B274" s="22" t="str">
        <f ca="1">Calc!K274</f>
        <v>42.200 || 61.900</v>
      </c>
      <c r="C274" s="39">
        <f ca="1">Calc!M274</f>
        <v>0.37195004803071186</v>
      </c>
      <c r="D274" s="59" t="str">
        <f ca="1">IF(C274=0,"Exact",IF(C274&lt;=Calc!$D$4,"Nice",""))</f>
        <v>Nice</v>
      </c>
      <c r="E274" s="60"/>
      <c r="F274" s="24">
        <v>274</v>
      </c>
    </row>
    <row r="275" spans="1:6" hidden="1" x14ac:dyDescent="0.25">
      <c r="A275" s="21">
        <f ca="1">Calc!L275</f>
        <v>25.092987512007678</v>
      </c>
      <c r="B275" s="22" t="str">
        <f ca="1">Calc!K275</f>
        <v>42.200 || 61.900</v>
      </c>
      <c r="C275" s="39">
        <f ca="1">Calc!M275</f>
        <v>0.37195004803071186</v>
      </c>
      <c r="D275" s="59" t="str">
        <f ca="1">IF(C275=0,"Exact",IF(C275&lt;=Calc!$D$4,"Nice",""))</f>
        <v>Nice</v>
      </c>
      <c r="E275" s="60"/>
      <c r="F275" s="24">
        <v>275</v>
      </c>
    </row>
    <row r="276" spans="1:6" hidden="1" x14ac:dyDescent="0.25">
      <c r="A276" s="21">
        <f ca="1">Calc!L276</f>
        <v>25.092987512007678</v>
      </c>
      <c r="B276" s="22" t="str">
        <f ca="1">Calc!K276</f>
        <v>42.200 || 61.900</v>
      </c>
      <c r="C276" s="39">
        <f ca="1">Calc!M276</f>
        <v>0.37195004803071186</v>
      </c>
      <c r="D276" s="59" t="str">
        <f ca="1">IF(C276=0,"Exact",IF(C276&lt;=Calc!$D$4,"Nice",""))</f>
        <v>Nice</v>
      </c>
      <c r="E276" s="60"/>
      <c r="F276" s="24">
        <v>276</v>
      </c>
    </row>
    <row r="277" spans="1:6" hidden="1" x14ac:dyDescent="0.25">
      <c r="A277" s="21" t="str">
        <f ca="1">Calc!L277</f>
        <v/>
      </c>
      <c r="B277" s="22" t="str">
        <f ca="1">Calc!K277</f>
        <v/>
      </c>
      <c r="C277" s="39">
        <f ca="1">Calc!M277</f>
        <v>995</v>
      </c>
      <c r="D277" s="59" t="str">
        <f ca="1">IF(C277=0,"Exact",IF(C277&lt;=Calc!$D$4,"Nice",""))</f>
        <v/>
      </c>
      <c r="E277" s="60"/>
      <c r="F277" s="24">
        <v>277</v>
      </c>
    </row>
    <row r="278" spans="1:6" hidden="1" x14ac:dyDescent="0.25">
      <c r="A278" s="21" t="str">
        <f ca="1">Calc!L278</f>
        <v/>
      </c>
      <c r="B278" s="22" t="str">
        <f ca="1">Calc!K278</f>
        <v/>
      </c>
      <c r="C278" s="39">
        <f ca="1">Calc!M278</f>
        <v>995</v>
      </c>
      <c r="D278" s="59" t="str">
        <f ca="1">IF(C278=0,"Exact",IF(C278&lt;=Calc!$D$4,"Nice",""))</f>
        <v/>
      </c>
      <c r="E278" s="60"/>
      <c r="F278" s="24">
        <v>278</v>
      </c>
    </row>
    <row r="279" spans="1:6" hidden="1" x14ac:dyDescent="0.25">
      <c r="A279" s="21" t="str">
        <f ca="1">Calc!L279</f>
        <v/>
      </c>
      <c r="B279" s="22" t="str">
        <f ca="1">Calc!K279</f>
        <v/>
      </c>
      <c r="C279" s="39">
        <f ca="1">Calc!M279</f>
        <v>995</v>
      </c>
      <c r="D279" s="59" t="str">
        <f ca="1">IF(C279=0,"Exact",IF(C279&lt;=Calc!$D$4,"Nice",""))</f>
        <v/>
      </c>
      <c r="E279" s="60"/>
      <c r="F279" s="24">
        <v>279</v>
      </c>
    </row>
    <row r="280" spans="1:6" hidden="1" x14ac:dyDescent="0.25">
      <c r="A280" s="21" t="str">
        <f ca="1">Calc!L280</f>
        <v/>
      </c>
      <c r="B280" s="22" t="str">
        <f ca="1">Calc!K280</f>
        <v/>
      </c>
      <c r="C280" s="39">
        <f ca="1">Calc!M280</f>
        <v>995</v>
      </c>
      <c r="D280" s="59" t="str">
        <f ca="1">IF(C280=0,"Exact",IF(C280&lt;=Calc!$D$4,"Nice",""))</f>
        <v/>
      </c>
      <c r="E280" s="60"/>
      <c r="F280" s="24">
        <v>280</v>
      </c>
    </row>
    <row r="281" spans="1:6" hidden="1" x14ac:dyDescent="0.25">
      <c r="A281" s="21" t="str">
        <f ca="1">Calc!L281</f>
        <v/>
      </c>
      <c r="B281" s="22" t="str">
        <f ca="1">Calc!K281</f>
        <v/>
      </c>
      <c r="C281" s="39">
        <f ca="1">Calc!M281</f>
        <v>995</v>
      </c>
      <c r="D281" s="59" t="str">
        <f ca="1">IF(C281=0,"Exact",IF(C281&lt;=Calc!$D$4,"Nice",""))</f>
        <v/>
      </c>
      <c r="E281" s="60"/>
      <c r="F281" s="24">
        <v>281</v>
      </c>
    </row>
    <row r="282" spans="1:6" ht="15.75" hidden="1" thickBot="1" x14ac:dyDescent="0.3">
      <c r="A282" s="21" t="str">
        <f ca="1">Calc!L282</f>
        <v/>
      </c>
      <c r="B282" s="22" t="str">
        <f ca="1">Calc!K282</f>
        <v/>
      </c>
      <c r="C282" s="39">
        <f ca="1">Calc!M282</f>
        <v>995</v>
      </c>
      <c r="D282" s="59" t="str">
        <f ca="1">IF(C282=0,"Exact",IF(C282&lt;=Calc!$D$4,"Nice",""))</f>
        <v/>
      </c>
      <c r="E282" s="60"/>
      <c r="F282" s="24">
        <v>282</v>
      </c>
    </row>
    <row r="283" spans="1:6" hidden="1" x14ac:dyDescent="0.25">
      <c r="A283" s="21" t="str">
        <f ca="1">Calc!L283</f>
        <v/>
      </c>
      <c r="B283" s="22" t="str">
        <f ca="1">Calc!K283</f>
        <v/>
      </c>
      <c r="C283" s="39">
        <f ca="1">Calc!M283</f>
        <v>995</v>
      </c>
      <c r="D283" s="59" t="str">
        <f ca="1">IF(C283=0,"Exact",IF(C283&lt;=Calc!$D$4,"Nice",""))</f>
        <v/>
      </c>
      <c r="E283" s="60"/>
      <c r="F283" s="24">
        <v>283</v>
      </c>
    </row>
    <row r="284" spans="1:6" hidden="1" x14ac:dyDescent="0.25">
      <c r="A284" s="21" t="str">
        <f ca="1">Calc!L284</f>
        <v/>
      </c>
      <c r="B284" s="22" t="str">
        <f ca="1">Calc!K284</f>
        <v/>
      </c>
      <c r="C284" s="39">
        <f ca="1">Calc!M284</f>
        <v>995</v>
      </c>
      <c r="D284" s="59" t="str">
        <f ca="1">IF(C284=0,"Exact",IF(C284&lt;=Calc!$D$4,"Nice",""))</f>
        <v/>
      </c>
      <c r="E284" s="60"/>
      <c r="F284" s="24">
        <v>284</v>
      </c>
    </row>
    <row r="285" spans="1:6" hidden="1" x14ac:dyDescent="0.25">
      <c r="A285" s="21" t="str">
        <f ca="1">Calc!L285</f>
        <v/>
      </c>
      <c r="B285" s="22" t="str">
        <f ca="1">Calc!K285</f>
        <v/>
      </c>
      <c r="C285" s="39">
        <f ca="1">Calc!M285</f>
        <v>995</v>
      </c>
      <c r="D285" s="59" t="str">
        <f ca="1">IF(C285=0,"Exact",IF(C285&lt;=Calc!$D$4,"Nice",""))</f>
        <v/>
      </c>
      <c r="E285" s="60"/>
      <c r="F285" s="24">
        <v>285</v>
      </c>
    </row>
    <row r="286" spans="1:6" hidden="1" x14ac:dyDescent="0.25">
      <c r="A286" s="21" t="str">
        <f ca="1">Calc!L286</f>
        <v/>
      </c>
      <c r="B286" s="22" t="str">
        <f ca="1">Calc!K286</f>
        <v/>
      </c>
      <c r="C286" s="39">
        <f ca="1">Calc!M286</f>
        <v>995</v>
      </c>
      <c r="D286" s="59" t="str">
        <f ca="1">IF(C286=0,"Exact",IF(C286&lt;=Calc!$D$4,"Nice",""))</f>
        <v/>
      </c>
      <c r="E286" s="60"/>
      <c r="F286" s="24">
        <v>286</v>
      </c>
    </row>
    <row r="287" spans="1:6" hidden="1" x14ac:dyDescent="0.25">
      <c r="A287" s="21" t="str">
        <f ca="1">Calc!L287</f>
        <v/>
      </c>
      <c r="B287" s="22" t="str">
        <f ca="1">Calc!K287</f>
        <v/>
      </c>
      <c r="C287" s="39">
        <f ca="1">Calc!M287</f>
        <v>995</v>
      </c>
      <c r="D287" s="59" t="str">
        <f ca="1">IF(C287=0,"Exact",IF(C287&lt;=Calc!$D$4,"Nice",""))</f>
        <v/>
      </c>
      <c r="E287" s="60"/>
      <c r="F287" s="24">
        <v>287</v>
      </c>
    </row>
    <row r="288" spans="1:6" hidden="1" x14ac:dyDescent="0.25">
      <c r="A288" s="21" t="str">
        <f ca="1">Calc!L288</f>
        <v/>
      </c>
      <c r="B288" s="22" t="str">
        <f ca="1">Calc!K288</f>
        <v/>
      </c>
      <c r="C288" s="39">
        <f ca="1">Calc!M288</f>
        <v>995</v>
      </c>
      <c r="D288" s="59" t="str">
        <f ca="1">IF(C288=0,"Exact",IF(C288&lt;=Calc!$D$4,"Nice",""))</f>
        <v/>
      </c>
      <c r="E288" s="60"/>
      <c r="F288" s="24">
        <v>288</v>
      </c>
    </row>
    <row r="289" spans="1:6" hidden="1" x14ac:dyDescent="0.25">
      <c r="A289" s="21">
        <f ca="1">Calc!L289</f>
        <v>25.165632458233887</v>
      </c>
      <c r="B289" s="22" t="str">
        <f ca="1">Calc!K289</f>
        <v>34.800 || 90.900</v>
      </c>
      <c r="C289" s="39">
        <f ca="1">Calc!M289</f>
        <v>0.66252983293554735</v>
      </c>
      <c r="D289" s="59" t="str">
        <f ca="1">IF(C289=0,"Exact",IF(C289&lt;=Calc!$D$4,"Nice",""))</f>
        <v/>
      </c>
      <c r="E289" s="60"/>
      <c r="F289" s="24">
        <v>289</v>
      </c>
    </row>
    <row r="290" spans="1:6" hidden="1" x14ac:dyDescent="0.25">
      <c r="A290" s="21">
        <f ca="1">Calc!L290</f>
        <v>25.165632458233887</v>
      </c>
      <c r="B290" s="22" t="str">
        <f ca="1">Calc!K290</f>
        <v>34.800 || 90.900</v>
      </c>
      <c r="C290" s="39">
        <f ca="1">Calc!M290</f>
        <v>0.66252983293554735</v>
      </c>
      <c r="D290" s="59" t="str">
        <f ca="1">IF(C290=0,"Exact",IF(C290&lt;=Calc!$D$4,"Nice",""))</f>
        <v/>
      </c>
      <c r="E290" s="60"/>
      <c r="F290" s="24">
        <v>290</v>
      </c>
    </row>
    <row r="291" spans="1:6" hidden="1" x14ac:dyDescent="0.25">
      <c r="A291" s="21">
        <f ca="1">Calc!L291</f>
        <v>25.165632458233887</v>
      </c>
      <c r="B291" s="22" t="str">
        <f ca="1">Calc!K291</f>
        <v>34.800 || 90.900</v>
      </c>
      <c r="C291" s="39">
        <f ca="1">Calc!M291</f>
        <v>0.66252983293554735</v>
      </c>
      <c r="D291" s="59" t="str">
        <f ca="1">IF(C291=0,"Exact",IF(C291&lt;=Calc!$D$4,"Nice",""))</f>
        <v/>
      </c>
      <c r="E291" s="60"/>
      <c r="F291" s="24">
        <v>291</v>
      </c>
    </row>
    <row r="292" spans="1:6" hidden="1" x14ac:dyDescent="0.25">
      <c r="A292" s="21">
        <f ca="1">Calc!L292</f>
        <v>25.165632458233887</v>
      </c>
      <c r="B292" s="22" t="str">
        <f ca="1">Calc!K292</f>
        <v>34.800 || 90.900</v>
      </c>
      <c r="C292" s="39">
        <f ca="1">Calc!M292</f>
        <v>0.66252983293554735</v>
      </c>
      <c r="D292" s="59" t="str">
        <f ca="1">IF(C292=0,"Exact",IF(C292&lt;=Calc!$D$4,"Nice",""))</f>
        <v/>
      </c>
      <c r="E292" s="60"/>
      <c r="F292" s="24">
        <v>292</v>
      </c>
    </row>
    <row r="293" spans="1:6" hidden="1" x14ac:dyDescent="0.25">
      <c r="A293" s="21" t="str">
        <f ca="1">Calc!L293</f>
        <v/>
      </c>
      <c r="B293" s="22" t="str">
        <f ca="1">Calc!K293</f>
        <v/>
      </c>
      <c r="C293" s="39">
        <f ca="1">Calc!M293</f>
        <v>995</v>
      </c>
      <c r="D293" s="59" t="str">
        <f ca="1">IF(C293=0,"Exact",IF(C293&lt;=Calc!$D$4,"Nice",""))</f>
        <v/>
      </c>
      <c r="E293" s="60"/>
      <c r="F293" s="24">
        <v>293</v>
      </c>
    </row>
    <row r="294" spans="1:6" hidden="1" x14ac:dyDescent="0.25">
      <c r="A294" s="21" t="str">
        <f ca="1">Calc!L294</f>
        <v/>
      </c>
      <c r="B294" s="22" t="str">
        <f ca="1">Calc!K294</f>
        <v/>
      </c>
      <c r="C294" s="39">
        <f ca="1">Calc!M294</f>
        <v>995</v>
      </c>
      <c r="D294" s="59" t="str">
        <f ca="1">IF(C294=0,"Exact",IF(C294&lt;=Calc!$D$4,"Nice",""))</f>
        <v/>
      </c>
      <c r="E294" s="60"/>
      <c r="F294" s="24">
        <v>294</v>
      </c>
    </row>
    <row r="295" spans="1:6" hidden="1" x14ac:dyDescent="0.25">
      <c r="A295" s="21" t="str">
        <f ca="1">Calc!L295</f>
        <v/>
      </c>
      <c r="B295" s="22" t="str">
        <f ca="1">Calc!K295</f>
        <v/>
      </c>
      <c r="C295" s="39">
        <f ca="1">Calc!M295</f>
        <v>995</v>
      </c>
      <c r="D295" s="59" t="str">
        <f ca="1">IF(C295=0,"Exact",IF(C295&lt;=Calc!$D$4,"Nice",""))</f>
        <v/>
      </c>
      <c r="E295" s="60"/>
      <c r="F295" s="24">
        <v>295</v>
      </c>
    </row>
    <row r="296" spans="1:6" hidden="1" x14ac:dyDescent="0.25">
      <c r="A296" s="21" t="str">
        <f ca="1">Calc!L296</f>
        <v/>
      </c>
      <c r="B296" s="22" t="str">
        <f ca="1">Calc!K296</f>
        <v/>
      </c>
      <c r="C296" s="39">
        <f ca="1">Calc!M296</f>
        <v>995</v>
      </c>
      <c r="D296" s="59" t="str">
        <f ca="1">IF(C296=0,"Exact",IF(C296&lt;=Calc!$D$4,"Nice",""))</f>
        <v/>
      </c>
      <c r="E296" s="60"/>
      <c r="F296" s="24">
        <v>296</v>
      </c>
    </row>
    <row r="297" spans="1:6" hidden="1" x14ac:dyDescent="0.25">
      <c r="A297" s="21" t="str">
        <f ca="1">Calc!L297</f>
        <v/>
      </c>
      <c r="B297" s="22" t="str">
        <f ca="1">Calc!K297</f>
        <v/>
      </c>
      <c r="C297" s="39">
        <f ca="1">Calc!M297</f>
        <v>995</v>
      </c>
      <c r="D297" s="59" t="str">
        <f ca="1">IF(C297=0,"Exact",IF(C297&lt;=Calc!$D$4,"Nice",""))</f>
        <v/>
      </c>
      <c r="E297" s="60"/>
      <c r="F297" s="24">
        <v>297</v>
      </c>
    </row>
    <row r="298" spans="1:6" hidden="1" x14ac:dyDescent="0.25">
      <c r="A298" s="21" t="str">
        <f ca="1">Calc!L298</f>
        <v/>
      </c>
      <c r="B298" s="22" t="str">
        <f ca="1">Calc!K298</f>
        <v/>
      </c>
      <c r="C298" s="39">
        <f ca="1">Calc!M298</f>
        <v>995</v>
      </c>
      <c r="D298" s="59" t="str">
        <f ca="1">IF(C298=0,"Exact",IF(C298&lt;=Calc!$D$4,"Nice",""))</f>
        <v/>
      </c>
      <c r="E298" s="60"/>
      <c r="F298" s="24">
        <v>298</v>
      </c>
    </row>
    <row r="299" spans="1:6" hidden="1" x14ac:dyDescent="0.25">
      <c r="A299" s="21" t="str">
        <f ca="1">Calc!L299</f>
        <v/>
      </c>
      <c r="B299" s="22" t="str">
        <f ca="1">Calc!K299</f>
        <v/>
      </c>
      <c r="C299" s="39">
        <f ca="1">Calc!M299</f>
        <v>995</v>
      </c>
      <c r="D299" s="59" t="str">
        <f ca="1">IF(C299=0,"Exact",IF(C299&lt;=Calc!$D$4,"Nice",""))</f>
        <v/>
      </c>
      <c r="E299" s="60"/>
      <c r="F299" s="24">
        <v>299</v>
      </c>
    </row>
    <row r="300" spans="1:6" hidden="1" x14ac:dyDescent="0.25">
      <c r="A300" s="21" t="str">
        <f ca="1">Calc!L300</f>
        <v/>
      </c>
      <c r="B300" s="22" t="str">
        <f ca="1">Calc!K300</f>
        <v/>
      </c>
      <c r="C300" s="39">
        <f ca="1">Calc!M300</f>
        <v>995</v>
      </c>
      <c r="D300" s="59" t="str">
        <f ca="1">IF(C300=0,"Exact",IF(C300&lt;=Calc!$D$4,"Nice",""))</f>
        <v/>
      </c>
      <c r="E300" s="60"/>
      <c r="F300" s="24">
        <v>300</v>
      </c>
    </row>
    <row r="301" spans="1:6" ht="15.75" hidden="1" thickBot="1" x14ac:dyDescent="0.3">
      <c r="A301" s="21">
        <f ca="1">Calc!L301</f>
        <v>25.056356487549152</v>
      </c>
      <c r="B301" s="22" t="str">
        <f ca="1">Calc!K301</f>
        <v>31.600 || 121.000</v>
      </c>
      <c r="C301" s="39">
        <f ca="1">Calc!M301</f>
        <v>0.22542595019660894</v>
      </c>
      <c r="D301" s="59" t="str">
        <f ca="1">IF(C301=0,"Exact",IF(C301&lt;=Calc!$D$4,"Nice",""))</f>
        <v>Nice</v>
      </c>
      <c r="E301" s="60"/>
      <c r="F301" s="24">
        <v>301</v>
      </c>
    </row>
    <row r="302" spans="1:6" ht="15.75" hidden="1" thickBot="1" x14ac:dyDescent="0.3">
      <c r="A302" s="21">
        <f ca="1">Calc!L302</f>
        <v>25.056356487549152</v>
      </c>
      <c r="B302" s="22" t="str">
        <f ca="1">Calc!K302</f>
        <v>31.600 || 121.000</v>
      </c>
      <c r="C302" s="39">
        <f ca="1">Calc!M302</f>
        <v>0.22542595019660894</v>
      </c>
      <c r="D302" s="59" t="str">
        <f ca="1">IF(C302=0,"Exact",IF(C302&lt;=Calc!$D$4,"Nice",""))</f>
        <v>Nice</v>
      </c>
      <c r="E302" s="60"/>
      <c r="F302" s="24">
        <v>302</v>
      </c>
    </row>
    <row r="303" spans="1:6" hidden="1" x14ac:dyDescent="0.25">
      <c r="A303" s="21">
        <f ca="1">Calc!L303</f>
        <v>25.056356487549152</v>
      </c>
      <c r="B303" s="22" t="str">
        <f ca="1">Calc!K303</f>
        <v>31.600 || 121.000</v>
      </c>
      <c r="C303" s="39">
        <f ca="1">Calc!M303</f>
        <v>0.22542595019660894</v>
      </c>
      <c r="D303" s="59" t="str">
        <f ca="1">IF(C303=0,"Exact",IF(C303&lt;=Calc!$D$4,"Nice",""))</f>
        <v>Nice</v>
      </c>
      <c r="E303" s="60"/>
      <c r="F303" s="24">
        <v>303</v>
      </c>
    </row>
    <row r="304" spans="1:6" hidden="1" x14ac:dyDescent="0.25">
      <c r="A304" s="21">
        <f ca="1">Calc!L304</f>
        <v>25.056356487549152</v>
      </c>
      <c r="B304" s="22" t="str">
        <f ca="1">Calc!K304</f>
        <v>31.600 || 121.000</v>
      </c>
      <c r="C304" s="39">
        <f ca="1">Calc!M304</f>
        <v>0.22542595019660894</v>
      </c>
      <c r="D304" s="59" t="str">
        <f ca="1">IF(C304=0,"Exact",IF(C304&lt;=Calc!$D$4,"Nice",""))</f>
        <v>Nice</v>
      </c>
      <c r="E304" s="60"/>
      <c r="F304" s="24">
        <v>304</v>
      </c>
    </row>
    <row r="305" spans="1:6" hidden="1" x14ac:dyDescent="0.25">
      <c r="A305" s="21" t="str">
        <f ca="1">Calc!L305</f>
        <v/>
      </c>
      <c r="B305" s="22" t="str">
        <f ca="1">Calc!K305</f>
        <v/>
      </c>
      <c r="C305" s="39">
        <f ca="1">Calc!M305</f>
        <v>995</v>
      </c>
      <c r="D305" s="59" t="str">
        <f ca="1">IF(C305=0,"Exact",IF(C305&lt;=Calc!$D$4,"Nice",""))</f>
        <v/>
      </c>
      <c r="E305" s="60"/>
      <c r="F305" s="24">
        <v>305</v>
      </c>
    </row>
    <row r="306" spans="1:6" hidden="1" x14ac:dyDescent="0.25">
      <c r="A306" s="21" t="str">
        <f ca="1">Calc!L306</f>
        <v/>
      </c>
      <c r="B306" s="22" t="str">
        <f ca="1">Calc!K306</f>
        <v/>
      </c>
      <c r="C306" s="39">
        <f ca="1">Calc!M306</f>
        <v>995</v>
      </c>
      <c r="D306" s="59" t="str">
        <f ca="1">IF(C306=0,"Exact",IF(C306&lt;=Calc!$D$4,"Nice",""))</f>
        <v/>
      </c>
      <c r="E306" s="60"/>
      <c r="F306" s="24">
        <v>306</v>
      </c>
    </row>
    <row r="307" spans="1:6" hidden="1" x14ac:dyDescent="0.25">
      <c r="A307" s="21" t="str">
        <f ca="1">Calc!L307</f>
        <v/>
      </c>
      <c r="B307" s="22" t="str">
        <f ca="1">Calc!K307</f>
        <v/>
      </c>
      <c r="C307" s="39">
        <f ca="1">Calc!M307</f>
        <v>995</v>
      </c>
      <c r="D307" s="59" t="str">
        <f ca="1">IF(C307=0,"Exact",IF(C307&lt;=Calc!$D$4,"Nice",""))</f>
        <v/>
      </c>
      <c r="E307" s="60"/>
      <c r="F307" s="24">
        <v>307</v>
      </c>
    </row>
    <row r="308" spans="1:6" hidden="1" x14ac:dyDescent="0.25">
      <c r="A308" s="21" t="str">
        <f ca="1">Calc!L308</f>
        <v/>
      </c>
      <c r="B308" s="22" t="str">
        <f ca="1">Calc!K308</f>
        <v/>
      </c>
      <c r="C308" s="39">
        <f ca="1">Calc!M308</f>
        <v>995</v>
      </c>
      <c r="D308" s="59" t="str">
        <f ca="1">IF(C308=0,"Exact",IF(C308&lt;=Calc!$D$4,"Nice",""))</f>
        <v/>
      </c>
      <c r="E308" s="60"/>
      <c r="F308" s="24">
        <v>308</v>
      </c>
    </row>
    <row r="309" spans="1:6" ht="15.75" hidden="1" thickBot="1" x14ac:dyDescent="0.3">
      <c r="A309" s="21" t="str">
        <f ca="1">Calc!L309</f>
        <v/>
      </c>
      <c r="B309" s="22" t="str">
        <f ca="1">Calc!K309</f>
        <v/>
      </c>
      <c r="C309" s="39">
        <f ca="1">Calc!M309</f>
        <v>995</v>
      </c>
      <c r="D309" s="59" t="str">
        <f ca="1">IF(C309=0,"Exact",IF(C309&lt;=Calc!$D$4,"Nice",""))</f>
        <v/>
      </c>
      <c r="E309" s="60"/>
      <c r="F309" s="24">
        <v>309</v>
      </c>
    </row>
    <row r="310" spans="1:6" hidden="1" x14ac:dyDescent="0.25">
      <c r="A310" s="21" t="str">
        <f ca="1">Calc!L310</f>
        <v/>
      </c>
      <c r="B310" s="22" t="str">
        <f ca="1">Calc!K310</f>
        <v/>
      </c>
      <c r="C310" s="39">
        <f ca="1">Calc!M310</f>
        <v>995</v>
      </c>
      <c r="D310" s="59" t="str">
        <f ca="1">IF(C310=0,"Exact",IF(C310&lt;=Calc!$D$4,"Nice",""))</f>
        <v/>
      </c>
      <c r="E310" s="60"/>
      <c r="F310" s="24">
        <v>310</v>
      </c>
    </row>
    <row r="311" spans="1:6" hidden="1" x14ac:dyDescent="0.25">
      <c r="A311" s="21" t="str">
        <f ca="1">Calc!L311</f>
        <v/>
      </c>
      <c r="B311" s="22" t="str">
        <f ca="1">Calc!K311</f>
        <v/>
      </c>
      <c r="C311" s="39">
        <f ca="1">Calc!M311</f>
        <v>995</v>
      </c>
      <c r="D311" s="59" t="str">
        <f ca="1">IF(C311=0,"Exact",IF(C311&lt;=Calc!$D$4,"Nice",""))</f>
        <v/>
      </c>
      <c r="E311" s="60"/>
      <c r="F311" s="24">
        <v>311</v>
      </c>
    </row>
    <row r="312" spans="1:6" hidden="1" x14ac:dyDescent="0.25">
      <c r="A312" s="21" t="str">
        <f ca="1">Calc!L312</f>
        <v/>
      </c>
      <c r="B312" s="22" t="str">
        <f ca="1">Calc!K312</f>
        <v/>
      </c>
      <c r="C312" s="39">
        <f ca="1">Calc!M312</f>
        <v>995</v>
      </c>
      <c r="D312" s="59" t="str">
        <f ca="1">IF(C312=0,"Exact",IF(C312&lt;=Calc!$D$4,"Nice",""))</f>
        <v/>
      </c>
      <c r="E312" s="60"/>
      <c r="F312" s="24">
        <v>312</v>
      </c>
    </row>
    <row r="313" spans="1:6" hidden="1" x14ac:dyDescent="0.25">
      <c r="A313" s="21" t="str">
        <f ca="1">Calc!L313</f>
        <v/>
      </c>
      <c r="B313" s="22" t="str">
        <f ca="1">Calc!K313</f>
        <v/>
      </c>
      <c r="C313" s="39">
        <f ca="1">Calc!M313</f>
        <v>995</v>
      </c>
      <c r="D313" s="59" t="str">
        <f ca="1">IF(C313=0,"Exact",IF(C313&lt;=Calc!$D$4,"Nice",""))</f>
        <v/>
      </c>
      <c r="E313" s="60"/>
      <c r="F313" s="24">
        <v>313</v>
      </c>
    </row>
    <row r="314" spans="1:6" hidden="1" x14ac:dyDescent="0.25">
      <c r="A314" s="21" t="str">
        <f ca="1">Calc!L314</f>
        <v/>
      </c>
      <c r="B314" s="22" t="str">
        <f ca="1">Calc!K314</f>
        <v/>
      </c>
      <c r="C314" s="39">
        <f ca="1">Calc!M314</f>
        <v>995</v>
      </c>
      <c r="D314" s="59" t="str">
        <f ca="1">IF(C314=0,"Exact",IF(C314&lt;=Calc!$D$4,"Nice",""))</f>
        <v/>
      </c>
      <c r="E314" s="60"/>
      <c r="F314" s="24">
        <v>314</v>
      </c>
    </row>
    <row r="315" spans="1:6" hidden="1" x14ac:dyDescent="0.25">
      <c r="A315" s="21" t="str">
        <f ca="1">Calc!L315</f>
        <v/>
      </c>
      <c r="B315" s="22" t="str">
        <f ca="1">Calc!K315</f>
        <v/>
      </c>
      <c r="C315" s="39">
        <f ca="1">Calc!M315</f>
        <v>995</v>
      </c>
      <c r="D315" s="59" t="str">
        <f ca="1">IF(C315=0,"Exact",IF(C315&lt;=Calc!$D$4,"Nice",""))</f>
        <v/>
      </c>
      <c r="E315" s="60"/>
      <c r="F315" s="24">
        <v>315</v>
      </c>
    </row>
    <row r="316" spans="1:6" hidden="1" x14ac:dyDescent="0.25">
      <c r="A316" s="21" t="str">
        <f ca="1">Calc!L316</f>
        <v/>
      </c>
      <c r="B316" s="22" t="str">
        <f ca="1">Calc!K316</f>
        <v/>
      </c>
      <c r="C316" s="39">
        <f ca="1">Calc!M316</f>
        <v>995</v>
      </c>
      <c r="D316" s="59" t="str">
        <f ca="1">IF(C316=0,"Exact",IF(C316&lt;=Calc!$D$4,"Nice",""))</f>
        <v/>
      </c>
      <c r="E316" s="60"/>
      <c r="F316" s="24">
        <v>316</v>
      </c>
    </row>
    <row r="317" spans="1:6" hidden="1" x14ac:dyDescent="0.25">
      <c r="A317" s="21" t="str">
        <f ca="1">Calc!L317</f>
        <v/>
      </c>
      <c r="B317" s="22" t="str">
        <f ca="1">Calc!K317</f>
        <v/>
      </c>
      <c r="C317" s="39">
        <f ca="1">Calc!M317</f>
        <v>995</v>
      </c>
      <c r="D317" s="59" t="str">
        <f ca="1">IF(C317=0,"Exact",IF(C317&lt;=Calc!$D$4,"Nice",""))</f>
        <v/>
      </c>
      <c r="E317" s="60"/>
      <c r="F317" s="24">
        <v>317</v>
      </c>
    </row>
    <row r="318" spans="1:6" hidden="1" x14ac:dyDescent="0.25">
      <c r="A318" s="21" t="str">
        <f ca="1">Calc!L318</f>
        <v/>
      </c>
      <c r="B318" s="22" t="str">
        <f ca="1">Calc!K318</f>
        <v/>
      </c>
      <c r="C318" s="39">
        <f ca="1">Calc!M318</f>
        <v>995</v>
      </c>
      <c r="D318" s="59" t="str">
        <f ca="1">IF(C318=0,"Exact",IF(C318&lt;=Calc!$D$4,"Nice",""))</f>
        <v/>
      </c>
      <c r="E318" s="60"/>
      <c r="F318" s="24">
        <v>318</v>
      </c>
    </row>
    <row r="319" spans="1:6" hidden="1" x14ac:dyDescent="0.25">
      <c r="A319" s="21" t="str">
        <f ca="1">Calc!L319</f>
        <v/>
      </c>
      <c r="B319" s="22" t="str">
        <f ca="1">Calc!K319</f>
        <v/>
      </c>
      <c r="C319" s="39">
        <f ca="1">Calc!M319</f>
        <v>995</v>
      </c>
      <c r="D319" s="59" t="str">
        <f ca="1">IF(C319=0,"Exact",IF(C319&lt;=Calc!$D$4,"Nice",""))</f>
        <v/>
      </c>
      <c r="E319" s="60"/>
      <c r="F319" s="24">
        <v>319</v>
      </c>
    </row>
    <row r="320" spans="1:6" hidden="1" x14ac:dyDescent="0.25">
      <c r="A320" s="21" t="str">
        <f ca="1">Calc!L320</f>
        <v/>
      </c>
      <c r="B320" s="22" t="str">
        <f ca="1">Calc!K320</f>
        <v/>
      </c>
      <c r="C320" s="39">
        <f ca="1">Calc!M320</f>
        <v>995</v>
      </c>
      <c r="D320" s="59" t="str">
        <f ca="1">IF(C320=0,"Exact",IF(C320&lt;=Calc!$D$4,"Nice",""))</f>
        <v/>
      </c>
      <c r="E320" s="60"/>
      <c r="F320" s="24">
        <v>320</v>
      </c>
    </row>
    <row r="321" spans="1:6" hidden="1" x14ac:dyDescent="0.25">
      <c r="A321" s="21">
        <f ca="1">Calc!L321</f>
        <v>25.034267912772584</v>
      </c>
      <c r="B321" s="22" t="str">
        <f ca="1">Calc!K321</f>
        <v>28.700 || 196.000</v>
      </c>
      <c r="C321" s="39">
        <f ca="1">Calc!M321</f>
        <v>0.13707165109033781</v>
      </c>
      <c r="D321" s="59" t="str">
        <f ca="1">IF(C321=0,"Exact",IF(C321&lt;=Calc!$D$4,"Nice",""))</f>
        <v>Nice</v>
      </c>
      <c r="E321" s="60"/>
      <c r="F321" s="24">
        <v>321</v>
      </c>
    </row>
    <row r="322" spans="1:6" hidden="1" x14ac:dyDescent="0.25">
      <c r="A322" s="21">
        <f ca="1">Calc!L322</f>
        <v>25.034267912772584</v>
      </c>
      <c r="B322" s="22" t="str">
        <f ca="1">Calc!K322</f>
        <v>28.700 || 196.000</v>
      </c>
      <c r="C322" s="39">
        <f ca="1">Calc!M322</f>
        <v>0.13707165109033781</v>
      </c>
      <c r="D322" s="59" t="str">
        <f ca="1">IF(C322=0,"Exact",IF(C322&lt;=Calc!$D$4,"Nice",""))</f>
        <v>Nice</v>
      </c>
      <c r="E322" s="60"/>
      <c r="F322" s="24">
        <v>322</v>
      </c>
    </row>
    <row r="323" spans="1:6" hidden="1" x14ac:dyDescent="0.25">
      <c r="A323" s="21">
        <f ca="1">Calc!L323</f>
        <v>25.034267912772584</v>
      </c>
      <c r="B323" s="22" t="str">
        <f ca="1">Calc!K323</f>
        <v>28.700 || 196.000</v>
      </c>
      <c r="C323" s="39">
        <f ca="1">Calc!M323</f>
        <v>0.13707165109033781</v>
      </c>
      <c r="D323" s="59" t="str">
        <f ca="1">IF(C323=0,"Exact",IF(C323&lt;=Calc!$D$4,"Nice",""))</f>
        <v>Nice</v>
      </c>
      <c r="E323" s="60"/>
      <c r="F323" s="24">
        <v>323</v>
      </c>
    </row>
    <row r="324" spans="1:6" hidden="1" x14ac:dyDescent="0.25">
      <c r="A324" s="21">
        <f ca="1">Calc!L324</f>
        <v>25.034267912772584</v>
      </c>
      <c r="B324" s="22" t="str">
        <f ca="1">Calc!K324</f>
        <v>28.700 || 196.000</v>
      </c>
      <c r="C324" s="39">
        <f ca="1">Calc!M324</f>
        <v>0.13707165109033781</v>
      </c>
      <c r="D324" s="59" t="str">
        <f ca="1">IF(C324=0,"Exact",IF(C324&lt;=Calc!$D$4,"Nice",""))</f>
        <v>Nice</v>
      </c>
      <c r="E324" s="60"/>
      <c r="F324" s="24">
        <v>324</v>
      </c>
    </row>
    <row r="325" spans="1:6" hidden="1" x14ac:dyDescent="0.25">
      <c r="A325" s="21" t="str">
        <f ca="1">Calc!L325</f>
        <v/>
      </c>
      <c r="B325" s="22" t="str">
        <f ca="1">Calc!K325</f>
        <v/>
      </c>
      <c r="C325" s="39">
        <f ca="1">Calc!M325</f>
        <v>995</v>
      </c>
      <c r="D325" s="59" t="str">
        <f ca="1">IF(C325=0,"Exact",IF(C325&lt;=Calc!$D$4,"Nice",""))</f>
        <v/>
      </c>
      <c r="E325" s="60"/>
      <c r="F325" s="24">
        <v>325</v>
      </c>
    </row>
    <row r="326" spans="1:6" hidden="1" x14ac:dyDescent="0.25">
      <c r="A326" s="21" t="str">
        <f ca="1">Calc!L326</f>
        <v/>
      </c>
      <c r="B326" s="22" t="str">
        <f ca="1">Calc!K326</f>
        <v/>
      </c>
      <c r="C326" s="39">
        <f ca="1">Calc!M326</f>
        <v>995</v>
      </c>
      <c r="D326" s="59" t="str">
        <f ca="1">IF(C326=0,"Exact",IF(C326&lt;=Calc!$D$4,"Nice",""))</f>
        <v/>
      </c>
      <c r="E326" s="60"/>
      <c r="F326" s="24">
        <v>326</v>
      </c>
    </row>
    <row r="327" spans="1:6" hidden="1" x14ac:dyDescent="0.25">
      <c r="A327" s="21" t="str">
        <f ca="1">Calc!L327</f>
        <v/>
      </c>
      <c r="B327" s="22" t="str">
        <f ca="1">Calc!K327</f>
        <v/>
      </c>
      <c r="C327" s="39">
        <f ca="1">Calc!M327</f>
        <v>995</v>
      </c>
      <c r="D327" s="59" t="str">
        <f ca="1">IF(C327=0,"Exact",IF(C327&lt;=Calc!$D$4,"Nice",""))</f>
        <v/>
      </c>
      <c r="E327" s="60"/>
      <c r="F327" s="24">
        <v>327</v>
      </c>
    </row>
    <row r="328" spans="1:6" hidden="1" x14ac:dyDescent="0.25">
      <c r="A328" s="21" t="str">
        <f ca="1">Calc!L328</f>
        <v/>
      </c>
      <c r="B328" s="22" t="str">
        <f ca="1">Calc!K328</f>
        <v/>
      </c>
      <c r="C328" s="39">
        <f ca="1">Calc!M328</f>
        <v>995</v>
      </c>
      <c r="D328" s="59" t="str">
        <f ca="1">IF(C328=0,"Exact",IF(C328&lt;=Calc!$D$4,"Nice",""))</f>
        <v/>
      </c>
      <c r="E328" s="60"/>
      <c r="F328" s="24">
        <v>328</v>
      </c>
    </row>
    <row r="329" spans="1:6" hidden="1" x14ac:dyDescent="0.25">
      <c r="A329" s="21" t="str">
        <f ca="1">Calc!L329</f>
        <v/>
      </c>
      <c r="B329" s="22" t="str">
        <f ca="1">Calc!K329</f>
        <v/>
      </c>
      <c r="C329" s="39">
        <f ca="1">Calc!M329</f>
        <v>995</v>
      </c>
      <c r="D329" s="59" t="str">
        <f ca="1">IF(C329=0,"Exact",IF(C329&lt;=Calc!$D$4,"Nice",""))</f>
        <v/>
      </c>
      <c r="E329" s="60"/>
      <c r="F329" s="24">
        <v>329</v>
      </c>
    </row>
    <row r="330" spans="1:6" hidden="1" x14ac:dyDescent="0.25">
      <c r="A330" s="21" t="str">
        <f ca="1">Calc!L330</f>
        <v/>
      </c>
      <c r="B330" s="22" t="str">
        <f ca="1">Calc!K330</f>
        <v/>
      </c>
      <c r="C330" s="39">
        <f ca="1">Calc!M330</f>
        <v>995</v>
      </c>
      <c r="D330" s="59" t="str">
        <f ca="1">IF(C330=0,"Exact",IF(C330&lt;=Calc!$D$4,"Nice",""))</f>
        <v/>
      </c>
      <c r="E330" s="60"/>
      <c r="F330" s="24">
        <v>330</v>
      </c>
    </row>
    <row r="331" spans="1:6" hidden="1" x14ac:dyDescent="0.25">
      <c r="A331" s="21" t="str">
        <f ca="1">Calc!L331</f>
        <v/>
      </c>
      <c r="B331" s="22" t="str">
        <f ca="1">Calc!K331</f>
        <v/>
      </c>
      <c r="C331" s="39">
        <f ca="1">Calc!M331</f>
        <v>995</v>
      </c>
      <c r="D331" s="59" t="str">
        <f ca="1">IF(C331=0,"Exact",IF(C331&lt;=Calc!$D$4,"Nice",""))</f>
        <v/>
      </c>
      <c r="E331" s="60"/>
      <c r="F331" s="24">
        <v>331</v>
      </c>
    </row>
    <row r="332" spans="1:6" hidden="1" x14ac:dyDescent="0.25">
      <c r="A332" s="21" t="str">
        <f ca="1">Calc!L332</f>
        <v/>
      </c>
      <c r="B332" s="22" t="str">
        <f ca="1">Calc!K332</f>
        <v/>
      </c>
      <c r="C332" s="39">
        <f ca="1">Calc!M332</f>
        <v>995</v>
      </c>
      <c r="D332" s="59" t="str">
        <f ca="1">IF(C332=0,"Exact",IF(C332&lt;=Calc!$D$4,"Nice",""))</f>
        <v/>
      </c>
      <c r="E332" s="60"/>
      <c r="F332" s="24">
        <v>332</v>
      </c>
    </row>
    <row r="333" spans="1:6" hidden="1" x14ac:dyDescent="0.25">
      <c r="A333" s="21" t="str">
        <f ca="1">Calc!L333</f>
        <v/>
      </c>
      <c r="B333" s="22" t="str">
        <f ca="1">Calc!K333</f>
        <v/>
      </c>
      <c r="C333" s="39">
        <f ca="1">Calc!M333</f>
        <v>995</v>
      </c>
      <c r="D333" s="59" t="str">
        <f ca="1">IF(C333=0,"Exact",IF(C333&lt;=Calc!$D$4,"Nice",""))</f>
        <v/>
      </c>
      <c r="E333" s="60"/>
      <c r="F333" s="24">
        <v>333</v>
      </c>
    </row>
    <row r="334" spans="1:6" hidden="1" x14ac:dyDescent="0.25">
      <c r="A334" s="21" t="str">
        <f ca="1">Calc!L334</f>
        <v/>
      </c>
      <c r="B334" s="22" t="str">
        <f ca="1">Calc!K334</f>
        <v/>
      </c>
      <c r="C334" s="39">
        <f ca="1">Calc!M334</f>
        <v>995</v>
      </c>
      <c r="D334" s="59" t="str">
        <f ca="1">IF(C334=0,"Exact",IF(C334&lt;=Calc!$D$4,"Nice",""))</f>
        <v/>
      </c>
      <c r="E334" s="60"/>
      <c r="F334" s="24">
        <v>334</v>
      </c>
    </row>
    <row r="335" spans="1:6" hidden="1" x14ac:dyDescent="0.25">
      <c r="A335" s="21" t="str">
        <f ca="1">Calc!L335</f>
        <v/>
      </c>
      <c r="B335" s="22" t="str">
        <f ca="1">Calc!K335</f>
        <v/>
      </c>
      <c r="C335" s="39">
        <f ca="1">Calc!M335</f>
        <v>995</v>
      </c>
      <c r="D335" s="59" t="str">
        <f ca="1">IF(C335=0,"Exact",IF(C335&lt;=Calc!$D$4,"Nice",""))</f>
        <v/>
      </c>
      <c r="E335" s="60"/>
      <c r="F335" s="24">
        <v>335</v>
      </c>
    </row>
    <row r="336" spans="1:6" hidden="1" x14ac:dyDescent="0.25">
      <c r="A336" s="21" t="str">
        <f ca="1">Calc!L336</f>
        <v/>
      </c>
      <c r="B336" s="22" t="str">
        <f ca="1">Calc!K336</f>
        <v/>
      </c>
      <c r="C336" s="39">
        <f ca="1">Calc!M336</f>
        <v>995</v>
      </c>
      <c r="D336" s="59" t="str">
        <f ca="1">IF(C336=0,"Exact",IF(C336&lt;=Calc!$D$4,"Nice",""))</f>
        <v/>
      </c>
      <c r="E336" s="60"/>
      <c r="F336" s="24">
        <v>336</v>
      </c>
    </row>
    <row r="337" spans="1:6" hidden="1" x14ac:dyDescent="0.25">
      <c r="A337" s="21" t="str">
        <f ca="1">Calc!L337</f>
        <v/>
      </c>
      <c r="B337" s="22" t="str">
        <f ca="1">Calc!K337</f>
        <v/>
      </c>
      <c r="C337" s="39">
        <f ca="1">Calc!M337</f>
        <v>995</v>
      </c>
      <c r="D337" s="59" t="str">
        <f ca="1">IF(C337=0,"Exact",IF(C337&lt;=Calc!$D$4,"Nice",""))</f>
        <v/>
      </c>
      <c r="E337" s="60"/>
      <c r="F337" s="24">
        <v>337</v>
      </c>
    </row>
    <row r="338" spans="1:6" hidden="1" x14ac:dyDescent="0.25">
      <c r="A338" s="21" t="str">
        <f ca="1">Calc!L338</f>
        <v/>
      </c>
      <c r="B338" s="22" t="str">
        <f ca="1">Calc!K338</f>
        <v/>
      </c>
      <c r="C338" s="39">
        <f ca="1">Calc!M338</f>
        <v>995</v>
      </c>
      <c r="D338" s="59" t="str">
        <f ca="1">IF(C338=0,"Exact",IF(C338&lt;=Calc!$D$4,"Nice",""))</f>
        <v/>
      </c>
      <c r="E338" s="60"/>
      <c r="F338" s="24">
        <v>338</v>
      </c>
    </row>
    <row r="339" spans="1:6" hidden="1" x14ac:dyDescent="0.25">
      <c r="A339" s="21" t="str">
        <f ca="1">Calc!L339</f>
        <v/>
      </c>
      <c r="B339" s="22" t="str">
        <f ca="1">Calc!K339</f>
        <v/>
      </c>
      <c r="C339" s="39">
        <f ca="1">Calc!M339</f>
        <v>995</v>
      </c>
      <c r="D339" s="59" t="str">
        <f ca="1">IF(C339=0,"Exact",IF(C339&lt;=Calc!$D$4,"Nice",""))</f>
        <v/>
      </c>
      <c r="E339" s="60"/>
      <c r="F339" s="24">
        <v>339</v>
      </c>
    </row>
    <row r="340" spans="1:6" hidden="1" x14ac:dyDescent="0.25">
      <c r="A340" s="21" t="str">
        <f ca="1">Calc!L340</f>
        <v/>
      </c>
      <c r="B340" s="22" t="str">
        <f ca="1">Calc!K340</f>
        <v/>
      </c>
      <c r="C340" s="39">
        <f ca="1">Calc!M340</f>
        <v>995</v>
      </c>
      <c r="D340" s="59" t="str">
        <f ca="1">IF(C340=0,"Exact",IF(C340&lt;=Calc!$D$4,"Nice",""))</f>
        <v/>
      </c>
      <c r="E340" s="60"/>
      <c r="F340" s="24">
        <v>340</v>
      </c>
    </row>
    <row r="341" spans="1:6" hidden="1" x14ac:dyDescent="0.25">
      <c r="A341" s="21" t="str">
        <f ca="1">Calc!L341</f>
        <v/>
      </c>
      <c r="B341" s="22" t="str">
        <f ca="1">Calc!K341</f>
        <v/>
      </c>
      <c r="C341" s="39">
        <f ca="1">Calc!M341</f>
        <v>995</v>
      </c>
      <c r="D341" s="59" t="str">
        <f ca="1">IF(C341=0,"Exact",IF(C341&lt;=Calc!$D$4,"Nice",""))</f>
        <v/>
      </c>
      <c r="E341" s="60"/>
      <c r="F341" s="24">
        <v>341</v>
      </c>
    </row>
    <row r="342" spans="1:6" hidden="1" x14ac:dyDescent="0.25">
      <c r="A342" s="21" t="str">
        <f ca="1">Calc!L342</f>
        <v/>
      </c>
      <c r="B342" s="22" t="str">
        <f ca="1">Calc!K342</f>
        <v/>
      </c>
      <c r="C342" s="39">
        <f ca="1">Calc!M342</f>
        <v>995</v>
      </c>
      <c r="D342" s="59" t="str">
        <f ca="1">IF(C342=0,"Exact",IF(C342&lt;=Calc!$D$4,"Nice",""))</f>
        <v/>
      </c>
      <c r="E342" s="60"/>
      <c r="F342" s="24">
        <v>342</v>
      </c>
    </row>
    <row r="343" spans="1:6" hidden="1" x14ac:dyDescent="0.25">
      <c r="A343" s="21" t="str">
        <f ca="1">Calc!L343</f>
        <v/>
      </c>
      <c r="B343" s="22" t="str">
        <f ca="1">Calc!K343</f>
        <v/>
      </c>
      <c r="C343" s="39">
        <f ca="1">Calc!M343</f>
        <v>995</v>
      </c>
      <c r="D343" s="59" t="str">
        <f ca="1">IF(C343=0,"Exact",IF(C343&lt;=Calc!$D$4,"Nice",""))</f>
        <v/>
      </c>
      <c r="E343" s="60"/>
      <c r="F343" s="24">
        <v>343</v>
      </c>
    </row>
    <row r="344" spans="1:6" hidden="1" x14ac:dyDescent="0.25">
      <c r="A344" s="21" t="str">
        <f ca="1">Calc!L344</f>
        <v/>
      </c>
      <c r="B344" s="22" t="str">
        <f ca="1">Calc!K344</f>
        <v/>
      </c>
      <c r="C344" s="39">
        <f ca="1">Calc!M344</f>
        <v>995</v>
      </c>
      <c r="D344" s="59" t="str">
        <f ca="1">IF(C344=0,"Exact",IF(C344&lt;=Calc!$D$4,"Nice",""))</f>
        <v/>
      </c>
      <c r="E344" s="60"/>
      <c r="F344" s="24">
        <v>344</v>
      </c>
    </row>
    <row r="345" spans="1:6" hidden="1" x14ac:dyDescent="0.25">
      <c r="A345" s="21" t="str">
        <f ca="1">Calc!L345</f>
        <v/>
      </c>
      <c r="B345" s="22" t="str">
        <f ca="1">Calc!K345</f>
        <v/>
      </c>
      <c r="C345" s="39">
        <f ca="1">Calc!M345</f>
        <v>995</v>
      </c>
      <c r="D345" s="59" t="str">
        <f ca="1">IF(C345=0,"Exact",IF(C345&lt;=Calc!$D$4,"Nice",""))</f>
        <v/>
      </c>
      <c r="E345" s="60"/>
      <c r="F345" s="24">
        <v>345</v>
      </c>
    </row>
    <row r="346" spans="1:6" hidden="1" x14ac:dyDescent="0.25">
      <c r="A346" s="21" t="str">
        <f ca="1">Calc!L346</f>
        <v/>
      </c>
      <c r="B346" s="22" t="str">
        <f ca="1">Calc!K346</f>
        <v/>
      </c>
      <c r="C346" s="39">
        <f ca="1">Calc!M346</f>
        <v>995</v>
      </c>
      <c r="D346" s="59" t="str">
        <f ca="1">IF(C346=0,"Exact",IF(C346&lt;=Calc!$D$4,"Nice",""))</f>
        <v/>
      </c>
      <c r="E346" s="60"/>
      <c r="F346" s="24">
        <v>346</v>
      </c>
    </row>
    <row r="347" spans="1:6" hidden="1" x14ac:dyDescent="0.25">
      <c r="A347" s="21" t="str">
        <f ca="1">Calc!L347</f>
        <v/>
      </c>
      <c r="B347" s="22" t="str">
        <f ca="1">Calc!K347</f>
        <v/>
      </c>
      <c r="C347" s="39">
        <f ca="1">Calc!M347</f>
        <v>995</v>
      </c>
      <c r="D347" s="59" t="str">
        <f ca="1">IF(C347=0,"Exact",IF(C347&lt;=Calc!$D$4,"Nice",""))</f>
        <v/>
      </c>
      <c r="E347" s="60"/>
      <c r="F347" s="24">
        <v>347</v>
      </c>
    </row>
    <row r="348" spans="1:6" hidden="1" x14ac:dyDescent="0.25">
      <c r="A348" s="21" t="str">
        <f ca="1">Calc!L348</f>
        <v/>
      </c>
      <c r="B348" s="22" t="str">
        <f ca="1">Calc!K348</f>
        <v/>
      </c>
      <c r="C348" s="39">
        <f ca="1">Calc!M348</f>
        <v>995</v>
      </c>
      <c r="D348" s="59" t="str">
        <f ca="1">IF(C348=0,"Exact",IF(C348&lt;=Calc!$D$4,"Nice",""))</f>
        <v/>
      </c>
      <c r="E348" s="60"/>
      <c r="F348" s="24">
        <v>348</v>
      </c>
    </row>
    <row r="349" spans="1:6" hidden="1" x14ac:dyDescent="0.25">
      <c r="A349" s="21" t="str">
        <f ca="1">Calc!L349</f>
        <v/>
      </c>
      <c r="B349" s="22" t="str">
        <f ca="1">Calc!K349</f>
        <v/>
      </c>
      <c r="C349" s="39">
        <f ca="1">Calc!M349</f>
        <v>995</v>
      </c>
      <c r="D349" s="59" t="str">
        <f ca="1">IF(C349=0,"Exact",IF(C349&lt;=Calc!$D$4,"Nice",""))</f>
        <v/>
      </c>
      <c r="E349" s="60"/>
      <c r="F349" s="24">
        <v>349</v>
      </c>
    </row>
    <row r="350" spans="1:6" hidden="1" x14ac:dyDescent="0.25">
      <c r="A350" s="21" t="str">
        <f ca="1">Calc!L350</f>
        <v/>
      </c>
      <c r="B350" s="22" t="str">
        <f ca="1">Calc!K350</f>
        <v/>
      </c>
      <c r="C350" s="39">
        <f ca="1">Calc!M350</f>
        <v>995</v>
      </c>
      <c r="D350" s="59" t="str">
        <f ca="1">IF(C350=0,"Exact",IF(C350&lt;=Calc!$D$4,"Nice",""))</f>
        <v/>
      </c>
      <c r="E350" s="60"/>
      <c r="F350" s="24">
        <v>350</v>
      </c>
    </row>
    <row r="351" spans="1:6" hidden="1" x14ac:dyDescent="0.25">
      <c r="A351" s="21" t="str">
        <f ca="1">Calc!L351</f>
        <v/>
      </c>
      <c r="B351" s="22" t="str">
        <f ca="1">Calc!K351</f>
        <v/>
      </c>
      <c r="C351" s="39">
        <f ca="1">Calc!M351</f>
        <v>995</v>
      </c>
      <c r="D351" s="59" t="str">
        <f ca="1">IF(C351=0,"Exact",IF(C351&lt;=Calc!$D$4,"Nice",""))</f>
        <v/>
      </c>
      <c r="E351" s="60"/>
      <c r="F351" s="24">
        <v>351</v>
      </c>
    </row>
    <row r="352" spans="1:6" hidden="1" x14ac:dyDescent="0.25">
      <c r="A352" s="21" t="str">
        <f ca="1">Calc!L352</f>
        <v/>
      </c>
      <c r="B352" s="22" t="str">
        <f ca="1">Calc!K352</f>
        <v/>
      </c>
      <c r="C352" s="39">
        <f ca="1">Calc!M352</f>
        <v>995</v>
      </c>
      <c r="D352" s="59" t="str">
        <f ca="1">IF(C352=0,"Exact",IF(C352&lt;=Calc!$D$4,"Nice",""))</f>
        <v/>
      </c>
      <c r="E352" s="60"/>
      <c r="F352" s="24">
        <v>352</v>
      </c>
    </row>
    <row r="353" spans="1:6" hidden="1" x14ac:dyDescent="0.25">
      <c r="A353" s="21" t="str">
        <f ca="1">Calc!L353</f>
        <v/>
      </c>
      <c r="B353" s="22" t="str">
        <f ca="1">Calc!K353</f>
        <v/>
      </c>
      <c r="C353" s="39">
        <f ca="1">Calc!M353</f>
        <v>995</v>
      </c>
      <c r="D353" s="59" t="str">
        <f ca="1">IF(C353=0,"Exact",IF(C353&lt;=Calc!$D$4,"Nice",""))</f>
        <v/>
      </c>
      <c r="E353" s="60"/>
      <c r="F353" s="24">
        <v>353</v>
      </c>
    </row>
    <row r="354" spans="1:6" hidden="1" x14ac:dyDescent="0.25">
      <c r="A354" s="21" t="str">
        <f ca="1">Calc!L354</f>
        <v/>
      </c>
      <c r="B354" s="22" t="str">
        <f ca="1">Calc!K354</f>
        <v/>
      </c>
      <c r="C354" s="39">
        <f ca="1">Calc!M354</f>
        <v>995</v>
      </c>
      <c r="D354" s="59" t="str">
        <f ca="1">IF(C354=0,"Exact",IF(C354&lt;=Calc!$D$4,"Nice",""))</f>
        <v/>
      </c>
      <c r="E354" s="60"/>
      <c r="F354" s="24">
        <v>354</v>
      </c>
    </row>
    <row r="355" spans="1:6" hidden="1" x14ac:dyDescent="0.25">
      <c r="A355" s="21" t="str">
        <f ca="1">Calc!L355</f>
        <v/>
      </c>
      <c r="B355" s="22" t="str">
        <f ca="1">Calc!K355</f>
        <v/>
      </c>
      <c r="C355" s="39">
        <f ca="1">Calc!M355</f>
        <v>995</v>
      </c>
      <c r="D355" s="59" t="str">
        <f ca="1">IF(C355=0,"Exact",IF(C355&lt;=Calc!$D$4,"Nice",""))</f>
        <v/>
      </c>
      <c r="E355" s="60"/>
      <c r="F355" s="24">
        <v>355</v>
      </c>
    </row>
    <row r="356" spans="1:6" hidden="1" x14ac:dyDescent="0.25">
      <c r="A356" s="21" t="str">
        <f ca="1">Calc!L356</f>
        <v/>
      </c>
      <c r="B356" s="22" t="str">
        <f ca="1">Calc!K356</f>
        <v/>
      </c>
      <c r="C356" s="39">
        <f ca="1">Calc!M356</f>
        <v>995</v>
      </c>
      <c r="D356" s="59" t="str">
        <f ca="1">IF(C356=0,"Exact",IF(C356&lt;=Calc!$D$4,"Nice",""))</f>
        <v/>
      </c>
      <c r="E356" s="60"/>
      <c r="F356" s="24">
        <v>356</v>
      </c>
    </row>
    <row r="357" spans="1:6" hidden="1" x14ac:dyDescent="0.25">
      <c r="A357" s="21" t="str">
        <f ca="1">Calc!L357</f>
        <v/>
      </c>
      <c r="B357" s="22" t="str">
        <f ca="1">Calc!K357</f>
        <v/>
      </c>
      <c r="C357" s="39">
        <f ca="1">Calc!M357</f>
        <v>995</v>
      </c>
      <c r="D357" s="59" t="str">
        <f ca="1">IF(C357=0,"Exact",IF(C357&lt;=Calc!$D$4,"Nice",""))</f>
        <v/>
      </c>
      <c r="E357" s="60"/>
      <c r="F357" s="24">
        <v>357</v>
      </c>
    </row>
    <row r="358" spans="1:6" hidden="1" x14ac:dyDescent="0.25">
      <c r="A358" s="21" t="str">
        <f ca="1">Calc!L358</f>
        <v/>
      </c>
      <c r="B358" s="22" t="str">
        <f ca="1">Calc!K358</f>
        <v/>
      </c>
      <c r="C358" s="39">
        <f ca="1">Calc!M358</f>
        <v>995</v>
      </c>
      <c r="D358" s="59" t="str">
        <f ca="1">IF(C358=0,"Exact",IF(C358&lt;=Calc!$D$4,"Nice",""))</f>
        <v/>
      </c>
      <c r="E358" s="60"/>
      <c r="F358" s="24">
        <v>358</v>
      </c>
    </row>
    <row r="359" spans="1:6" hidden="1" x14ac:dyDescent="0.25">
      <c r="A359" s="21" t="str">
        <f ca="1">Calc!L359</f>
        <v/>
      </c>
      <c r="B359" s="22" t="str">
        <f ca="1">Calc!K359</f>
        <v/>
      </c>
      <c r="C359" s="39">
        <f ca="1">Calc!M359</f>
        <v>995</v>
      </c>
      <c r="D359" s="59" t="str">
        <f ca="1">IF(C359=0,"Exact",IF(C359&lt;=Calc!$D$4,"Nice",""))</f>
        <v/>
      </c>
      <c r="E359" s="60"/>
      <c r="F359" s="24">
        <v>359</v>
      </c>
    </row>
    <row r="360" spans="1:6" hidden="1" x14ac:dyDescent="0.25">
      <c r="A360" s="21" t="str">
        <f ca="1">Calc!L360</f>
        <v/>
      </c>
      <c r="B360" s="22" t="str">
        <f ca="1">Calc!K360</f>
        <v/>
      </c>
      <c r="C360" s="39">
        <f ca="1">Calc!M360</f>
        <v>995</v>
      </c>
      <c r="D360" s="59" t="str">
        <f ca="1">IF(C360=0,"Exact",IF(C360&lt;=Calc!$D$4,"Nice",""))</f>
        <v/>
      </c>
      <c r="E360" s="60"/>
      <c r="F360" s="24">
        <v>360</v>
      </c>
    </row>
    <row r="361" spans="1:6" x14ac:dyDescent="0.25">
      <c r="A361" s="21">
        <f ca="1">Calc!L249</f>
        <v>25.165632458233887</v>
      </c>
      <c r="B361" s="22" t="str">
        <f ca="1">Calc!K249</f>
        <v>34.800 || 90.900</v>
      </c>
      <c r="C361" s="39">
        <f ca="1">Calc!M249</f>
        <v>0.66252983293554735</v>
      </c>
      <c r="D361" s="59" t="str">
        <f ca="1">IF(C361=0,"Exact",IF(C361&lt;=Calc!$D$4,"Nice",""))</f>
        <v/>
      </c>
      <c r="E361" s="60"/>
      <c r="F361" s="24">
        <v>249</v>
      </c>
    </row>
    <row r="362" spans="1:6" hidden="1" x14ac:dyDescent="0.25">
      <c r="A362" s="21">
        <f ca="1">Calc!L362</f>
        <v>24.831688698566378</v>
      </c>
      <c r="B362" s="22" t="str">
        <f ca="1">Calc!K362</f>
        <v>26.100 || 511.000</v>
      </c>
      <c r="C362" s="39">
        <f ca="1">Calc!M362</f>
        <v>0.67324520573448865</v>
      </c>
      <c r="D362" s="59" t="str">
        <f ca="1">IF(C362=0,"Exact",IF(C362&lt;=Calc!$D$4,"Nice",""))</f>
        <v/>
      </c>
      <c r="E362" s="60"/>
      <c r="F362" s="24">
        <v>362</v>
      </c>
    </row>
    <row r="363" spans="1:6" hidden="1" x14ac:dyDescent="0.25">
      <c r="A363" s="21">
        <f ca="1">Calc!L363</f>
        <v>24.831688698566378</v>
      </c>
      <c r="B363" s="22" t="str">
        <f ca="1">Calc!K363</f>
        <v>26.100 || 511.000</v>
      </c>
      <c r="C363" s="39">
        <f ca="1">Calc!M363</f>
        <v>0.67324520573448865</v>
      </c>
      <c r="D363" s="59" t="str">
        <f ca="1">IF(C363=0,"Exact",IF(C363&lt;=Calc!$D$4,"Nice",""))</f>
        <v/>
      </c>
      <c r="E363" s="60"/>
      <c r="F363" s="24">
        <v>363</v>
      </c>
    </row>
    <row r="364" spans="1:6" hidden="1" x14ac:dyDescent="0.25">
      <c r="A364" s="21">
        <f ca="1">Calc!L364</f>
        <v>24.831688698566378</v>
      </c>
      <c r="B364" s="22" t="str">
        <f ca="1">Calc!K364</f>
        <v>26.100 || 511.000</v>
      </c>
      <c r="C364" s="39">
        <f ca="1">Calc!M364</f>
        <v>0.67324520573448865</v>
      </c>
      <c r="D364" s="59" t="str">
        <f ca="1">IF(C364=0,"Exact",IF(C364&lt;=Calc!$D$4,"Nice",""))</f>
        <v/>
      </c>
      <c r="E364" s="60"/>
      <c r="F364" s="24">
        <v>364</v>
      </c>
    </row>
    <row r="365" spans="1:6" x14ac:dyDescent="0.25">
      <c r="A365" s="21">
        <f ca="1">Calc!L117</f>
        <v>25.17</v>
      </c>
      <c r="B365" s="22" t="str">
        <f ca="1">Calc!K117</f>
        <v>1.470 + 23.700</v>
      </c>
      <c r="C365" s="39">
        <f ca="1">Calc!M117</f>
        <v>0.68000000000000682</v>
      </c>
      <c r="D365" s="59" t="str">
        <f ca="1">IF(C365=0,"Exact",IF(C365&lt;=Calc!$D$4,"Nice",""))</f>
        <v/>
      </c>
      <c r="E365" s="60"/>
      <c r="F365" s="24">
        <v>117</v>
      </c>
    </row>
    <row r="366" spans="1:6" hidden="1" x14ac:dyDescent="0.25">
      <c r="A366" s="21">
        <f ca="1">Calc!L366</f>
        <v>24.941676585614694</v>
      </c>
      <c r="B366" s="22" t="str">
        <f ca="1">Calc!K366</f>
        <v>26.100 || 562.000</v>
      </c>
      <c r="C366" s="39">
        <f ca="1">Calc!M366</f>
        <v>0.23329365754122477</v>
      </c>
      <c r="D366" s="59" t="str">
        <f ca="1">IF(C366=0,"Exact",IF(C366&lt;=Calc!$D$4,"Nice",""))</f>
        <v>Nice</v>
      </c>
      <c r="E366" s="60"/>
      <c r="F366" s="24">
        <v>366</v>
      </c>
    </row>
    <row r="367" spans="1:6" hidden="1" x14ac:dyDescent="0.25">
      <c r="A367" s="21">
        <f ca="1">Calc!L367</f>
        <v>24.941676585614694</v>
      </c>
      <c r="B367" s="22" t="str">
        <f ca="1">Calc!K367</f>
        <v>26.100 || 562.000</v>
      </c>
      <c r="C367" s="39">
        <f ca="1">Calc!M367</f>
        <v>0.23329365754122477</v>
      </c>
      <c r="D367" s="59" t="str">
        <f ca="1">IF(C367=0,"Exact",IF(C367&lt;=Calc!$D$4,"Nice",""))</f>
        <v>Nice</v>
      </c>
      <c r="E367" s="60"/>
      <c r="F367" s="24">
        <v>367</v>
      </c>
    </row>
    <row r="368" spans="1:6" hidden="1" x14ac:dyDescent="0.25">
      <c r="A368" s="21">
        <f ca="1">Calc!L368</f>
        <v>24.941676585614694</v>
      </c>
      <c r="B368" s="22" t="str">
        <f ca="1">Calc!K368</f>
        <v>26.100 || 562.000</v>
      </c>
      <c r="C368" s="39">
        <f ca="1">Calc!M368</f>
        <v>0.23329365754122477</v>
      </c>
      <c r="D368" s="59" t="str">
        <f ca="1">IF(C368=0,"Exact",IF(C368&lt;=Calc!$D$4,"Nice",""))</f>
        <v>Nice</v>
      </c>
      <c r="E368" s="60"/>
      <c r="F368" s="24">
        <v>368</v>
      </c>
    </row>
    <row r="369" spans="1:6" hidden="1" x14ac:dyDescent="0.25">
      <c r="A369" s="21">
        <f ca="1">Calc!L369</f>
        <v>25.044024182297321</v>
      </c>
      <c r="B369" s="22" t="str">
        <f ca="1">Calc!K369</f>
        <v>26.100 || 619.000</v>
      </c>
      <c r="C369" s="39">
        <f ca="1">Calc!M369</f>
        <v>0.17609672918928254</v>
      </c>
      <c r="D369" s="59" t="str">
        <f ca="1">IF(C369=0,"Exact",IF(C369&lt;=Calc!$D$4,"Nice",""))</f>
        <v>Nice</v>
      </c>
      <c r="E369" s="60"/>
      <c r="F369" s="24">
        <v>369</v>
      </c>
    </row>
    <row r="370" spans="1:6" hidden="1" x14ac:dyDescent="0.25">
      <c r="A370" s="21">
        <f ca="1">Calc!L370</f>
        <v>25.044024182297321</v>
      </c>
      <c r="B370" s="22" t="str">
        <f ca="1">Calc!K370</f>
        <v>26.100 || 619.000</v>
      </c>
      <c r="C370" s="39">
        <f ca="1">Calc!M370</f>
        <v>0.17609672918928254</v>
      </c>
      <c r="D370" s="59" t="str">
        <f ca="1">IF(C370=0,"Exact",IF(C370&lt;=Calc!$D$4,"Nice",""))</f>
        <v>Nice</v>
      </c>
      <c r="E370" s="60"/>
      <c r="F370" s="24">
        <v>370</v>
      </c>
    </row>
    <row r="371" spans="1:6" hidden="1" x14ac:dyDescent="0.25">
      <c r="A371" s="21">
        <f ca="1">Calc!L371</f>
        <v>25.044024182297321</v>
      </c>
      <c r="B371" s="22" t="str">
        <f ca="1">Calc!K371</f>
        <v>26.100 || 619.000</v>
      </c>
      <c r="C371" s="39">
        <f ca="1">Calc!M371</f>
        <v>0.17609672918928254</v>
      </c>
      <c r="D371" s="59" t="str">
        <f ca="1">IF(C371=0,"Exact",IF(C371&lt;=Calc!$D$4,"Nice",""))</f>
        <v>Nice</v>
      </c>
      <c r="E371" s="60"/>
      <c r="F371" s="24">
        <v>371</v>
      </c>
    </row>
    <row r="372" spans="1:6" hidden="1" x14ac:dyDescent="0.25">
      <c r="A372" s="21">
        <f ca="1">Calc!L372</f>
        <v>25.044024182297321</v>
      </c>
      <c r="B372" s="22" t="str">
        <f ca="1">Calc!K372</f>
        <v>26.100 || 619.000</v>
      </c>
      <c r="C372" s="39">
        <f ca="1">Calc!M372</f>
        <v>0.17609672918928254</v>
      </c>
      <c r="D372" s="59" t="str">
        <f ca="1">IF(C372=0,"Exact",IF(C372&lt;=Calc!$D$4,"Nice",""))</f>
        <v>Nice</v>
      </c>
      <c r="E372" s="60"/>
      <c r="F372" s="24">
        <v>372</v>
      </c>
    </row>
    <row r="373" spans="1:6" x14ac:dyDescent="0.25">
      <c r="A373" s="21">
        <f ca="1">Calc!L173</f>
        <v>25.220000000000002</v>
      </c>
      <c r="B373" s="22" t="str">
        <f ca="1">Calc!K173</f>
        <v>5.620 + 19.600</v>
      </c>
      <c r="C373" s="39">
        <f ca="1">Calc!M173</f>
        <v>0.88000000000000966</v>
      </c>
      <c r="D373" s="59" t="str">
        <f ca="1">IF(C373=0,"Exact",IF(C373&lt;=Calc!$D$4,"Nice",""))</f>
        <v/>
      </c>
      <c r="E373" s="60"/>
      <c r="F373" s="24">
        <v>173</v>
      </c>
    </row>
    <row r="374" spans="1:6" ht="15.75" hidden="1" thickBot="1" x14ac:dyDescent="0.3">
      <c r="A374" s="21">
        <f ca="1">Calc!L374</f>
        <v>25.136614340263051</v>
      </c>
      <c r="B374" s="22" t="str">
        <f ca="1">Calc!K374</f>
        <v>26.100 || 681.000</v>
      </c>
      <c r="C374" s="39">
        <f ca="1">Calc!M374</f>
        <v>0.54645736105220521</v>
      </c>
      <c r="D374" s="59" t="str">
        <f ca="1">IF(C374=0,"Exact",IF(C374&lt;=Calc!$D$4,"Nice",""))</f>
        <v/>
      </c>
      <c r="E374" s="60"/>
      <c r="F374" s="24">
        <v>374</v>
      </c>
    </row>
    <row r="375" spans="1:6" hidden="1" x14ac:dyDescent="0.25">
      <c r="A375" s="21">
        <f ca="1">Calc!L375</f>
        <v>25.136614340263051</v>
      </c>
      <c r="B375" s="22" t="str">
        <f ca="1">Calc!K375</f>
        <v>26.100 || 681.000</v>
      </c>
      <c r="C375" s="39">
        <f ca="1">Calc!M375</f>
        <v>0.54645736105220521</v>
      </c>
      <c r="D375" s="59" t="str">
        <f ca="1">IF(C375=0,"Exact",IF(C375&lt;=Calc!$D$4,"Nice",""))</f>
        <v/>
      </c>
      <c r="E375" s="60"/>
      <c r="F375" s="24">
        <v>375</v>
      </c>
    </row>
    <row r="376" spans="1:6" hidden="1" x14ac:dyDescent="0.25">
      <c r="A376" s="21">
        <f ca="1">Calc!L376</f>
        <v>25.136614340263051</v>
      </c>
      <c r="B376" s="22" t="str">
        <f ca="1">Calc!K376</f>
        <v>26.100 || 681.000</v>
      </c>
      <c r="C376" s="39">
        <f ca="1">Calc!M376</f>
        <v>0.54645736105220521</v>
      </c>
      <c r="D376" s="59" t="str">
        <f ca="1">IF(C376=0,"Exact",IF(C376&lt;=Calc!$D$4,"Nice",""))</f>
        <v/>
      </c>
      <c r="E376" s="60"/>
      <c r="F376" s="24">
        <v>376</v>
      </c>
    </row>
    <row r="377" spans="1:6" ht="15.75" thickBot="1" x14ac:dyDescent="0.3">
      <c r="A377" s="21">
        <f ca="1">Calc!L377</f>
        <v>25.22226517201392</v>
      </c>
      <c r="B377" s="22" t="str">
        <f ca="1">Calc!K377</f>
        <v>26.100 || 750.000</v>
      </c>
      <c r="C377" s="39">
        <f ca="1">Calc!M377</f>
        <v>0.88906068805567884</v>
      </c>
      <c r="D377" s="59" t="str">
        <f ca="1">IF(C377=0,"Exact",IF(C377&lt;=Calc!$D$4,"Nice",""))</f>
        <v/>
      </c>
      <c r="E377" s="60"/>
      <c r="F377" s="24">
        <v>377</v>
      </c>
    </row>
    <row r="378" spans="1:6" ht="15.75" hidden="1" thickBot="1" x14ac:dyDescent="0.3">
      <c r="A378" s="21">
        <f ca="1">Calc!L378</f>
        <v>25.22226517201392</v>
      </c>
      <c r="B378" s="22" t="str">
        <f ca="1">Calc!K378</f>
        <v>26.100 || 750.000</v>
      </c>
      <c r="C378" s="39">
        <f ca="1">Calc!M378</f>
        <v>0.88906068805567884</v>
      </c>
      <c r="D378" s="59" t="str">
        <f ca="1">IF(C378=0,"Exact",IF(C378&lt;=Calc!$D$4,"Nice",""))</f>
        <v/>
      </c>
      <c r="E378" s="60"/>
      <c r="F378" s="24">
        <v>378</v>
      </c>
    </row>
    <row r="379" spans="1:6" hidden="1" x14ac:dyDescent="0.25">
      <c r="A379" s="21">
        <f ca="1">Calc!L379</f>
        <v>25.22226517201392</v>
      </c>
      <c r="B379" s="22" t="str">
        <f ca="1">Calc!K379</f>
        <v>26.100 || 750.000</v>
      </c>
      <c r="C379" s="39">
        <f ca="1">Calc!M379</f>
        <v>0.88906068805567884</v>
      </c>
      <c r="D379" s="59" t="str">
        <f ca="1">IF(C379=0,"Exact",IF(C379&lt;=Calc!$D$4,"Nice",""))</f>
        <v/>
      </c>
      <c r="E379" s="60"/>
      <c r="F379" s="24">
        <v>379</v>
      </c>
    </row>
    <row r="380" spans="1:6" hidden="1" x14ac:dyDescent="0.25">
      <c r="A380" s="21">
        <f ca="1">Calc!L380</f>
        <v>25.22226517201392</v>
      </c>
      <c r="B380" s="22" t="str">
        <f ca="1">Calc!K380</f>
        <v>26.100 || 750.000</v>
      </c>
      <c r="C380" s="39">
        <f ca="1">Calc!M380</f>
        <v>0.88906068805567884</v>
      </c>
      <c r="D380" s="59" t="str">
        <f ca="1">IF(C380=0,"Exact",IF(C380&lt;=Calc!$D$4,"Nice",""))</f>
        <v/>
      </c>
      <c r="E380" s="60"/>
      <c r="F380" s="24">
        <v>380</v>
      </c>
    </row>
    <row r="381" spans="1:6" hidden="1" x14ac:dyDescent="0.25">
      <c r="A381" s="21" t="str">
        <f ca="1">Calc!L381</f>
        <v/>
      </c>
      <c r="B381" s="22" t="str">
        <f ca="1">Calc!K381</f>
        <v/>
      </c>
      <c r="C381" s="39">
        <f ca="1">Calc!M381</f>
        <v>995</v>
      </c>
      <c r="D381" s="59" t="str">
        <f ca="1">IF(C381=0,"Exact",IF(C381&lt;=Calc!$D$4,"Nice",""))</f>
        <v/>
      </c>
      <c r="E381" s="60"/>
      <c r="F381" s="24">
        <v>381</v>
      </c>
    </row>
    <row r="382" spans="1:6" hidden="1" x14ac:dyDescent="0.25">
      <c r="A382" s="21" t="str">
        <f ca="1">Calc!L382</f>
        <v/>
      </c>
      <c r="B382" s="22" t="str">
        <f ca="1">Calc!K382</f>
        <v/>
      </c>
      <c r="C382" s="39">
        <f ca="1">Calc!M382</f>
        <v>995</v>
      </c>
      <c r="D382" s="59" t="str">
        <f ca="1">IF(C382=0,"Exact",IF(C382&lt;=Calc!$D$4,"Nice",""))</f>
        <v/>
      </c>
      <c r="E382" s="60"/>
      <c r="F382" s="24">
        <v>382</v>
      </c>
    </row>
    <row r="383" spans="1:6" hidden="1" x14ac:dyDescent="0.25">
      <c r="A383" s="21" t="str">
        <f ca="1">Calc!L383</f>
        <v/>
      </c>
      <c r="B383" s="22" t="str">
        <f ca="1">Calc!K383</f>
        <v/>
      </c>
      <c r="C383" s="39">
        <f ca="1">Calc!M383</f>
        <v>995</v>
      </c>
      <c r="D383" s="59" t="str">
        <f ca="1">IF(C383=0,"Exact",IF(C383&lt;=Calc!$D$4,"Nice",""))</f>
        <v/>
      </c>
      <c r="E383" s="60"/>
      <c r="F383" s="24">
        <v>383</v>
      </c>
    </row>
    <row r="384" spans="1:6" hidden="1" x14ac:dyDescent="0.25">
      <c r="A384" s="21" t="str">
        <f ca="1">Calc!L384</f>
        <v/>
      </c>
      <c r="B384" s="22" t="str">
        <f ca="1">Calc!K384</f>
        <v/>
      </c>
      <c r="C384" s="39">
        <f ca="1">Calc!M384</f>
        <v>995</v>
      </c>
      <c r="D384" s="59" t="str">
        <f ca="1">IF(C384=0,"Exact",IF(C384&lt;=Calc!$D$4,"Nice",""))</f>
        <v/>
      </c>
      <c r="E384" s="60"/>
      <c r="F384" s="24">
        <v>384</v>
      </c>
    </row>
    <row r="385" spans="1:6" hidden="1" x14ac:dyDescent="0.25">
      <c r="A385" s="21" t="str">
        <f ca="1">Calc!L385</f>
        <v/>
      </c>
      <c r="B385" s="22" t="str">
        <f ca="1">Calc!K385</f>
        <v/>
      </c>
      <c r="C385" s="39">
        <f ca="1">Calc!M385</f>
        <v>995</v>
      </c>
      <c r="D385" s="59" t="str">
        <f ca="1">IF(C385=0,"Exact",IF(C385&lt;=Calc!$D$4,"Nice",""))</f>
        <v/>
      </c>
      <c r="E385" s="60"/>
      <c r="F385" s="24">
        <v>385</v>
      </c>
    </row>
    <row r="386" spans="1:6" hidden="1" x14ac:dyDescent="0.25">
      <c r="A386" s="21" t="str">
        <f ca="1">Calc!L386</f>
        <v/>
      </c>
      <c r="B386" s="22" t="str">
        <f ca="1">Calc!K386</f>
        <v/>
      </c>
      <c r="C386" s="39">
        <f ca="1">Calc!M386</f>
        <v>995</v>
      </c>
      <c r="D386" s="59" t="str">
        <f ca="1">IF(C386=0,"Exact",IF(C386&lt;=Calc!$D$4,"Nice",""))</f>
        <v/>
      </c>
      <c r="E386" s="60"/>
      <c r="F386" s="24">
        <v>386</v>
      </c>
    </row>
    <row r="387" spans="1:6" hidden="1" x14ac:dyDescent="0.25">
      <c r="A387" s="21" t="str">
        <f ca="1">Calc!L387</f>
        <v/>
      </c>
      <c r="B387" s="22" t="str">
        <f ca="1">Calc!K387</f>
        <v/>
      </c>
      <c r="C387" s="39">
        <f ca="1">Calc!M387</f>
        <v>995</v>
      </c>
      <c r="D387" s="59" t="str">
        <f ca="1">IF(C387=0,"Exact",IF(C387&lt;=Calc!$D$4,"Nice",""))</f>
        <v/>
      </c>
      <c r="E387" s="60"/>
      <c r="F387" s="24">
        <v>387</v>
      </c>
    </row>
    <row r="388" spans="1:6" hidden="1" x14ac:dyDescent="0.25">
      <c r="A388" s="21" t="str">
        <f ca="1">Calc!L388</f>
        <v/>
      </c>
      <c r="B388" s="22" t="str">
        <f ca="1">Calc!K388</f>
        <v/>
      </c>
      <c r="C388" s="39">
        <f ca="1">Calc!M388</f>
        <v>995</v>
      </c>
      <c r="D388" s="59" t="str">
        <f ca="1">IF(C388=0,"Exact",IF(C388&lt;=Calc!$D$4,"Nice",""))</f>
        <v/>
      </c>
      <c r="E388" s="60"/>
      <c r="F388" s="24">
        <v>388</v>
      </c>
    </row>
    <row r="389" spans="1:6" hidden="1" x14ac:dyDescent="0.25">
      <c r="A389" s="21" t="str">
        <f ca="1">Calc!L389</f>
        <v/>
      </c>
      <c r="B389" s="22" t="str">
        <f ca="1">Calc!K389</f>
        <v/>
      </c>
      <c r="C389" s="39">
        <f ca="1">Calc!M389</f>
        <v>995</v>
      </c>
      <c r="D389" s="59" t="str">
        <f ca="1">IF(C389=0,"Exact",IF(C389&lt;=Calc!$D$4,"Nice",""))</f>
        <v/>
      </c>
      <c r="E389" s="60"/>
      <c r="F389" s="24">
        <v>389</v>
      </c>
    </row>
    <row r="390" spans="1:6" hidden="1" x14ac:dyDescent="0.25">
      <c r="A390" s="21" t="str">
        <f ca="1">Calc!L390</f>
        <v/>
      </c>
      <c r="B390" s="22" t="str">
        <f ca="1">Calc!K390</f>
        <v/>
      </c>
      <c r="C390" s="39">
        <f ca="1">Calc!M390</f>
        <v>995</v>
      </c>
      <c r="D390" s="59" t="str">
        <f ca="1">IF(C390=0,"Exact",IF(C390&lt;=Calc!$D$4,"Nice",""))</f>
        <v/>
      </c>
      <c r="E390" s="60"/>
      <c r="F390" s="24">
        <v>390</v>
      </c>
    </row>
    <row r="391" spans="1:6" hidden="1" x14ac:dyDescent="0.25">
      <c r="A391" s="21" t="str">
        <f ca="1">Calc!L391</f>
        <v/>
      </c>
      <c r="B391" s="22" t="str">
        <f ca="1">Calc!K391</f>
        <v/>
      </c>
      <c r="C391" s="39">
        <f ca="1">Calc!M391</f>
        <v>995</v>
      </c>
      <c r="D391" s="59" t="str">
        <f ca="1">IF(C391=0,"Exact",IF(C391&lt;=Calc!$D$4,"Nice",""))</f>
        <v/>
      </c>
      <c r="E391" s="60"/>
      <c r="F391" s="24">
        <v>391</v>
      </c>
    </row>
    <row r="392" spans="1:6" hidden="1" x14ac:dyDescent="0.25">
      <c r="A392" s="21" t="str">
        <f ca="1">Calc!L392</f>
        <v/>
      </c>
      <c r="B392" s="22" t="str">
        <f ca="1">Calc!K392</f>
        <v/>
      </c>
      <c r="C392" s="39">
        <f ca="1">Calc!M392</f>
        <v>995</v>
      </c>
      <c r="D392" s="59" t="str">
        <f ca="1">IF(C392=0,"Exact",IF(C392&lt;=Calc!$D$4,"Nice",""))</f>
        <v/>
      </c>
      <c r="E392" s="60"/>
      <c r="F392" s="24">
        <v>392</v>
      </c>
    </row>
    <row r="393" spans="1:6" hidden="1" x14ac:dyDescent="0.25">
      <c r="A393" s="21" t="str">
        <f ca="1">Calc!L393</f>
        <v/>
      </c>
      <c r="B393" s="22" t="str">
        <f ca="1">Calc!K393</f>
        <v/>
      </c>
      <c r="C393" s="39">
        <f ca="1">Calc!M393</f>
        <v>995</v>
      </c>
      <c r="D393" s="59" t="str">
        <f ca="1">IF(C393=0,"Exact",IF(C393&lt;=Calc!$D$4,"Nice",""))</f>
        <v/>
      </c>
      <c r="E393" s="60"/>
      <c r="F393" s="24">
        <v>393</v>
      </c>
    </row>
    <row r="394" spans="1:6" hidden="1" x14ac:dyDescent="0.25">
      <c r="A394" s="21" t="str">
        <f ca="1">Calc!L394</f>
        <v/>
      </c>
      <c r="B394" s="22" t="str">
        <f ca="1">Calc!K394</f>
        <v/>
      </c>
      <c r="C394" s="39">
        <f ca="1">Calc!M394</f>
        <v>995</v>
      </c>
      <c r="D394" s="59" t="str">
        <f ca="1">IF(C394=0,"Exact",IF(C394&lt;=Calc!$D$4,"Nice",""))</f>
        <v/>
      </c>
      <c r="E394" s="60"/>
      <c r="F394" s="24">
        <v>394</v>
      </c>
    </row>
    <row r="395" spans="1:6" hidden="1" x14ac:dyDescent="0.25">
      <c r="A395" s="21" t="str">
        <f ca="1">Calc!L395</f>
        <v/>
      </c>
      <c r="B395" s="22" t="str">
        <f ca="1">Calc!K395</f>
        <v/>
      </c>
      <c r="C395" s="39">
        <f ca="1">Calc!M395</f>
        <v>995</v>
      </c>
      <c r="D395" s="59" t="str">
        <f ca="1">IF(C395=0,"Exact",IF(C395&lt;=Calc!$D$4,"Nice",""))</f>
        <v/>
      </c>
      <c r="E395" s="60"/>
      <c r="F395" s="24">
        <v>395</v>
      </c>
    </row>
    <row r="396" spans="1:6" hidden="1" x14ac:dyDescent="0.25">
      <c r="A396" s="21" t="str">
        <f ca="1">Calc!L396</f>
        <v/>
      </c>
      <c r="B396" s="22" t="str">
        <f ca="1">Calc!K396</f>
        <v/>
      </c>
      <c r="C396" s="39">
        <f ca="1">Calc!M396</f>
        <v>995</v>
      </c>
      <c r="D396" s="59" t="str">
        <f ca="1">IF(C396=0,"Exact",IF(C396&lt;=Calc!$D$4,"Nice",""))</f>
        <v/>
      </c>
      <c r="E396" s="60"/>
      <c r="F396" s="24">
        <v>396</v>
      </c>
    </row>
    <row r="397" spans="1:6" hidden="1" x14ac:dyDescent="0.25">
      <c r="A397" s="21" t="str">
        <f ca="1">Calc!L397</f>
        <v/>
      </c>
      <c r="B397" s="22" t="str">
        <f ca="1">Calc!K397</f>
        <v/>
      </c>
      <c r="C397" s="39">
        <f ca="1">Calc!M397</f>
        <v>995</v>
      </c>
      <c r="D397" s="59" t="str">
        <f ca="1">IF(C397=0,"Exact",IF(C397&lt;=Calc!$D$4,"Nice",""))</f>
        <v/>
      </c>
      <c r="E397" s="60"/>
      <c r="F397" s="24">
        <v>397</v>
      </c>
    </row>
    <row r="398" spans="1:6" hidden="1" x14ac:dyDescent="0.25">
      <c r="A398" s="21" t="str">
        <f ca="1">Calc!L398</f>
        <v/>
      </c>
      <c r="B398" s="22" t="str">
        <f ca="1">Calc!K398</f>
        <v/>
      </c>
      <c r="C398" s="39">
        <f ca="1">Calc!M398</f>
        <v>995</v>
      </c>
      <c r="D398" s="59" t="str">
        <f ca="1">IF(C398=0,"Exact",IF(C398&lt;=Calc!$D$4,"Nice",""))</f>
        <v/>
      </c>
      <c r="E398" s="60"/>
      <c r="F398" s="24">
        <v>398</v>
      </c>
    </row>
    <row r="399" spans="1:6" hidden="1" x14ac:dyDescent="0.25">
      <c r="A399" s="21" t="str">
        <f ca="1">Calc!L399</f>
        <v/>
      </c>
      <c r="B399" s="22" t="str">
        <f ca="1">Calc!K399</f>
        <v/>
      </c>
      <c r="C399" s="39">
        <f ca="1">Calc!M399</f>
        <v>995</v>
      </c>
      <c r="D399" s="59" t="str">
        <f ca="1">IF(C399=0,"Exact",IF(C399&lt;=Calc!$D$4,"Nice",""))</f>
        <v/>
      </c>
      <c r="E399" s="60"/>
      <c r="F399" s="24">
        <v>399</v>
      </c>
    </row>
    <row r="400" spans="1:6" hidden="1" x14ac:dyDescent="0.25">
      <c r="A400" s="21" t="str">
        <f ca="1">Calc!L400</f>
        <v/>
      </c>
      <c r="B400" s="22" t="str">
        <f ca="1">Calc!K400</f>
        <v/>
      </c>
      <c r="C400" s="39">
        <f ca="1">Calc!M400</f>
        <v>995</v>
      </c>
      <c r="D400" s="59" t="str">
        <f ca="1">IF(C400=0,"Exact",IF(C400&lt;=Calc!$D$4,"Nice",""))</f>
        <v/>
      </c>
      <c r="E400" s="60"/>
      <c r="F400" s="24">
        <v>400</v>
      </c>
    </row>
    <row r="401" spans="1:6" hidden="1" x14ac:dyDescent="0.25">
      <c r="A401" s="21" t="str">
        <f ca="1">Calc!L401</f>
        <v/>
      </c>
      <c r="B401" s="22" t="str">
        <f ca="1">Calc!K401</f>
        <v/>
      </c>
      <c r="C401" s="39">
        <f ca="1">Calc!M401</f>
        <v>995</v>
      </c>
      <c r="D401" s="59" t="str">
        <f ca="1">IF(C401=0,"Exact",IF(C401&lt;=Calc!$D$4,"Nice",""))</f>
        <v/>
      </c>
      <c r="E401" s="60"/>
      <c r="F401" s="24">
        <v>401</v>
      </c>
    </row>
    <row r="402" spans="1:6" hidden="1" x14ac:dyDescent="0.25">
      <c r="A402" s="21" t="str">
        <f ca="1">Calc!L402</f>
        <v/>
      </c>
      <c r="B402" s="22" t="str">
        <f ca="1">Calc!K402</f>
        <v/>
      </c>
      <c r="C402" s="39">
        <f ca="1">Calc!M402</f>
        <v>995</v>
      </c>
      <c r="D402" s="59" t="str">
        <f ca="1">IF(C402=0,"Exact",IF(C402&lt;=Calc!$D$4,"Nice",""))</f>
        <v/>
      </c>
      <c r="E402" s="60"/>
      <c r="F402" s="24">
        <v>402</v>
      </c>
    </row>
    <row r="403" spans="1:6" hidden="1" x14ac:dyDescent="0.25">
      <c r="A403" s="21" t="str">
        <f ca="1">Calc!L403</f>
        <v/>
      </c>
      <c r="B403" s="22" t="str">
        <f ca="1">Calc!K403</f>
        <v/>
      </c>
      <c r="C403" s="39">
        <f ca="1">Calc!M403</f>
        <v>995</v>
      </c>
      <c r="D403" s="59" t="str">
        <f ca="1">IF(C403=0,"Exact",IF(C403&lt;=Calc!$D$4,"Nice",""))</f>
        <v/>
      </c>
      <c r="E403" s="60"/>
      <c r="F403" s="24">
        <v>403</v>
      </c>
    </row>
    <row r="404" spans="1:6" hidden="1" x14ac:dyDescent="0.25">
      <c r="A404" s="21" t="str">
        <f ca="1">Calc!L404</f>
        <v/>
      </c>
      <c r="B404" s="22" t="str">
        <f ca="1">Calc!K404</f>
        <v/>
      </c>
      <c r="C404" s="39">
        <f ca="1">Calc!M404</f>
        <v>995</v>
      </c>
      <c r="D404" s="59" t="str">
        <f ca="1">IF(C404=0,"Exact",IF(C404&lt;=Calc!$D$4,"Nice",""))</f>
        <v/>
      </c>
      <c r="E404" s="60"/>
      <c r="F404" s="24">
        <v>404</v>
      </c>
    </row>
    <row r="405" spans="1:6" hidden="1" x14ac:dyDescent="0.25">
      <c r="A405" s="21" t="str">
        <f ca="1">Calc!L405</f>
        <v/>
      </c>
      <c r="B405" s="22" t="str">
        <f ca="1">Calc!K405</f>
        <v/>
      </c>
      <c r="C405" s="39">
        <f ca="1">Calc!M405</f>
        <v>995</v>
      </c>
      <c r="D405" s="59" t="str">
        <f ca="1">IF(C405=0,"Exact",IF(C405&lt;=Calc!$D$4,"Nice",""))</f>
        <v/>
      </c>
      <c r="E405" s="60"/>
      <c r="F405" s="24">
        <v>405</v>
      </c>
    </row>
    <row r="406" spans="1:6" hidden="1" x14ac:dyDescent="0.25">
      <c r="A406" s="21" t="str">
        <f ca="1">Calc!L406</f>
        <v/>
      </c>
      <c r="B406" s="22" t="str">
        <f ca="1">Calc!K406</f>
        <v/>
      </c>
      <c r="C406" s="39">
        <f ca="1">Calc!M406</f>
        <v>995</v>
      </c>
      <c r="D406" s="59" t="str">
        <f ca="1">IF(C406=0,"Exact",IF(C406&lt;=Calc!$D$4,"Nice",""))</f>
        <v/>
      </c>
      <c r="E406" s="60"/>
      <c r="F406" s="24">
        <v>406</v>
      </c>
    </row>
    <row r="407" spans="1:6" hidden="1" x14ac:dyDescent="0.25">
      <c r="A407" s="21" t="str">
        <f ca="1">Calc!L407</f>
        <v/>
      </c>
      <c r="B407" s="22" t="str">
        <f ca="1">Calc!K407</f>
        <v/>
      </c>
      <c r="C407" s="39">
        <f ca="1">Calc!M407</f>
        <v>995</v>
      </c>
      <c r="D407" s="59" t="str">
        <f ca="1">IF(C407=0,"Exact",IF(C407&lt;=Calc!$D$4,"Nice",""))</f>
        <v/>
      </c>
      <c r="E407" s="60"/>
      <c r="F407" s="24">
        <v>407</v>
      </c>
    </row>
    <row r="408" spans="1:6" hidden="1" x14ac:dyDescent="0.25">
      <c r="A408" s="21" t="str">
        <f ca="1">Calc!L408</f>
        <v/>
      </c>
      <c r="B408" s="22" t="str">
        <f ca="1">Calc!K408</f>
        <v/>
      </c>
      <c r="C408" s="39">
        <f ca="1">Calc!M408</f>
        <v>995</v>
      </c>
      <c r="D408" s="59" t="str">
        <f ca="1">IF(C408=0,"Exact",IF(C408&lt;=Calc!$D$4,"Nice",""))</f>
        <v/>
      </c>
      <c r="E408" s="60"/>
      <c r="F408" s="24">
        <v>408</v>
      </c>
    </row>
    <row r="409" spans="1:6" hidden="1" x14ac:dyDescent="0.25">
      <c r="A409" s="21" t="str">
        <f ca="1">Calc!L409</f>
        <v/>
      </c>
      <c r="B409" s="22" t="str">
        <f ca="1">Calc!K409</f>
        <v/>
      </c>
      <c r="C409" s="39">
        <f ca="1">Calc!M409</f>
        <v>995</v>
      </c>
      <c r="D409" s="59" t="str">
        <f ca="1">IF(C409=0,"Exact",IF(C409&lt;=Calc!$D$4,"Nice",""))</f>
        <v/>
      </c>
      <c r="E409" s="60"/>
      <c r="F409" s="24">
        <v>409</v>
      </c>
    </row>
    <row r="410" spans="1:6" hidden="1" x14ac:dyDescent="0.25">
      <c r="A410" s="21" t="str">
        <f ca="1">Calc!L410</f>
        <v/>
      </c>
      <c r="B410" s="22" t="str">
        <f ca="1">Calc!K410</f>
        <v/>
      </c>
      <c r="C410" s="39">
        <f ca="1">Calc!M410</f>
        <v>995</v>
      </c>
      <c r="D410" s="59" t="str">
        <f ca="1">IF(C410=0,"Exact",IF(C410&lt;=Calc!$D$4,"Nice",""))</f>
        <v/>
      </c>
      <c r="E410" s="60"/>
      <c r="F410" s="24">
        <v>410</v>
      </c>
    </row>
    <row r="411" spans="1:6" hidden="1" x14ac:dyDescent="0.25">
      <c r="A411" s="21" t="str">
        <f ca="1">Calc!L411</f>
        <v/>
      </c>
      <c r="B411" s="22" t="str">
        <f ca="1">Calc!K411</f>
        <v/>
      </c>
      <c r="C411" s="39">
        <f ca="1">Calc!M411</f>
        <v>995</v>
      </c>
      <c r="D411" s="59" t="str">
        <f ca="1">IF(C411=0,"Exact",IF(C411&lt;=Calc!$D$4,"Nice",""))</f>
        <v/>
      </c>
      <c r="E411" s="60"/>
      <c r="F411" s="24">
        <v>411</v>
      </c>
    </row>
    <row r="412" spans="1:6" hidden="1" x14ac:dyDescent="0.25">
      <c r="A412" s="21" t="str">
        <f ca="1">Calc!L412</f>
        <v/>
      </c>
      <c r="B412" s="22" t="str">
        <f ca="1">Calc!K412</f>
        <v/>
      </c>
      <c r="C412" s="39">
        <f ca="1">Calc!M412</f>
        <v>995</v>
      </c>
      <c r="D412" s="59" t="str">
        <f ca="1">IF(C412=0,"Exact",IF(C412&lt;=Calc!$D$4,"Nice",""))</f>
        <v/>
      </c>
      <c r="E412" s="60"/>
      <c r="F412" s="24">
        <v>412</v>
      </c>
    </row>
    <row r="413" spans="1:6" hidden="1" x14ac:dyDescent="0.25">
      <c r="A413" s="21" t="str">
        <f ca="1">Calc!L413</f>
        <v/>
      </c>
      <c r="B413" s="22" t="str">
        <f ca="1">Calc!K413</f>
        <v/>
      </c>
      <c r="C413" s="39">
        <f ca="1">Calc!M413</f>
        <v>995</v>
      </c>
      <c r="D413" s="59" t="str">
        <f ca="1">IF(C413=0,"Exact",IF(C413&lt;=Calc!$D$4,"Nice",""))</f>
        <v/>
      </c>
      <c r="E413" s="60"/>
      <c r="F413" s="24">
        <v>413</v>
      </c>
    </row>
    <row r="414" spans="1:6" hidden="1" x14ac:dyDescent="0.25">
      <c r="A414" s="21" t="str">
        <f ca="1">Calc!L414</f>
        <v/>
      </c>
      <c r="B414" s="22" t="str">
        <f ca="1">Calc!K414</f>
        <v/>
      </c>
      <c r="C414" s="39">
        <f ca="1">Calc!M414</f>
        <v>995</v>
      </c>
      <c r="D414" s="59" t="str">
        <f ca="1">IF(C414=0,"Exact",IF(C414&lt;=Calc!$D$4,"Nice",""))</f>
        <v/>
      </c>
      <c r="E414" s="60"/>
      <c r="F414" s="24">
        <v>414</v>
      </c>
    </row>
    <row r="415" spans="1:6" hidden="1" x14ac:dyDescent="0.25">
      <c r="A415" s="21" t="str">
        <f ca="1">Calc!L415</f>
        <v/>
      </c>
      <c r="B415" s="22" t="str">
        <f ca="1">Calc!K415</f>
        <v/>
      </c>
      <c r="C415" s="39">
        <f ca="1">Calc!M415</f>
        <v>995</v>
      </c>
      <c r="D415" s="59" t="str">
        <f ca="1">IF(C415=0,"Exact",IF(C415&lt;=Calc!$D$4,"Nice",""))</f>
        <v/>
      </c>
      <c r="E415" s="60"/>
      <c r="F415" s="24">
        <v>415</v>
      </c>
    </row>
    <row r="416" spans="1:6" hidden="1" x14ac:dyDescent="0.25">
      <c r="A416" s="21" t="str">
        <f ca="1">Calc!L416</f>
        <v/>
      </c>
      <c r="B416" s="22" t="str">
        <f ca="1">Calc!K416</f>
        <v/>
      </c>
      <c r="C416" s="39">
        <f ca="1">Calc!M416</f>
        <v>995</v>
      </c>
      <c r="D416" s="59" t="str">
        <f ca="1">IF(C416=0,"Exact",IF(C416&lt;=Calc!$D$4,"Nice",""))</f>
        <v/>
      </c>
      <c r="E416" s="60"/>
      <c r="F416" s="24">
        <v>416</v>
      </c>
    </row>
    <row r="417" spans="1:6" hidden="1" x14ac:dyDescent="0.25">
      <c r="A417" s="21" t="str">
        <f ca="1">Calc!L417</f>
        <v/>
      </c>
      <c r="B417" s="22" t="str">
        <f ca="1">Calc!K417</f>
        <v/>
      </c>
      <c r="C417" s="39">
        <f ca="1">Calc!M417</f>
        <v>995</v>
      </c>
      <c r="D417" s="59" t="str">
        <f ca="1">IF(C417=0,"Exact",IF(C417&lt;=Calc!$D$4,"Nice",""))</f>
        <v/>
      </c>
      <c r="E417" s="60"/>
      <c r="F417" s="24">
        <v>417</v>
      </c>
    </row>
    <row r="418" spans="1:6" hidden="1" x14ac:dyDescent="0.25">
      <c r="A418" s="21" t="str">
        <f ca="1">Calc!L418</f>
        <v/>
      </c>
      <c r="B418" s="22" t="str">
        <f ca="1">Calc!K418</f>
        <v/>
      </c>
      <c r="C418" s="39">
        <f ca="1">Calc!M418</f>
        <v>995</v>
      </c>
      <c r="D418" s="59" t="str">
        <f ca="1">IF(C418=0,"Exact",IF(C418&lt;=Calc!$D$4,"Nice",""))</f>
        <v/>
      </c>
      <c r="E418" s="60"/>
      <c r="F418" s="24">
        <v>418</v>
      </c>
    </row>
    <row r="419" spans="1:6" hidden="1" x14ac:dyDescent="0.25">
      <c r="A419" s="21" t="str">
        <f ca="1">Calc!L419</f>
        <v/>
      </c>
      <c r="B419" s="22" t="str">
        <f ca="1">Calc!K419</f>
        <v/>
      </c>
      <c r="C419" s="39">
        <f ca="1">Calc!M419</f>
        <v>995</v>
      </c>
      <c r="D419" s="59" t="str">
        <f ca="1">IF(C419=0,"Exact",IF(C419&lt;=Calc!$D$4,"Nice",""))</f>
        <v/>
      </c>
      <c r="E419" s="60"/>
      <c r="F419" s="24">
        <v>419</v>
      </c>
    </row>
    <row r="420" spans="1:6" hidden="1" x14ac:dyDescent="0.25">
      <c r="A420" s="21" t="str">
        <f ca="1">Calc!L420</f>
        <v/>
      </c>
      <c r="B420" s="22" t="str">
        <f ca="1">Calc!K420</f>
        <v/>
      </c>
      <c r="C420" s="39">
        <f ca="1">Calc!M420</f>
        <v>995</v>
      </c>
      <c r="D420" s="59" t="str">
        <f ca="1">IF(C420=0,"Exact",IF(C420&lt;=Calc!$D$4,"Nice",""))</f>
        <v/>
      </c>
      <c r="E420" s="60"/>
      <c r="F420" s="24">
        <v>420</v>
      </c>
    </row>
    <row r="421" spans="1:6" hidden="1" x14ac:dyDescent="0.25">
      <c r="A421" s="21" t="str">
        <f ca="1">Calc!L421</f>
        <v/>
      </c>
      <c r="B421" s="22" t="str">
        <f ca="1">Calc!K421</f>
        <v/>
      </c>
      <c r="C421" s="39">
        <f ca="1">Calc!M421</f>
        <v>995</v>
      </c>
      <c r="D421" s="59" t="str">
        <f ca="1">IF(C421=0,"Exact",IF(C421&lt;=Calc!$D$4,"Nice",""))</f>
        <v/>
      </c>
      <c r="E421" s="60"/>
      <c r="F421" s="24">
        <v>421</v>
      </c>
    </row>
    <row r="422" spans="1:6" hidden="1" x14ac:dyDescent="0.25">
      <c r="A422" s="21" t="str">
        <f ca="1">Calc!L422</f>
        <v/>
      </c>
      <c r="B422" s="22" t="str">
        <f ca="1">Calc!K422</f>
        <v/>
      </c>
      <c r="C422" s="39">
        <f ca="1">Calc!M422</f>
        <v>995</v>
      </c>
      <c r="D422" s="59" t="str">
        <f ca="1">IF(C422=0,"Exact",IF(C422&lt;=Calc!$D$4,"Nice",""))</f>
        <v/>
      </c>
      <c r="E422" s="60"/>
      <c r="F422" s="24">
        <v>422</v>
      </c>
    </row>
    <row r="423" spans="1:6" hidden="1" x14ac:dyDescent="0.25">
      <c r="A423" s="21" t="str">
        <f ca="1">Calc!L423</f>
        <v/>
      </c>
      <c r="B423" s="22" t="str">
        <f ca="1">Calc!K423</f>
        <v/>
      </c>
      <c r="C423" s="39">
        <f ca="1">Calc!M423</f>
        <v>995</v>
      </c>
      <c r="D423" s="59" t="str">
        <f ca="1">IF(C423=0,"Exact",IF(C423&lt;=Calc!$D$4,"Nice",""))</f>
        <v/>
      </c>
      <c r="E423" s="60"/>
      <c r="F423" s="24">
        <v>423</v>
      </c>
    </row>
    <row r="424" spans="1:6" hidden="1" x14ac:dyDescent="0.25">
      <c r="A424" s="21" t="str">
        <f ca="1">Calc!L424</f>
        <v/>
      </c>
      <c r="B424" s="22" t="str">
        <f ca="1">Calc!K424</f>
        <v/>
      </c>
      <c r="C424" s="39">
        <f ca="1">Calc!M424</f>
        <v>995</v>
      </c>
      <c r="D424" s="59" t="str">
        <f ca="1">IF(C424=0,"Exact",IF(C424&lt;=Calc!$D$4,"Nice",""))</f>
        <v/>
      </c>
      <c r="E424" s="60"/>
      <c r="F424" s="24">
        <v>424</v>
      </c>
    </row>
    <row r="425" spans="1:6" hidden="1" x14ac:dyDescent="0.25">
      <c r="A425" s="21" t="str">
        <f ca="1">Calc!L425</f>
        <v/>
      </c>
      <c r="B425" s="22" t="str">
        <f ca="1">Calc!K425</f>
        <v/>
      </c>
      <c r="C425" s="39">
        <f ca="1">Calc!M425</f>
        <v>995</v>
      </c>
      <c r="D425" s="59" t="str">
        <f ca="1">IF(C425=0,"Exact",IF(C425&lt;=Calc!$D$4,"Nice",""))</f>
        <v/>
      </c>
      <c r="E425" s="60"/>
      <c r="F425" s="24">
        <v>425</v>
      </c>
    </row>
    <row r="426" spans="1:6" hidden="1" x14ac:dyDescent="0.25">
      <c r="A426" s="21" t="str">
        <f ca="1">Calc!L426</f>
        <v/>
      </c>
      <c r="B426" s="22" t="str">
        <f ca="1">Calc!K426</f>
        <v/>
      </c>
      <c r="C426" s="39">
        <f ca="1">Calc!M426</f>
        <v>995</v>
      </c>
      <c r="D426" s="59" t="str">
        <f ca="1">IF(C426=0,"Exact",IF(C426&lt;=Calc!$D$4,"Nice",""))</f>
        <v/>
      </c>
      <c r="E426" s="60"/>
      <c r="F426" s="24">
        <v>426</v>
      </c>
    </row>
    <row r="427" spans="1:6" hidden="1" x14ac:dyDescent="0.25">
      <c r="A427" s="21" t="str">
        <f ca="1">Calc!L427</f>
        <v/>
      </c>
      <c r="B427" s="22" t="str">
        <f ca="1">Calc!K427</f>
        <v/>
      </c>
      <c r="C427" s="39">
        <f ca="1">Calc!M427</f>
        <v>995</v>
      </c>
      <c r="D427" s="59" t="str">
        <f ca="1">IF(C427=0,"Exact",IF(C427&lt;=Calc!$D$4,"Nice",""))</f>
        <v/>
      </c>
      <c r="E427" s="60"/>
      <c r="F427" s="24">
        <v>427</v>
      </c>
    </row>
    <row r="428" spans="1:6" hidden="1" x14ac:dyDescent="0.25">
      <c r="A428" s="21" t="str">
        <f ca="1">Calc!L428</f>
        <v/>
      </c>
      <c r="B428" s="22" t="str">
        <f ca="1">Calc!K428</f>
        <v/>
      </c>
      <c r="C428" s="39">
        <f ca="1">Calc!M428</f>
        <v>995</v>
      </c>
      <c r="D428" s="59" t="str">
        <f ca="1">IF(C428=0,"Exact",IF(C428&lt;=Calc!$D$4,"Nice",""))</f>
        <v/>
      </c>
      <c r="E428" s="60"/>
      <c r="F428" s="24">
        <v>428</v>
      </c>
    </row>
    <row r="429" spans="1:6" hidden="1" x14ac:dyDescent="0.25">
      <c r="A429" s="21" t="str">
        <f ca="1">Calc!L429</f>
        <v/>
      </c>
      <c r="B429" s="22" t="str">
        <f ca="1">Calc!K429</f>
        <v/>
      </c>
      <c r="C429" s="39">
        <f ca="1">Calc!M429</f>
        <v>995</v>
      </c>
      <c r="D429" s="59" t="str">
        <f ca="1">IF(C429=0,"Exact",IF(C429&lt;=Calc!$D$4,"Nice",""))</f>
        <v/>
      </c>
      <c r="E429" s="60"/>
      <c r="F429" s="24">
        <v>429</v>
      </c>
    </row>
    <row r="430" spans="1:6" hidden="1" x14ac:dyDescent="0.25">
      <c r="A430" s="21" t="str">
        <f ca="1">Calc!L430</f>
        <v/>
      </c>
      <c r="B430" s="22" t="str">
        <f ca="1">Calc!K430</f>
        <v/>
      </c>
      <c r="C430" s="39">
        <f ca="1">Calc!M430</f>
        <v>995</v>
      </c>
      <c r="D430" s="59" t="str">
        <f ca="1">IF(C430=0,"Exact",IF(C430&lt;=Calc!$D$4,"Nice",""))</f>
        <v/>
      </c>
      <c r="E430" s="60"/>
      <c r="F430" s="24">
        <v>430</v>
      </c>
    </row>
    <row r="431" spans="1:6" hidden="1" x14ac:dyDescent="0.25">
      <c r="A431" s="21" t="str">
        <f ca="1">Calc!L431</f>
        <v/>
      </c>
      <c r="B431" s="22" t="str">
        <f ca="1">Calc!K431</f>
        <v/>
      </c>
      <c r="C431" s="39">
        <f ca="1">Calc!M431</f>
        <v>995</v>
      </c>
      <c r="D431" s="59" t="str">
        <f ca="1">IF(C431=0,"Exact",IF(C431&lt;=Calc!$D$4,"Nice",""))</f>
        <v/>
      </c>
      <c r="E431" s="60"/>
      <c r="F431" s="24">
        <v>431</v>
      </c>
    </row>
    <row r="432" spans="1:6" hidden="1" x14ac:dyDescent="0.25">
      <c r="A432" s="21" t="str">
        <f ca="1">Calc!L432</f>
        <v/>
      </c>
      <c r="B432" s="22" t="str">
        <f ca="1">Calc!K432</f>
        <v/>
      </c>
      <c r="C432" s="39">
        <f ca="1">Calc!M432</f>
        <v>995</v>
      </c>
      <c r="D432" s="59" t="str">
        <f ca="1">IF(C432=0,"Exact",IF(C432&lt;=Calc!$D$4,"Nice",""))</f>
        <v/>
      </c>
      <c r="E432" s="60"/>
      <c r="F432" s="24">
        <v>432</v>
      </c>
    </row>
    <row r="433" spans="1:6" hidden="1" x14ac:dyDescent="0.25">
      <c r="A433" s="21" t="str">
        <f ca="1">Calc!L433</f>
        <v/>
      </c>
      <c r="B433" s="22" t="str">
        <f ca="1">Calc!K433</f>
        <v/>
      </c>
      <c r="C433" s="39">
        <f ca="1">Calc!M433</f>
        <v>995</v>
      </c>
      <c r="D433" s="59" t="str">
        <f ca="1">IF(C433=0,"Exact",IF(C433&lt;=Calc!$D$4,"Nice",""))</f>
        <v/>
      </c>
      <c r="E433" s="60"/>
      <c r="F433" s="24">
        <v>433</v>
      </c>
    </row>
    <row r="434" spans="1:6" hidden="1" x14ac:dyDescent="0.25">
      <c r="A434" s="21" t="str">
        <f ca="1">Calc!L434</f>
        <v/>
      </c>
      <c r="B434" s="22" t="str">
        <f ca="1">Calc!K434</f>
        <v/>
      </c>
      <c r="C434" s="39">
        <f ca="1">Calc!M434</f>
        <v>995</v>
      </c>
      <c r="D434" s="59" t="str">
        <f ca="1">IF(C434=0,"Exact",IF(C434&lt;=Calc!$D$4,"Nice",""))</f>
        <v/>
      </c>
      <c r="E434" s="60"/>
      <c r="F434" s="24">
        <v>434</v>
      </c>
    </row>
    <row r="435" spans="1:6" hidden="1" x14ac:dyDescent="0.25">
      <c r="A435" s="21" t="str">
        <f ca="1">Calc!L435</f>
        <v/>
      </c>
      <c r="B435" s="22" t="str">
        <f ca="1">Calc!K435</f>
        <v/>
      </c>
      <c r="C435" s="39">
        <f ca="1">Calc!M435</f>
        <v>995</v>
      </c>
      <c r="D435" s="59" t="str">
        <f ca="1">IF(C435=0,"Exact",IF(C435&lt;=Calc!$D$4,"Nice",""))</f>
        <v/>
      </c>
      <c r="E435" s="60"/>
      <c r="F435" s="24">
        <v>435</v>
      </c>
    </row>
    <row r="436" spans="1:6" hidden="1" x14ac:dyDescent="0.25">
      <c r="A436" s="21" t="str">
        <f ca="1">Calc!L436</f>
        <v/>
      </c>
      <c r="B436" s="22" t="str">
        <f ca="1">Calc!K436</f>
        <v/>
      </c>
      <c r="C436" s="39">
        <f ca="1">Calc!M436</f>
        <v>995</v>
      </c>
      <c r="D436" s="59" t="str">
        <f ca="1">IF(C436=0,"Exact",IF(C436&lt;=Calc!$D$4,"Nice",""))</f>
        <v/>
      </c>
      <c r="E436" s="60"/>
      <c r="F436" s="24">
        <v>436</v>
      </c>
    </row>
    <row r="437" spans="1:6" hidden="1" x14ac:dyDescent="0.25">
      <c r="A437" s="21" t="str">
        <f ca="1">Calc!L437</f>
        <v/>
      </c>
      <c r="B437" s="22" t="str">
        <f ca="1">Calc!K437</f>
        <v/>
      </c>
      <c r="C437" s="39">
        <f ca="1">Calc!M437</f>
        <v>995</v>
      </c>
      <c r="D437" s="59" t="str">
        <f ca="1">IF(C437=0,"Exact",IF(C437&lt;=Calc!$D$4,"Nice",""))</f>
        <v/>
      </c>
      <c r="E437" s="60"/>
      <c r="F437" s="24">
        <v>437</v>
      </c>
    </row>
    <row r="438" spans="1:6" hidden="1" x14ac:dyDescent="0.25">
      <c r="A438" s="21" t="str">
        <f ca="1">Calc!L438</f>
        <v/>
      </c>
      <c r="B438" s="22" t="str">
        <f ca="1">Calc!K438</f>
        <v/>
      </c>
      <c r="C438" s="39">
        <f ca="1">Calc!M438</f>
        <v>995</v>
      </c>
      <c r="D438" s="59" t="str">
        <f ca="1">IF(C438=0,"Exact",IF(C438&lt;=Calc!$D$4,"Nice",""))</f>
        <v/>
      </c>
      <c r="E438" s="60"/>
      <c r="F438" s="24">
        <v>438</v>
      </c>
    </row>
    <row r="439" spans="1:6" hidden="1" x14ac:dyDescent="0.25">
      <c r="A439" s="21" t="str">
        <f ca="1">Calc!L439</f>
        <v/>
      </c>
      <c r="B439" s="22" t="str">
        <f ca="1">Calc!K439</f>
        <v/>
      </c>
      <c r="C439" s="39">
        <f ca="1">Calc!M439</f>
        <v>995</v>
      </c>
      <c r="D439" s="59" t="str">
        <f ca="1">IF(C439=0,"Exact",IF(C439&lt;=Calc!$D$4,"Nice",""))</f>
        <v/>
      </c>
      <c r="E439" s="60"/>
      <c r="F439" s="24">
        <v>439</v>
      </c>
    </row>
    <row r="440" spans="1:6" hidden="1" x14ac:dyDescent="0.25">
      <c r="A440" s="21" t="str">
        <f ca="1">Calc!L440</f>
        <v/>
      </c>
      <c r="B440" s="22" t="str">
        <f ca="1">Calc!K440</f>
        <v/>
      </c>
      <c r="C440" s="39">
        <f ca="1">Calc!M440</f>
        <v>995</v>
      </c>
      <c r="D440" s="59" t="str">
        <f ca="1">IF(C440=0,"Exact",IF(C440&lt;=Calc!$D$4,"Nice",""))</f>
        <v/>
      </c>
      <c r="E440" s="60"/>
      <c r="F440" s="24">
        <v>440</v>
      </c>
    </row>
    <row r="441" spans="1:6" hidden="1" x14ac:dyDescent="0.25">
      <c r="A441" s="21" t="str">
        <f ca="1">Calc!L441</f>
        <v/>
      </c>
      <c r="B441" s="22" t="str">
        <f ca="1">Calc!K441</f>
        <v/>
      </c>
      <c r="C441" s="39">
        <f ca="1">Calc!M441</f>
        <v>995</v>
      </c>
      <c r="D441" s="59" t="str">
        <f ca="1">IF(C441=0,"Exact",IF(C441&lt;=Calc!$D$4,"Nice",""))</f>
        <v/>
      </c>
      <c r="E441" s="60"/>
      <c r="F441" s="24">
        <v>441</v>
      </c>
    </row>
    <row r="442" spans="1:6" hidden="1" x14ac:dyDescent="0.25">
      <c r="A442" s="21" t="str">
        <f ca="1">Calc!L442</f>
        <v/>
      </c>
      <c r="B442" s="22" t="str">
        <f ca="1">Calc!K442</f>
        <v/>
      </c>
      <c r="C442" s="39">
        <f ca="1">Calc!M442</f>
        <v>995</v>
      </c>
      <c r="D442" s="59" t="str">
        <f ca="1">IF(C442=0,"Exact",IF(C442&lt;=Calc!$D$4,"Nice",""))</f>
        <v/>
      </c>
      <c r="E442" s="60"/>
      <c r="F442" s="24">
        <v>442</v>
      </c>
    </row>
    <row r="443" spans="1:6" hidden="1" x14ac:dyDescent="0.25">
      <c r="A443" s="21" t="str">
        <f ca="1">Calc!L443</f>
        <v/>
      </c>
      <c r="B443" s="22" t="str">
        <f ca="1">Calc!K443</f>
        <v/>
      </c>
      <c r="C443" s="39">
        <f ca="1">Calc!M443</f>
        <v>995</v>
      </c>
      <c r="D443" s="59" t="str">
        <f ca="1">IF(C443=0,"Exact",IF(C443&lt;=Calc!$D$4,"Nice",""))</f>
        <v/>
      </c>
      <c r="E443" s="60"/>
      <c r="F443" s="24">
        <v>443</v>
      </c>
    </row>
    <row r="444" spans="1:6" hidden="1" x14ac:dyDescent="0.25">
      <c r="A444" s="21" t="str">
        <f ca="1">Calc!L444</f>
        <v/>
      </c>
      <c r="B444" s="22" t="str">
        <f ca="1">Calc!K444</f>
        <v/>
      </c>
      <c r="C444" s="39">
        <f ca="1">Calc!M444</f>
        <v>995</v>
      </c>
      <c r="D444" s="59" t="str">
        <f ca="1">IF(C444=0,"Exact",IF(C444&lt;=Calc!$D$4,"Nice",""))</f>
        <v/>
      </c>
      <c r="E444" s="60"/>
      <c r="F444" s="24">
        <v>444</v>
      </c>
    </row>
    <row r="445" spans="1:6" hidden="1" x14ac:dyDescent="0.25">
      <c r="A445" s="21" t="str">
        <f ca="1">Calc!L445</f>
        <v/>
      </c>
      <c r="B445" s="22" t="str">
        <f ca="1">Calc!K445</f>
        <v/>
      </c>
      <c r="C445" s="39">
        <f ca="1">Calc!M445</f>
        <v>995</v>
      </c>
      <c r="D445" s="59" t="str">
        <f ca="1">IF(C445=0,"Exact",IF(C445&lt;=Calc!$D$4,"Nice",""))</f>
        <v/>
      </c>
      <c r="E445" s="60"/>
      <c r="F445" s="24">
        <v>445</v>
      </c>
    </row>
    <row r="446" spans="1:6" hidden="1" x14ac:dyDescent="0.25">
      <c r="A446" s="21" t="str">
        <f ca="1">Calc!L446</f>
        <v/>
      </c>
      <c r="B446" s="22" t="str">
        <f ca="1">Calc!K446</f>
        <v/>
      </c>
      <c r="C446" s="39">
        <f ca="1">Calc!M446</f>
        <v>995</v>
      </c>
      <c r="D446" s="59" t="str">
        <f ca="1">IF(C446=0,"Exact",IF(C446&lt;=Calc!$D$4,"Nice",""))</f>
        <v/>
      </c>
      <c r="E446" s="60"/>
      <c r="F446" s="24">
        <v>446</v>
      </c>
    </row>
    <row r="447" spans="1:6" hidden="1" x14ac:dyDescent="0.25">
      <c r="A447" s="21" t="str">
        <f ca="1">Calc!L447</f>
        <v/>
      </c>
      <c r="B447" s="22" t="str">
        <f ca="1">Calc!K447</f>
        <v/>
      </c>
      <c r="C447" s="39">
        <f ca="1">Calc!M447</f>
        <v>995</v>
      </c>
      <c r="D447" s="59" t="str">
        <f ca="1">IF(C447=0,"Exact",IF(C447&lt;=Calc!$D$4,"Nice",""))</f>
        <v/>
      </c>
      <c r="E447" s="60"/>
      <c r="F447" s="24">
        <v>447</v>
      </c>
    </row>
    <row r="448" spans="1:6" hidden="1" x14ac:dyDescent="0.25">
      <c r="A448" s="21" t="str">
        <f ca="1">Calc!L448</f>
        <v/>
      </c>
      <c r="B448" s="22" t="str">
        <f ca="1">Calc!K448</f>
        <v/>
      </c>
      <c r="C448" s="39">
        <f ca="1">Calc!M448</f>
        <v>995</v>
      </c>
      <c r="D448" s="59" t="str">
        <f ca="1">IF(C448=0,"Exact",IF(C448&lt;=Calc!$D$4,"Nice",""))</f>
        <v/>
      </c>
      <c r="E448" s="60"/>
      <c r="F448" s="24">
        <v>448</v>
      </c>
    </row>
    <row r="449" spans="1:6" ht="15.75" hidden="1" thickBot="1" x14ac:dyDescent="0.3">
      <c r="A449" s="21" t="str">
        <f ca="1">Calc!L449</f>
        <v/>
      </c>
      <c r="B449" s="22" t="str">
        <f ca="1">Calc!K449</f>
        <v/>
      </c>
      <c r="C449" s="39">
        <f ca="1">Calc!M449</f>
        <v>995</v>
      </c>
      <c r="D449" s="59" t="str">
        <f ca="1">IF(C449=0,"Exact",IF(C449&lt;=Calc!$D$4,"Nice",""))</f>
        <v/>
      </c>
      <c r="E449" s="60"/>
      <c r="F449" s="24">
        <v>449</v>
      </c>
    </row>
    <row r="450" spans="1:6" hidden="1" x14ac:dyDescent="0.25">
      <c r="A450" s="21" t="str">
        <f ca="1">Calc!L450</f>
        <v/>
      </c>
      <c r="B450" s="22" t="str">
        <f ca="1">Calc!K450</f>
        <v/>
      </c>
      <c r="C450" s="39">
        <f ca="1">Calc!M450</f>
        <v>995</v>
      </c>
      <c r="D450" s="59" t="str">
        <f ca="1">IF(C450=0,"Exact",IF(C450&lt;=Calc!$D$4,"Nice",""))</f>
        <v/>
      </c>
      <c r="E450" s="60"/>
      <c r="F450" s="24">
        <v>450</v>
      </c>
    </row>
    <row r="451" spans="1:6" hidden="1" x14ac:dyDescent="0.25">
      <c r="A451" s="21" t="str">
        <f ca="1">Calc!L451</f>
        <v/>
      </c>
      <c r="B451" s="22" t="str">
        <f ca="1">Calc!K451</f>
        <v/>
      </c>
      <c r="C451" s="39">
        <f ca="1">Calc!M451</f>
        <v>995</v>
      </c>
      <c r="D451" s="59" t="str">
        <f ca="1">IF(C451=0,"Exact",IF(C451&lt;=Calc!$D$4,"Nice",""))</f>
        <v/>
      </c>
      <c r="E451" s="60"/>
      <c r="F451" s="24">
        <v>451</v>
      </c>
    </row>
    <row r="452" spans="1:6" hidden="1" x14ac:dyDescent="0.25">
      <c r="A452" s="21" t="str">
        <f ca="1">Calc!L452</f>
        <v/>
      </c>
      <c r="B452" s="22" t="str">
        <f ca="1">Calc!K452</f>
        <v/>
      </c>
      <c r="C452" s="39">
        <f ca="1">Calc!M452</f>
        <v>995</v>
      </c>
      <c r="D452" s="59" t="str">
        <f ca="1">IF(C452=0,"Exact",IF(C452&lt;=Calc!$D$4,"Nice",""))</f>
        <v/>
      </c>
      <c r="E452" s="60"/>
      <c r="F452" s="24">
        <v>452</v>
      </c>
    </row>
    <row r="453" spans="1:6" hidden="1" x14ac:dyDescent="0.25">
      <c r="A453" s="21" t="str">
        <f ca="1">Calc!L453</f>
        <v/>
      </c>
      <c r="B453" s="22" t="str">
        <f ca="1">Calc!K453</f>
        <v/>
      </c>
      <c r="C453" s="39">
        <f ca="1">Calc!M453</f>
        <v>995</v>
      </c>
      <c r="D453" s="59" t="str">
        <f ca="1">IF(C453=0,"Exact",IF(C453&lt;=Calc!$D$4,"Nice",""))</f>
        <v/>
      </c>
      <c r="E453" s="60"/>
      <c r="F453" s="24">
        <v>453</v>
      </c>
    </row>
    <row r="454" spans="1:6" hidden="1" x14ac:dyDescent="0.25">
      <c r="A454" s="21" t="str">
        <f ca="1">Calc!L454</f>
        <v/>
      </c>
      <c r="B454" s="22" t="str">
        <f ca="1">Calc!K454</f>
        <v/>
      </c>
      <c r="C454" s="39">
        <f ca="1">Calc!M454</f>
        <v>995</v>
      </c>
      <c r="D454" s="59" t="str">
        <f ca="1">IF(C454=0,"Exact",IF(C454&lt;=Calc!$D$4,"Nice",""))</f>
        <v/>
      </c>
      <c r="E454" s="60"/>
      <c r="F454" s="24">
        <v>454</v>
      </c>
    </row>
    <row r="455" spans="1:6" hidden="1" x14ac:dyDescent="0.25">
      <c r="A455" s="21" t="str">
        <f ca="1">Calc!L455</f>
        <v/>
      </c>
      <c r="B455" s="22" t="str">
        <f ca="1">Calc!K455</f>
        <v/>
      </c>
      <c r="C455" s="39">
        <f ca="1">Calc!M455</f>
        <v>995</v>
      </c>
      <c r="D455" s="59" t="str">
        <f ca="1">IF(C455=0,"Exact",IF(C455&lt;=Calc!$D$4,"Nice",""))</f>
        <v/>
      </c>
      <c r="E455" s="60"/>
      <c r="F455" s="24">
        <v>455</v>
      </c>
    </row>
    <row r="456" spans="1:6" hidden="1" x14ac:dyDescent="0.25">
      <c r="A456" s="21" t="str">
        <f ca="1">Calc!L456</f>
        <v/>
      </c>
      <c r="B456" s="22" t="str">
        <f ca="1">Calc!K456</f>
        <v/>
      </c>
      <c r="C456" s="39">
        <f ca="1">Calc!M456</f>
        <v>995</v>
      </c>
      <c r="D456" s="59" t="str">
        <f ca="1">IF(C456=0,"Exact",IF(C456&lt;=Calc!$D$4,"Nice",""))</f>
        <v/>
      </c>
      <c r="E456" s="60"/>
      <c r="F456" s="24">
        <v>456</v>
      </c>
    </row>
    <row r="457" spans="1:6" hidden="1" x14ac:dyDescent="0.25">
      <c r="A457" s="21" t="str">
        <f ca="1">Calc!L457</f>
        <v/>
      </c>
      <c r="B457" s="22" t="str">
        <f ca="1">Calc!K457</f>
        <v/>
      </c>
      <c r="C457" s="39">
        <f ca="1">Calc!M457</f>
        <v>995</v>
      </c>
      <c r="D457" s="59" t="str">
        <f ca="1">IF(C457=0,"Exact",IF(C457&lt;=Calc!$D$4,"Nice",""))</f>
        <v/>
      </c>
      <c r="E457" s="60"/>
      <c r="F457" s="24">
        <v>457</v>
      </c>
    </row>
    <row r="458" spans="1:6" hidden="1" x14ac:dyDescent="0.25">
      <c r="A458" s="21" t="str">
        <f ca="1">Calc!L458</f>
        <v/>
      </c>
      <c r="B458" s="22" t="str">
        <f ca="1">Calc!K458</f>
        <v/>
      </c>
      <c r="C458" s="39">
        <f ca="1">Calc!M458</f>
        <v>995</v>
      </c>
      <c r="D458" s="59" t="str">
        <f ca="1">IF(C458=0,"Exact",IF(C458&lt;=Calc!$D$4,"Nice",""))</f>
        <v/>
      </c>
      <c r="E458" s="60"/>
      <c r="F458" s="24">
        <v>458</v>
      </c>
    </row>
    <row r="459" spans="1:6" hidden="1" x14ac:dyDescent="0.25">
      <c r="A459" s="21" t="str">
        <f ca="1">Calc!L459</f>
        <v/>
      </c>
      <c r="B459" s="22" t="str">
        <f ca="1">Calc!K459</f>
        <v/>
      </c>
      <c r="C459" s="39">
        <f ca="1">Calc!M459</f>
        <v>995</v>
      </c>
      <c r="D459" s="59" t="str">
        <f ca="1">IF(C459=0,"Exact",IF(C459&lt;=Calc!$D$4,"Nice",""))</f>
        <v/>
      </c>
      <c r="E459" s="60"/>
      <c r="F459" s="24">
        <v>459</v>
      </c>
    </row>
    <row r="460" spans="1:6" hidden="1" x14ac:dyDescent="0.25">
      <c r="A460" s="21" t="str">
        <f ca="1">Calc!L460</f>
        <v/>
      </c>
      <c r="B460" s="22" t="str">
        <f ca="1">Calc!K460</f>
        <v/>
      </c>
      <c r="C460" s="39">
        <f ca="1">Calc!M460</f>
        <v>995</v>
      </c>
      <c r="D460" s="59" t="str">
        <f ca="1">IF(C460=0,"Exact",IF(C460&lt;=Calc!$D$4,"Nice",""))</f>
        <v/>
      </c>
      <c r="E460" s="60"/>
      <c r="F460" s="24">
        <v>460</v>
      </c>
    </row>
    <row r="461" spans="1:6" hidden="1" x14ac:dyDescent="0.25">
      <c r="A461" s="21" t="str">
        <f ca="1">Calc!L461</f>
        <v/>
      </c>
      <c r="B461" s="22" t="str">
        <f ca="1">Calc!K461</f>
        <v/>
      </c>
      <c r="C461" s="39">
        <f ca="1">Calc!M461</f>
        <v>995</v>
      </c>
      <c r="D461" s="59" t="str">
        <f ca="1">IF(C461=0,"Exact",IF(C461&lt;=Calc!$D$4,"Nice",""))</f>
        <v/>
      </c>
      <c r="E461" s="60"/>
      <c r="F461" s="24">
        <v>461</v>
      </c>
    </row>
    <row r="462" spans="1:6" hidden="1" x14ac:dyDescent="0.25">
      <c r="A462" s="21" t="str">
        <f ca="1">Calc!L462</f>
        <v/>
      </c>
      <c r="B462" s="22" t="str">
        <f ca="1">Calc!K462</f>
        <v/>
      </c>
      <c r="C462" s="39">
        <f ca="1">Calc!M462</f>
        <v>995</v>
      </c>
      <c r="D462" s="59" t="str">
        <f ca="1">IF(C462=0,"Exact",IF(C462&lt;=Calc!$D$4,"Nice",""))</f>
        <v/>
      </c>
      <c r="E462" s="60"/>
      <c r="F462" s="24">
        <v>462</v>
      </c>
    </row>
    <row r="463" spans="1:6" hidden="1" x14ac:dyDescent="0.25">
      <c r="A463" s="21" t="str">
        <f ca="1">Calc!L463</f>
        <v/>
      </c>
      <c r="B463" s="22" t="str">
        <f ca="1">Calc!K463</f>
        <v/>
      </c>
      <c r="C463" s="39">
        <f ca="1">Calc!M463</f>
        <v>995</v>
      </c>
      <c r="D463" s="59" t="str">
        <f ca="1">IF(C463=0,"Exact",IF(C463&lt;=Calc!$D$4,"Nice",""))</f>
        <v/>
      </c>
      <c r="E463" s="60"/>
      <c r="F463" s="24">
        <v>463</v>
      </c>
    </row>
    <row r="464" spans="1:6" hidden="1" x14ac:dyDescent="0.25">
      <c r="A464" s="21" t="str">
        <f ca="1">Calc!L464</f>
        <v/>
      </c>
      <c r="B464" s="22" t="str">
        <f ca="1">Calc!K464</f>
        <v/>
      </c>
      <c r="C464" s="39">
        <f ca="1">Calc!M464</f>
        <v>995</v>
      </c>
      <c r="D464" s="59" t="str">
        <f ca="1">IF(C464=0,"Exact",IF(C464&lt;=Calc!$D$4,"Nice",""))</f>
        <v/>
      </c>
      <c r="E464" s="60"/>
      <c r="F464" s="24">
        <v>464</v>
      </c>
    </row>
    <row r="465" spans="1:6" hidden="1" x14ac:dyDescent="0.25">
      <c r="A465" s="21" t="str">
        <f ca="1">Calc!L465</f>
        <v/>
      </c>
      <c r="B465" s="22" t="str">
        <f ca="1">Calc!K465</f>
        <v/>
      </c>
      <c r="C465" s="39">
        <f ca="1">Calc!M465</f>
        <v>995</v>
      </c>
      <c r="D465" s="59" t="str">
        <f ca="1">IF(C465=0,"Exact",IF(C465&lt;=Calc!$D$4,"Nice",""))</f>
        <v/>
      </c>
      <c r="E465" s="60"/>
      <c r="F465" s="24">
        <v>465</v>
      </c>
    </row>
    <row r="466" spans="1:6" hidden="1" x14ac:dyDescent="0.25">
      <c r="A466" s="21" t="str">
        <f ca="1">Calc!L466</f>
        <v/>
      </c>
      <c r="B466" s="22" t="str">
        <f ca="1">Calc!K466</f>
        <v/>
      </c>
      <c r="C466" s="39">
        <f ca="1">Calc!M466</f>
        <v>995</v>
      </c>
      <c r="D466" s="59" t="str">
        <f ca="1">IF(C466=0,"Exact",IF(C466&lt;=Calc!$D$4,"Nice",""))</f>
        <v/>
      </c>
      <c r="E466" s="60"/>
      <c r="F466" s="24">
        <v>466</v>
      </c>
    </row>
    <row r="467" spans="1:6" hidden="1" x14ac:dyDescent="0.25">
      <c r="A467" s="21" t="str">
        <f ca="1">Calc!L467</f>
        <v/>
      </c>
      <c r="B467" s="22" t="str">
        <f ca="1">Calc!K467</f>
        <v/>
      </c>
      <c r="C467" s="39">
        <f ca="1">Calc!M467</f>
        <v>995</v>
      </c>
      <c r="D467" s="59" t="str">
        <f ca="1">IF(C467=0,"Exact",IF(C467&lt;=Calc!$D$4,"Nice",""))</f>
        <v/>
      </c>
      <c r="E467" s="60"/>
      <c r="F467" s="24">
        <v>467</v>
      </c>
    </row>
    <row r="468" spans="1:6" hidden="1" x14ac:dyDescent="0.25">
      <c r="A468" s="21" t="str">
        <f ca="1">Calc!L468</f>
        <v/>
      </c>
      <c r="B468" s="22" t="str">
        <f ca="1">Calc!K468</f>
        <v/>
      </c>
      <c r="C468" s="39">
        <f ca="1">Calc!M468</f>
        <v>995</v>
      </c>
      <c r="D468" s="59" t="str">
        <f ca="1">IF(C468=0,"Exact",IF(C468&lt;=Calc!$D$4,"Nice",""))</f>
        <v/>
      </c>
      <c r="E468" s="60"/>
      <c r="F468" s="24">
        <v>468</v>
      </c>
    </row>
    <row r="469" spans="1:6" hidden="1" x14ac:dyDescent="0.25">
      <c r="A469" s="21" t="str">
        <f ca="1">Calc!L469</f>
        <v/>
      </c>
      <c r="B469" s="22" t="str">
        <f ca="1">Calc!K469</f>
        <v/>
      </c>
      <c r="C469" s="39">
        <f ca="1">Calc!M469</f>
        <v>995</v>
      </c>
      <c r="D469" s="59" t="str">
        <f ca="1">IF(C469=0,"Exact",IF(C469&lt;=Calc!$D$4,"Nice",""))</f>
        <v/>
      </c>
      <c r="E469" s="60"/>
      <c r="F469" s="24">
        <v>469</v>
      </c>
    </row>
    <row r="470" spans="1:6" hidden="1" x14ac:dyDescent="0.25">
      <c r="A470" s="21" t="str">
        <f ca="1">Calc!L470</f>
        <v/>
      </c>
      <c r="B470" s="22" t="str">
        <f ca="1">Calc!K470</f>
        <v/>
      </c>
      <c r="C470" s="39">
        <f ca="1">Calc!M470</f>
        <v>995</v>
      </c>
      <c r="D470" s="59" t="str">
        <f ca="1">IF(C470=0,"Exact",IF(C470&lt;=Calc!$D$4,"Nice",""))</f>
        <v/>
      </c>
      <c r="E470" s="60"/>
      <c r="F470" s="24">
        <v>470</v>
      </c>
    </row>
    <row r="471" spans="1:6" hidden="1" x14ac:dyDescent="0.25">
      <c r="A471" s="21" t="str">
        <f ca="1">Calc!L471</f>
        <v/>
      </c>
      <c r="B471" s="22" t="str">
        <f ca="1">Calc!K471</f>
        <v/>
      </c>
      <c r="C471" s="39">
        <f ca="1">Calc!M471</f>
        <v>995</v>
      </c>
      <c r="D471" s="59" t="str">
        <f ca="1">IF(C471=0,"Exact",IF(C471&lt;=Calc!$D$4,"Nice",""))</f>
        <v/>
      </c>
      <c r="E471" s="60"/>
      <c r="F471" s="24">
        <v>471</v>
      </c>
    </row>
    <row r="472" spans="1:6" hidden="1" x14ac:dyDescent="0.25">
      <c r="A472" s="21" t="str">
        <f ca="1">Calc!L472</f>
        <v/>
      </c>
      <c r="B472" s="22" t="str">
        <f ca="1">Calc!K472</f>
        <v/>
      </c>
      <c r="C472" s="39">
        <f ca="1">Calc!M472</f>
        <v>995</v>
      </c>
      <c r="D472" s="59" t="str">
        <f ca="1">IF(C472=0,"Exact",IF(C472&lt;=Calc!$D$4,"Nice",""))</f>
        <v/>
      </c>
      <c r="E472" s="60"/>
      <c r="F472" s="24">
        <v>472</v>
      </c>
    </row>
    <row r="473" spans="1:6" hidden="1" x14ac:dyDescent="0.25">
      <c r="A473" s="21" t="str">
        <f ca="1">Calc!L473</f>
        <v/>
      </c>
      <c r="B473" s="22" t="str">
        <f ca="1">Calc!K473</f>
        <v/>
      </c>
      <c r="C473" s="39">
        <f ca="1">Calc!M473</f>
        <v>995</v>
      </c>
      <c r="D473" s="59" t="str">
        <f ca="1">IF(C473=0,"Exact",IF(C473&lt;=Calc!$D$4,"Nice",""))</f>
        <v/>
      </c>
      <c r="E473" s="60"/>
      <c r="F473" s="24">
        <v>473</v>
      </c>
    </row>
    <row r="474" spans="1:6" hidden="1" x14ac:dyDescent="0.25">
      <c r="A474" s="21" t="str">
        <f ca="1">Calc!L474</f>
        <v/>
      </c>
      <c r="B474" s="22" t="str">
        <f ca="1">Calc!K474</f>
        <v/>
      </c>
      <c r="C474" s="39">
        <f ca="1">Calc!M474</f>
        <v>995</v>
      </c>
      <c r="D474" s="59" t="str">
        <f ca="1">IF(C474=0,"Exact",IF(C474&lt;=Calc!$D$4,"Nice",""))</f>
        <v/>
      </c>
      <c r="E474" s="60"/>
      <c r="F474" s="24">
        <v>474</v>
      </c>
    </row>
    <row r="475" spans="1:6" hidden="1" x14ac:dyDescent="0.25">
      <c r="A475" s="21" t="str">
        <f ca="1">Calc!L475</f>
        <v/>
      </c>
      <c r="B475" s="22" t="str">
        <f ca="1">Calc!K475</f>
        <v/>
      </c>
      <c r="C475" s="39">
        <f ca="1">Calc!M475</f>
        <v>995</v>
      </c>
      <c r="D475" s="59" t="str">
        <f ca="1">IF(C475=0,"Exact",IF(C475&lt;=Calc!$D$4,"Nice",""))</f>
        <v/>
      </c>
      <c r="E475" s="60"/>
      <c r="F475" s="24">
        <v>475</v>
      </c>
    </row>
    <row r="476" spans="1:6" hidden="1" x14ac:dyDescent="0.25">
      <c r="A476" s="21" t="str">
        <f ca="1">Calc!L476</f>
        <v/>
      </c>
      <c r="B476" s="22" t="str">
        <f ca="1">Calc!K476</f>
        <v/>
      </c>
      <c r="C476" s="39">
        <f ca="1">Calc!M476</f>
        <v>995</v>
      </c>
      <c r="D476" s="59" t="str">
        <f ca="1">IF(C476=0,"Exact",IF(C476&lt;=Calc!$D$4,"Nice",""))</f>
        <v/>
      </c>
      <c r="E476" s="60"/>
      <c r="F476" s="24">
        <v>476</v>
      </c>
    </row>
    <row r="477" spans="1:6" hidden="1" x14ac:dyDescent="0.25">
      <c r="A477" s="21" t="str">
        <f ca="1">Calc!L477</f>
        <v/>
      </c>
      <c r="B477" s="22" t="str">
        <f ca="1">Calc!K477</f>
        <v/>
      </c>
      <c r="C477" s="39">
        <f ca="1">Calc!M477</f>
        <v>995</v>
      </c>
      <c r="D477" s="59" t="str">
        <f ca="1">IF(C477=0,"Exact",IF(C477&lt;=Calc!$D$4,"Nice",""))</f>
        <v/>
      </c>
      <c r="E477" s="60"/>
      <c r="F477" s="24">
        <v>477</v>
      </c>
    </row>
    <row r="478" spans="1:6" hidden="1" x14ac:dyDescent="0.25">
      <c r="A478" s="21" t="str">
        <f ca="1">Calc!L478</f>
        <v/>
      </c>
      <c r="B478" s="22" t="str">
        <f ca="1">Calc!K478</f>
        <v/>
      </c>
      <c r="C478" s="39">
        <f ca="1">Calc!M478</f>
        <v>995</v>
      </c>
      <c r="D478" s="59" t="str">
        <f ca="1">IF(C478=0,"Exact",IF(C478&lt;=Calc!$D$4,"Nice",""))</f>
        <v/>
      </c>
      <c r="E478" s="60"/>
      <c r="F478" s="24">
        <v>478</v>
      </c>
    </row>
    <row r="479" spans="1:6" hidden="1" x14ac:dyDescent="0.25">
      <c r="A479" s="21" t="str">
        <f ca="1">Calc!L479</f>
        <v/>
      </c>
      <c r="B479" s="22" t="str">
        <f ca="1">Calc!K479</f>
        <v/>
      </c>
      <c r="C479" s="39">
        <f ca="1">Calc!M479</f>
        <v>995</v>
      </c>
      <c r="D479" s="59" t="str">
        <f ca="1">IF(C479=0,"Exact",IF(C479&lt;=Calc!$D$4,"Nice",""))</f>
        <v/>
      </c>
      <c r="E479" s="60"/>
      <c r="F479" s="24">
        <v>479</v>
      </c>
    </row>
    <row r="480" spans="1:6" hidden="1" x14ac:dyDescent="0.25">
      <c r="A480" s="21" t="str">
        <f ca="1">Calc!L480</f>
        <v/>
      </c>
      <c r="B480" s="22" t="str">
        <f ca="1">Calc!K480</f>
        <v/>
      </c>
      <c r="C480" s="39">
        <f ca="1">Calc!M480</f>
        <v>995</v>
      </c>
      <c r="D480" s="59" t="str">
        <f ca="1">IF(C480=0,"Exact",IF(C480&lt;=Calc!$D$4,"Nice",""))</f>
        <v/>
      </c>
      <c r="E480" s="60"/>
      <c r="F480" s="24">
        <v>480</v>
      </c>
    </row>
    <row r="481" spans="1:6" hidden="1" x14ac:dyDescent="0.25">
      <c r="A481" s="21" t="str">
        <f ca="1">Calc!L481</f>
        <v/>
      </c>
      <c r="B481" s="22" t="str">
        <f ca="1">Calc!K481</f>
        <v/>
      </c>
      <c r="C481" s="39">
        <f ca="1">Calc!M481</f>
        <v>995</v>
      </c>
      <c r="D481" s="59" t="str">
        <f ca="1">IF(C481=0,"Exact",IF(C481&lt;=Calc!$D$4,"Nice",""))</f>
        <v/>
      </c>
      <c r="E481" s="60"/>
      <c r="F481" s="24">
        <v>481</v>
      </c>
    </row>
    <row r="482" spans="1:6" hidden="1" x14ac:dyDescent="0.25">
      <c r="A482" s="21" t="str">
        <f ca="1">Calc!L482</f>
        <v/>
      </c>
      <c r="B482" s="22" t="str">
        <f ca="1">Calc!K482</f>
        <v/>
      </c>
      <c r="C482" s="39">
        <f ca="1">Calc!M482</f>
        <v>995</v>
      </c>
      <c r="D482" s="59" t="str">
        <f ca="1">IF(C482=0,"Exact",IF(C482&lt;=Calc!$D$4,"Nice",""))</f>
        <v/>
      </c>
      <c r="E482" s="60"/>
      <c r="F482" s="24">
        <v>482</v>
      </c>
    </row>
    <row r="483" spans="1:6" hidden="1" x14ac:dyDescent="0.25">
      <c r="A483" s="21" t="str">
        <f ca="1">Calc!L483</f>
        <v/>
      </c>
      <c r="B483" s="22" t="str">
        <f ca="1">Calc!K483</f>
        <v/>
      </c>
      <c r="C483" s="39">
        <f ca="1">Calc!M483</f>
        <v>995</v>
      </c>
      <c r="D483" s="59" t="str">
        <f ca="1">IF(C483=0,"Exact",IF(C483&lt;=Calc!$D$4,"Nice",""))</f>
        <v/>
      </c>
      <c r="E483" s="60"/>
      <c r="F483" s="24">
        <v>483</v>
      </c>
    </row>
    <row r="484" spans="1:6" hidden="1" x14ac:dyDescent="0.25">
      <c r="A484" s="21" t="str">
        <f ca="1">Calc!L484</f>
        <v/>
      </c>
      <c r="B484" s="22" t="str">
        <f ca="1">Calc!K484</f>
        <v/>
      </c>
      <c r="C484" s="39">
        <f ca="1">Calc!M484</f>
        <v>995</v>
      </c>
      <c r="D484" s="59" t="str">
        <f ca="1">IF(C484=0,"Exact",IF(C484&lt;=Calc!$D$4,"Nice",""))</f>
        <v/>
      </c>
      <c r="E484" s="60"/>
      <c r="F484" s="24">
        <v>484</v>
      </c>
    </row>
    <row r="485" spans="1:6" hidden="1" x14ac:dyDescent="0.25">
      <c r="A485" s="21" t="str">
        <f ca="1">Calc!L485</f>
        <v/>
      </c>
      <c r="B485" s="22" t="str">
        <f ca="1">Calc!K485</f>
        <v/>
      </c>
      <c r="C485" s="39">
        <f ca="1">Calc!M485</f>
        <v>995</v>
      </c>
      <c r="D485" s="59" t="str">
        <f ca="1">IF(C485=0,"Exact",IF(C485&lt;=Calc!$D$4,"Nice",""))</f>
        <v/>
      </c>
      <c r="E485" s="60"/>
      <c r="F485" s="24">
        <v>485</v>
      </c>
    </row>
    <row r="486" spans="1:6" hidden="1" x14ac:dyDescent="0.25">
      <c r="A486" s="21" t="str">
        <f ca="1">Calc!L486</f>
        <v/>
      </c>
      <c r="B486" s="22" t="str">
        <f ca="1">Calc!K486</f>
        <v/>
      </c>
      <c r="C486" s="39">
        <f ca="1">Calc!M486</f>
        <v>995</v>
      </c>
      <c r="D486" s="59" t="str">
        <f ca="1">IF(C486=0,"Exact",IF(C486&lt;=Calc!$D$4,"Nice",""))</f>
        <v/>
      </c>
      <c r="E486" s="60"/>
      <c r="F486" s="24">
        <v>486</v>
      </c>
    </row>
    <row r="487" spans="1:6" hidden="1" x14ac:dyDescent="0.25">
      <c r="A487" s="21" t="str">
        <f ca="1">Calc!L487</f>
        <v/>
      </c>
      <c r="B487" s="22" t="str">
        <f ca="1">Calc!K487</f>
        <v/>
      </c>
      <c r="C487" s="39">
        <f ca="1">Calc!M487</f>
        <v>995</v>
      </c>
      <c r="D487" s="59" t="str">
        <f ca="1">IF(C487=0,"Exact",IF(C487&lt;=Calc!$D$4,"Nice",""))</f>
        <v/>
      </c>
      <c r="E487" s="60"/>
      <c r="F487" s="24">
        <v>487</v>
      </c>
    </row>
    <row r="488" spans="1:6" hidden="1" x14ac:dyDescent="0.25">
      <c r="A488" s="21" t="str">
        <f ca="1">Calc!L488</f>
        <v/>
      </c>
      <c r="B488" s="22" t="str">
        <f ca="1">Calc!K488</f>
        <v/>
      </c>
      <c r="C488" s="39">
        <f ca="1">Calc!M488</f>
        <v>995</v>
      </c>
      <c r="D488" s="59" t="str">
        <f ca="1">IF(C488=0,"Exact",IF(C488&lt;=Calc!$D$4,"Nice",""))</f>
        <v/>
      </c>
      <c r="E488" s="60"/>
      <c r="F488" s="24">
        <v>488</v>
      </c>
    </row>
    <row r="489" spans="1:6" hidden="1" x14ac:dyDescent="0.25">
      <c r="A489" s="21" t="str">
        <f ca="1">Calc!L489</f>
        <v/>
      </c>
      <c r="B489" s="22" t="str">
        <f ca="1">Calc!K489</f>
        <v/>
      </c>
      <c r="C489" s="39">
        <f ca="1">Calc!M489</f>
        <v>995</v>
      </c>
      <c r="D489" s="59" t="str">
        <f ca="1">IF(C489=0,"Exact",IF(C489&lt;=Calc!$D$4,"Nice",""))</f>
        <v/>
      </c>
      <c r="E489" s="60"/>
      <c r="F489" s="24">
        <v>489</v>
      </c>
    </row>
    <row r="490" spans="1:6" hidden="1" x14ac:dyDescent="0.25">
      <c r="A490" s="21" t="str">
        <f ca="1">Calc!L490</f>
        <v/>
      </c>
      <c r="B490" s="22" t="str">
        <f ca="1">Calc!K490</f>
        <v/>
      </c>
      <c r="C490" s="39">
        <f ca="1">Calc!M490</f>
        <v>995</v>
      </c>
      <c r="D490" s="59" t="str">
        <f ca="1">IF(C490=0,"Exact",IF(C490&lt;=Calc!$D$4,"Nice",""))</f>
        <v/>
      </c>
      <c r="E490" s="60"/>
      <c r="F490" s="24">
        <v>490</v>
      </c>
    </row>
    <row r="491" spans="1:6" hidden="1" x14ac:dyDescent="0.25">
      <c r="A491" s="21" t="str">
        <f ca="1">Calc!L491</f>
        <v/>
      </c>
      <c r="B491" s="22" t="str">
        <f ca="1">Calc!K491</f>
        <v/>
      </c>
      <c r="C491" s="39">
        <f ca="1">Calc!M491</f>
        <v>995</v>
      </c>
      <c r="D491" s="59" t="str">
        <f ca="1">IF(C491=0,"Exact",IF(C491&lt;=Calc!$D$4,"Nice",""))</f>
        <v/>
      </c>
      <c r="E491" s="60"/>
      <c r="F491" s="24">
        <v>491</v>
      </c>
    </row>
    <row r="492" spans="1:6" hidden="1" x14ac:dyDescent="0.25">
      <c r="A492" s="21" t="str">
        <f ca="1">Calc!L492</f>
        <v/>
      </c>
      <c r="B492" s="22" t="str">
        <f ca="1">Calc!K492</f>
        <v/>
      </c>
      <c r="C492" s="39">
        <f ca="1">Calc!M492</f>
        <v>995</v>
      </c>
      <c r="D492" s="59" t="str">
        <f ca="1">IF(C492=0,"Exact",IF(C492&lt;=Calc!$D$4,"Nice",""))</f>
        <v/>
      </c>
      <c r="E492" s="60"/>
      <c r="F492" s="24">
        <v>492</v>
      </c>
    </row>
    <row r="493" spans="1:6" hidden="1" x14ac:dyDescent="0.25">
      <c r="A493" s="21" t="str">
        <f ca="1">Calc!L493</f>
        <v/>
      </c>
      <c r="B493" s="22" t="str">
        <f ca="1">Calc!K493</f>
        <v/>
      </c>
      <c r="C493" s="39">
        <f ca="1">Calc!M493</f>
        <v>995</v>
      </c>
      <c r="D493" s="59" t="str">
        <f ca="1">IF(C493=0,"Exact",IF(C493&lt;=Calc!$D$4,"Nice",""))</f>
        <v/>
      </c>
      <c r="E493" s="60"/>
      <c r="F493" s="24">
        <v>493</v>
      </c>
    </row>
    <row r="494" spans="1:6" hidden="1" x14ac:dyDescent="0.25">
      <c r="A494" s="21" t="str">
        <f ca="1">Calc!L494</f>
        <v/>
      </c>
      <c r="B494" s="22" t="str">
        <f ca="1">Calc!K494</f>
        <v/>
      </c>
      <c r="C494" s="39">
        <f ca="1">Calc!M494</f>
        <v>995</v>
      </c>
      <c r="D494" s="59" t="str">
        <f ca="1">IF(C494=0,"Exact",IF(C494&lt;=Calc!$D$4,"Nice",""))</f>
        <v/>
      </c>
      <c r="E494" s="60"/>
      <c r="F494" s="24">
        <v>494</v>
      </c>
    </row>
    <row r="495" spans="1:6" hidden="1" x14ac:dyDescent="0.25">
      <c r="A495" s="21" t="str">
        <f ca="1">Calc!L495</f>
        <v/>
      </c>
      <c r="B495" s="22" t="str">
        <f ca="1">Calc!K495</f>
        <v/>
      </c>
      <c r="C495" s="39">
        <f ca="1">Calc!M495</f>
        <v>995</v>
      </c>
      <c r="D495" s="59" t="str">
        <f ca="1">IF(C495=0,"Exact",IF(C495&lt;=Calc!$D$4,"Nice",""))</f>
        <v/>
      </c>
      <c r="E495" s="60"/>
      <c r="F495" s="24">
        <v>495</v>
      </c>
    </row>
    <row r="496" spans="1:6" hidden="1" x14ac:dyDescent="0.25">
      <c r="A496" s="21" t="str">
        <f ca="1">Calc!L496</f>
        <v/>
      </c>
      <c r="B496" s="22" t="str">
        <f ca="1">Calc!K496</f>
        <v/>
      </c>
      <c r="C496" s="39">
        <f ca="1">Calc!M496</f>
        <v>995</v>
      </c>
      <c r="D496" s="59" t="str">
        <f ca="1">IF(C496=0,"Exact",IF(C496&lt;=Calc!$D$4,"Nice",""))</f>
        <v/>
      </c>
      <c r="E496" s="60"/>
      <c r="F496" s="24">
        <v>496</v>
      </c>
    </row>
    <row r="497" spans="1:6" hidden="1" x14ac:dyDescent="0.25">
      <c r="A497" s="21" t="str">
        <f ca="1">Calc!L497</f>
        <v/>
      </c>
      <c r="B497" s="22" t="str">
        <f ca="1">Calc!K497</f>
        <v/>
      </c>
      <c r="C497" s="39">
        <f ca="1">Calc!M497</f>
        <v>995</v>
      </c>
      <c r="D497" s="59" t="str">
        <f ca="1">IF(C497=0,"Exact",IF(C497&lt;=Calc!$D$4,"Nice",""))</f>
        <v/>
      </c>
      <c r="E497" s="60"/>
      <c r="F497" s="24">
        <v>497</v>
      </c>
    </row>
    <row r="498" spans="1:6" hidden="1" x14ac:dyDescent="0.25">
      <c r="A498" s="21" t="str">
        <f ca="1">Calc!L498</f>
        <v/>
      </c>
      <c r="B498" s="22" t="str">
        <f ca="1">Calc!K498</f>
        <v/>
      </c>
      <c r="C498" s="39">
        <f ca="1">Calc!M498</f>
        <v>995</v>
      </c>
      <c r="D498" s="59" t="str">
        <f ca="1">IF(C498=0,"Exact",IF(C498&lt;=Calc!$D$4,"Nice",""))</f>
        <v/>
      </c>
      <c r="E498" s="60"/>
      <c r="F498" s="24">
        <v>498</v>
      </c>
    </row>
    <row r="499" spans="1:6" hidden="1" x14ac:dyDescent="0.25">
      <c r="A499" s="21" t="str">
        <f ca="1">Calc!L499</f>
        <v/>
      </c>
      <c r="B499" s="22" t="str">
        <f ca="1">Calc!K499</f>
        <v/>
      </c>
      <c r="C499" s="39">
        <f ca="1">Calc!M499</f>
        <v>995</v>
      </c>
      <c r="D499" s="59" t="str">
        <f ca="1">IF(C499=0,"Exact",IF(C499&lt;=Calc!$D$4,"Nice",""))</f>
        <v/>
      </c>
      <c r="E499" s="60"/>
      <c r="F499" s="24">
        <v>499</v>
      </c>
    </row>
    <row r="500" spans="1:6" hidden="1" x14ac:dyDescent="0.25">
      <c r="A500" s="21" t="str">
        <f ca="1">Calc!L500</f>
        <v/>
      </c>
      <c r="B500" s="22" t="str">
        <f ca="1">Calc!K500</f>
        <v/>
      </c>
      <c r="C500" s="39">
        <f ca="1">Calc!M500</f>
        <v>995</v>
      </c>
      <c r="D500" s="59" t="str">
        <f ca="1">IF(C500=0,"Exact",IF(C500&lt;=Calc!$D$4,"Nice",""))</f>
        <v/>
      </c>
      <c r="E500" s="60"/>
      <c r="F500" s="24">
        <v>500</v>
      </c>
    </row>
    <row r="501" spans="1:6" hidden="1" x14ac:dyDescent="0.25">
      <c r="A501" s="21" t="str">
        <f ca="1">Calc!L501</f>
        <v/>
      </c>
      <c r="B501" s="22" t="str">
        <f ca="1">Calc!K501</f>
        <v/>
      </c>
      <c r="C501" s="39">
        <f ca="1">Calc!M501</f>
        <v>995</v>
      </c>
      <c r="D501" s="59" t="str">
        <f ca="1">IF(C501=0,"Exact",IF(C501&lt;=Calc!$D$4,"Nice",""))</f>
        <v/>
      </c>
      <c r="E501" s="60"/>
      <c r="F501" s="24">
        <v>501</v>
      </c>
    </row>
    <row r="502" spans="1:6" hidden="1" x14ac:dyDescent="0.25">
      <c r="A502" s="21" t="str">
        <f ca="1">Calc!L502</f>
        <v/>
      </c>
      <c r="B502" s="22" t="str">
        <f ca="1">Calc!K502</f>
        <v/>
      </c>
      <c r="C502" s="39">
        <f ca="1">Calc!M502</f>
        <v>995</v>
      </c>
      <c r="D502" s="59" t="str">
        <f ca="1">IF(C502=0,"Exact",IF(C502&lt;=Calc!$D$4,"Nice",""))</f>
        <v/>
      </c>
      <c r="E502" s="60"/>
      <c r="F502" s="24">
        <v>502</v>
      </c>
    </row>
    <row r="503" spans="1:6" hidden="1" x14ac:dyDescent="0.25">
      <c r="A503" s="21" t="str">
        <f ca="1">Calc!L503</f>
        <v/>
      </c>
      <c r="B503" s="22" t="str">
        <f ca="1">Calc!K503</f>
        <v/>
      </c>
      <c r="C503" s="39">
        <f ca="1">Calc!M503</f>
        <v>995</v>
      </c>
      <c r="D503" s="59" t="str">
        <f ca="1">IF(C503=0,"Exact",IF(C503&lt;=Calc!$D$4,"Nice",""))</f>
        <v/>
      </c>
      <c r="E503" s="60"/>
      <c r="F503" s="24">
        <v>503</v>
      </c>
    </row>
    <row r="504" spans="1:6" hidden="1" x14ac:dyDescent="0.25">
      <c r="A504" s="21" t="str">
        <f ca="1">Calc!L504</f>
        <v/>
      </c>
      <c r="B504" s="22" t="str">
        <f ca="1">Calc!K504</f>
        <v/>
      </c>
      <c r="C504" s="39">
        <f ca="1">Calc!M504</f>
        <v>995</v>
      </c>
      <c r="D504" s="59" t="str">
        <f ca="1">IF(C504=0,"Exact",IF(C504&lt;=Calc!$D$4,"Nice",""))</f>
        <v/>
      </c>
      <c r="E504" s="60"/>
      <c r="F504" s="24">
        <v>504</v>
      </c>
    </row>
    <row r="505" spans="1:6" hidden="1" x14ac:dyDescent="0.25">
      <c r="A505" s="21" t="str">
        <f ca="1">Calc!L505</f>
        <v/>
      </c>
      <c r="B505" s="22" t="str">
        <f ca="1">Calc!K505</f>
        <v/>
      </c>
      <c r="C505" s="39">
        <f ca="1">Calc!M505</f>
        <v>995</v>
      </c>
      <c r="D505" s="59" t="str">
        <f ca="1">IF(C505=0,"Exact",IF(C505&lt;=Calc!$D$4,"Nice",""))</f>
        <v/>
      </c>
      <c r="E505" s="60"/>
      <c r="F505" s="24">
        <v>505</v>
      </c>
    </row>
    <row r="506" spans="1:6" hidden="1" x14ac:dyDescent="0.25">
      <c r="A506" s="21" t="str">
        <f ca="1">Calc!L506</f>
        <v/>
      </c>
      <c r="B506" s="22" t="str">
        <f ca="1">Calc!K506</f>
        <v/>
      </c>
      <c r="C506" s="39">
        <f ca="1">Calc!M506</f>
        <v>995</v>
      </c>
      <c r="D506" s="59" t="str">
        <f ca="1">IF(C506=0,"Exact",IF(C506&lt;=Calc!$D$4,"Nice",""))</f>
        <v/>
      </c>
      <c r="E506" s="60"/>
      <c r="F506" s="24">
        <v>506</v>
      </c>
    </row>
    <row r="507" spans="1:6" hidden="1" x14ac:dyDescent="0.25">
      <c r="A507" s="21" t="str">
        <f ca="1">Calc!L507</f>
        <v/>
      </c>
      <c r="B507" s="22" t="str">
        <f ca="1">Calc!K507</f>
        <v/>
      </c>
      <c r="C507" s="39">
        <f ca="1">Calc!M507</f>
        <v>995</v>
      </c>
      <c r="D507" s="59" t="str">
        <f ca="1">IF(C507=0,"Exact",IF(C507&lt;=Calc!$D$4,"Nice",""))</f>
        <v/>
      </c>
      <c r="E507" s="60"/>
      <c r="F507" s="24">
        <v>507</v>
      </c>
    </row>
    <row r="508" spans="1:6" hidden="1" x14ac:dyDescent="0.25">
      <c r="A508" s="21" t="str">
        <f ca="1">Calc!L508</f>
        <v/>
      </c>
      <c r="B508" s="22" t="str">
        <f ca="1">Calc!K508</f>
        <v/>
      </c>
      <c r="C508" s="39">
        <f ca="1">Calc!M508</f>
        <v>995</v>
      </c>
      <c r="D508" s="59" t="str">
        <f ca="1">IF(C508=0,"Exact",IF(C508&lt;=Calc!$D$4,"Nice",""))</f>
        <v/>
      </c>
      <c r="E508" s="60"/>
      <c r="F508" s="24">
        <v>508</v>
      </c>
    </row>
    <row r="509" spans="1:6" hidden="1" x14ac:dyDescent="0.25">
      <c r="A509" s="21" t="str">
        <f ca="1">Calc!L509</f>
        <v/>
      </c>
      <c r="B509" s="22" t="str">
        <f ca="1">Calc!K509</f>
        <v/>
      </c>
      <c r="C509" s="39">
        <f ca="1">Calc!M509</f>
        <v>995</v>
      </c>
      <c r="D509" s="59" t="str">
        <f ca="1">IF(C509=0,"Exact",IF(C509&lt;=Calc!$D$4,"Nice",""))</f>
        <v/>
      </c>
      <c r="E509" s="60"/>
      <c r="F509" s="24">
        <v>509</v>
      </c>
    </row>
    <row r="510" spans="1:6" hidden="1" x14ac:dyDescent="0.25">
      <c r="A510" s="21" t="str">
        <f ca="1">Calc!L510</f>
        <v/>
      </c>
      <c r="B510" s="22" t="str">
        <f ca="1">Calc!K510</f>
        <v/>
      </c>
      <c r="C510" s="39">
        <f ca="1">Calc!M510</f>
        <v>995</v>
      </c>
      <c r="D510" s="59" t="str">
        <f ca="1">IF(C510=0,"Exact",IF(C510&lt;=Calc!$D$4,"Nice",""))</f>
        <v/>
      </c>
      <c r="E510" s="60"/>
      <c r="F510" s="24">
        <v>510</v>
      </c>
    </row>
    <row r="511" spans="1:6" hidden="1" x14ac:dyDescent="0.25">
      <c r="A511" s="21" t="str">
        <f ca="1">Calc!L511</f>
        <v/>
      </c>
      <c r="B511" s="22" t="str">
        <f ca="1">Calc!K511</f>
        <v/>
      </c>
      <c r="C511" s="39">
        <f ca="1">Calc!M511</f>
        <v>995</v>
      </c>
      <c r="D511" s="59" t="str">
        <f ca="1">IF(C511=0,"Exact",IF(C511&lt;=Calc!$D$4,"Nice",""))</f>
        <v/>
      </c>
      <c r="E511" s="60"/>
      <c r="F511" s="24">
        <v>511</v>
      </c>
    </row>
    <row r="512" spans="1:6" hidden="1" x14ac:dyDescent="0.25">
      <c r="A512" s="21" t="str">
        <f ca="1">Calc!L512</f>
        <v/>
      </c>
      <c r="B512" s="22" t="str">
        <f ca="1">Calc!K512</f>
        <v/>
      </c>
      <c r="C512" s="39">
        <f ca="1">Calc!M512</f>
        <v>995</v>
      </c>
      <c r="D512" s="59" t="str">
        <f ca="1">IF(C512=0,"Exact",IF(C512&lt;=Calc!$D$4,"Nice",""))</f>
        <v/>
      </c>
      <c r="E512" s="60"/>
      <c r="F512" s="24">
        <v>512</v>
      </c>
    </row>
    <row r="513" spans="1:6" hidden="1" x14ac:dyDescent="0.25">
      <c r="A513" s="21" t="str">
        <f ca="1">Calc!L513</f>
        <v/>
      </c>
      <c r="B513" s="22" t="str">
        <f ca="1">Calc!K513</f>
        <v/>
      </c>
      <c r="C513" s="39">
        <f ca="1">Calc!M513</f>
        <v>995</v>
      </c>
      <c r="D513" s="59" t="str">
        <f ca="1">IF(C513=0,"Exact",IF(C513&lt;=Calc!$D$4,"Nice",""))</f>
        <v/>
      </c>
      <c r="E513" s="60"/>
      <c r="F513" s="24">
        <v>513</v>
      </c>
    </row>
    <row r="514" spans="1:6" hidden="1" x14ac:dyDescent="0.25">
      <c r="A514" s="21" t="str">
        <f ca="1">Calc!L514</f>
        <v/>
      </c>
      <c r="B514" s="22" t="str">
        <f ca="1">Calc!K514</f>
        <v/>
      </c>
      <c r="C514" s="39">
        <f ca="1">Calc!M514</f>
        <v>995</v>
      </c>
      <c r="D514" s="59" t="str">
        <f ca="1">IF(C514=0,"Exact",IF(C514&lt;=Calc!$D$4,"Nice",""))</f>
        <v/>
      </c>
      <c r="E514" s="60"/>
      <c r="F514" s="24">
        <v>514</v>
      </c>
    </row>
    <row r="515" spans="1:6" hidden="1" x14ac:dyDescent="0.25">
      <c r="A515" s="21" t="str">
        <f ca="1">Calc!L515</f>
        <v/>
      </c>
      <c r="B515" s="22" t="str">
        <f ca="1">Calc!K515</f>
        <v/>
      </c>
      <c r="C515" s="39">
        <f ca="1">Calc!M515</f>
        <v>995</v>
      </c>
      <c r="D515" s="59" t="str">
        <f ca="1">IF(C515=0,"Exact",IF(C515&lt;=Calc!$D$4,"Nice",""))</f>
        <v/>
      </c>
      <c r="E515" s="60"/>
      <c r="F515" s="24">
        <v>515</v>
      </c>
    </row>
    <row r="516" spans="1:6" hidden="1" x14ac:dyDescent="0.25">
      <c r="A516" s="21" t="str">
        <f ca="1">Calc!L516</f>
        <v/>
      </c>
      <c r="B516" s="22" t="str">
        <f ca="1">Calc!K516</f>
        <v/>
      </c>
      <c r="C516" s="39">
        <f ca="1">Calc!M516</f>
        <v>995</v>
      </c>
      <c r="D516" s="59" t="str">
        <f ca="1">IF(C516=0,"Exact",IF(C516&lt;=Calc!$D$4,"Nice",""))</f>
        <v/>
      </c>
      <c r="E516" s="60"/>
      <c r="F516" s="24">
        <v>516</v>
      </c>
    </row>
    <row r="517" spans="1:6" hidden="1" x14ac:dyDescent="0.25">
      <c r="A517" s="21" t="str">
        <f ca="1">Calc!L517</f>
        <v/>
      </c>
      <c r="B517" s="22" t="str">
        <f ca="1">Calc!K517</f>
        <v/>
      </c>
      <c r="C517" s="39">
        <f ca="1">Calc!M517</f>
        <v>995</v>
      </c>
      <c r="D517" s="59" t="str">
        <f ca="1">IF(C517=0,"Exact",IF(C517&lt;=Calc!$D$4,"Nice",""))</f>
        <v/>
      </c>
      <c r="E517" s="60"/>
      <c r="F517" s="24">
        <v>517</v>
      </c>
    </row>
    <row r="518" spans="1:6" hidden="1" x14ac:dyDescent="0.25">
      <c r="A518" s="21" t="str">
        <f ca="1">Calc!L518</f>
        <v/>
      </c>
      <c r="B518" s="22" t="str">
        <f ca="1">Calc!K518</f>
        <v/>
      </c>
      <c r="C518" s="39">
        <f ca="1">Calc!M518</f>
        <v>995</v>
      </c>
      <c r="D518" s="59" t="str">
        <f ca="1">IF(C518=0,"Exact",IF(C518&lt;=Calc!$D$4,"Nice",""))</f>
        <v/>
      </c>
      <c r="E518" s="60"/>
      <c r="F518" s="24">
        <v>518</v>
      </c>
    </row>
    <row r="519" spans="1:6" hidden="1" x14ac:dyDescent="0.25">
      <c r="A519" s="21" t="str">
        <f ca="1">Calc!L519</f>
        <v/>
      </c>
      <c r="B519" s="22" t="str">
        <f ca="1">Calc!K519</f>
        <v/>
      </c>
      <c r="C519" s="39">
        <f ca="1">Calc!M519</f>
        <v>995</v>
      </c>
      <c r="D519" s="59" t="str">
        <f ca="1">IF(C519=0,"Exact",IF(C519&lt;=Calc!$D$4,"Nice",""))</f>
        <v/>
      </c>
      <c r="E519" s="60"/>
      <c r="F519" s="24">
        <v>519</v>
      </c>
    </row>
    <row r="520" spans="1:6" hidden="1" x14ac:dyDescent="0.25">
      <c r="A520" s="21" t="str">
        <f ca="1">Calc!L520</f>
        <v/>
      </c>
      <c r="B520" s="22" t="str">
        <f ca="1">Calc!K520</f>
        <v/>
      </c>
      <c r="C520" s="39">
        <f ca="1">Calc!M520</f>
        <v>995</v>
      </c>
      <c r="D520" s="59" t="str">
        <f ca="1">IF(C520=0,"Exact",IF(C520&lt;=Calc!$D$4,"Nice",""))</f>
        <v/>
      </c>
      <c r="E520" s="60"/>
      <c r="F520" s="24">
        <v>520</v>
      </c>
    </row>
    <row r="521" spans="1:6" hidden="1" x14ac:dyDescent="0.25">
      <c r="A521" s="21" t="str">
        <f ca="1">Calc!L521</f>
        <v/>
      </c>
      <c r="B521" s="22" t="str">
        <f ca="1">Calc!K521</f>
        <v/>
      </c>
      <c r="C521" s="39">
        <f ca="1">Calc!M521</f>
        <v>995</v>
      </c>
      <c r="D521" s="59" t="str">
        <f ca="1">IF(C521=0,"Exact",IF(C521&lt;=Calc!$D$4,"Nice",""))</f>
        <v/>
      </c>
      <c r="E521" s="60"/>
      <c r="F521" s="24">
        <v>521</v>
      </c>
    </row>
    <row r="522" spans="1:6" hidden="1" x14ac:dyDescent="0.25">
      <c r="A522" s="21" t="str">
        <f ca="1">Calc!L522</f>
        <v/>
      </c>
      <c r="B522" s="22" t="str">
        <f ca="1">Calc!K522</f>
        <v/>
      </c>
      <c r="C522" s="39">
        <f ca="1">Calc!M522</f>
        <v>995</v>
      </c>
      <c r="D522" s="59" t="str">
        <f ca="1">IF(C522=0,"Exact",IF(C522&lt;=Calc!$D$4,"Nice",""))</f>
        <v/>
      </c>
      <c r="E522" s="60"/>
      <c r="F522" s="24">
        <v>522</v>
      </c>
    </row>
    <row r="523" spans="1:6" hidden="1" x14ac:dyDescent="0.25">
      <c r="A523" s="21" t="str">
        <f ca="1">Calc!L523</f>
        <v/>
      </c>
      <c r="B523" s="22" t="str">
        <f ca="1">Calc!K523</f>
        <v/>
      </c>
      <c r="C523" s="39">
        <f ca="1">Calc!M523</f>
        <v>995</v>
      </c>
      <c r="D523" s="59" t="str">
        <f ca="1">IF(C523=0,"Exact",IF(C523&lt;=Calc!$D$4,"Nice",""))</f>
        <v/>
      </c>
      <c r="E523" s="60"/>
      <c r="F523" s="24">
        <v>523</v>
      </c>
    </row>
    <row r="524" spans="1:6" hidden="1" x14ac:dyDescent="0.25">
      <c r="A524" s="21" t="str">
        <f ca="1">Calc!L524</f>
        <v/>
      </c>
      <c r="B524" s="22" t="str">
        <f ca="1">Calc!K524</f>
        <v/>
      </c>
      <c r="C524" s="39">
        <f ca="1">Calc!M524</f>
        <v>995</v>
      </c>
      <c r="D524" s="59" t="str">
        <f ca="1">IF(C524=0,"Exact",IF(C524&lt;=Calc!$D$4,"Nice",""))</f>
        <v/>
      </c>
      <c r="E524" s="60"/>
      <c r="F524" s="24">
        <v>524</v>
      </c>
    </row>
    <row r="525" spans="1:6" hidden="1" x14ac:dyDescent="0.25">
      <c r="A525" s="21" t="str">
        <f ca="1">Calc!L525</f>
        <v/>
      </c>
      <c r="B525" s="22" t="str">
        <f ca="1">Calc!K525</f>
        <v/>
      </c>
      <c r="C525" s="39">
        <f ca="1">Calc!M525</f>
        <v>995</v>
      </c>
      <c r="D525" s="59" t="str">
        <f ca="1">IF(C525=0,"Exact",IF(C525&lt;=Calc!$D$4,"Nice",""))</f>
        <v/>
      </c>
      <c r="E525" s="60"/>
      <c r="F525" s="24">
        <v>525</v>
      </c>
    </row>
    <row r="526" spans="1:6" hidden="1" x14ac:dyDescent="0.25">
      <c r="A526" s="21" t="str">
        <f ca="1">Calc!L526</f>
        <v/>
      </c>
      <c r="B526" s="22" t="str">
        <f ca="1">Calc!K526</f>
        <v/>
      </c>
      <c r="C526" s="39">
        <f ca="1">Calc!M526</f>
        <v>995</v>
      </c>
      <c r="D526" s="59" t="str">
        <f ca="1">IF(C526=0,"Exact",IF(C526&lt;=Calc!$D$4,"Nice",""))</f>
        <v/>
      </c>
      <c r="E526" s="60"/>
      <c r="F526" s="24">
        <v>526</v>
      </c>
    </row>
    <row r="527" spans="1:6" hidden="1" x14ac:dyDescent="0.25">
      <c r="A527" s="21" t="str">
        <f ca="1">Calc!L527</f>
        <v/>
      </c>
      <c r="B527" s="22" t="str">
        <f ca="1">Calc!K527</f>
        <v/>
      </c>
      <c r="C527" s="39">
        <f ca="1">Calc!M527</f>
        <v>995</v>
      </c>
      <c r="D527" s="59" t="str">
        <f ca="1">IF(C527=0,"Exact",IF(C527&lt;=Calc!$D$4,"Nice",""))</f>
        <v/>
      </c>
      <c r="E527" s="60"/>
      <c r="F527" s="24">
        <v>527</v>
      </c>
    </row>
    <row r="528" spans="1:6" hidden="1" x14ac:dyDescent="0.25">
      <c r="A528" s="21" t="str">
        <f ca="1">Calc!L528</f>
        <v/>
      </c>
      <c r="B528" s="22" t="str">
        <f ca="1">Calc!K528</f>
        <v/>
      </c>
      <c r="C528" s="39">
        <f ca="1">Calc!M528</f>
        <v>995</v>
      </c>
      <c r="D528" s="59" t="str">
        <f ca="1">IF(C528=0,"Exact",IF(C528&lt;=Calc!$D$4,"Nice",""))</f>
        <v/>
      </c>
      <c r="E528" s="60"/>
      <c r="F528" s="24">
        <v>528</v>
      </c>
    </row>
    <row r="529" spans="1:6" hidden="1" x14ac:dyDescent="0.25">
      <c r="A529" s="21" t="str">
        <f ca="1">Calc!L529</f>
        <v/>
      </c>
      <c r="B529" s="22" t="str">
        <f ca="1">Calc!K529</f>
        <v/>
      </c>
      <c r="C529" s="39">
        <f ca="1">Calc!M529</f>
        <v>995</v>
      </c>
      <c r="D529" s="59" t="str">
        <f ca="1">IF(C529=0,"Exact",IF(C529&lt;=Calc!$D$4,"Nice",""))</f>
        <v/>
      </c>
      <c r="E529" s="60"/>
      <c r="F529" s="24">
        <v>529</v>
      </c>
    </row>
    <row r="530" spans="1:6" hidden="1" x14ac:dyDescent="0.25">
      <c r="A530" s="21" t="str">
        <f ca="1">Calc!L530</f>
        <v/>
      </c>
      <c r="B530" s="22" t="str">
        <f ca="1">Calc!K530</f>
        <v/>
      </c>
      <c r="C530" s="39">
        <f ca="1">Calc!M530</f>
        <v>995</v>
      </c>
      <c r="D530" s="59" t="str">
        <f ca="1">IF(C530=0,"Exact",IF(C530&lt;=Calc!$D$4,"Nice",""))</f>
        <v/>
      </c>
      <c r="E530" s="60"/>
      <c r="F530" s="24">
        <v>530</v>
      </c>
    </row>
    <row r="531" spans="1:6" hidden="1" x14ac:dyDescent="0.25">
      <c r="A531" s="21" t="str">
        <f ca="1">Calc!L531</f>
        <v/>
      </c>
      <c r="B531" s="22" t="str">
        <f ca="1">Calc!K531</f>
        <v/>
      </c>
      <c r="C531" s="39">
        <f ca="1">Calc!M531</f>
        <v>995</v>
      </c>
      <c r="D531" s="59" t="str">
        <f ca="1">IF(C531=0,"Exact",IF(C531&lt;=Calc!$D$4,"Nice",""))</f>
        <v/>
      </c>
      <c r="E531" s="60"/>
      <c r="F531" s="24">
        <v>531</v>
      </c>
    </row>
    <row r="532" spans="1:6" hidden="1" x14ac:dyDescent="0.25">
      <c r="A532" s="21" t="str">
        <f ca="1">Calc!L532</f>
        <v/>
      </c>
      <c r="B532" s="22" t="str">
        <f ca="1">Calc!K532</f>
        <v/>
      </c>
      <c r="C532" s="39">
        <f ca="1">Calc!M532</f>
        <v>995</v>
      </c>
      <c r="D532" s="59" t="str">
        <f ca="1">IF(C532=0,"Exact",IF(C532&lt;=Calc!$D$4,"Nice",""))</f>
        <v/>
      </c>
      <c r="E532" s="60"/>
      <c r="F532" s="24">
        <v>532</v>
      </c>
    </row>
    <row r="533" spans="1:6" hidden="1" x14ac:dyDescent="0.25">
      <c r="A533" s="21" t="str">
        <f ca="1">Calc!L533</f>
        <v/>
      </c>
      <c r="B533" s="22" t="str">
        <f ca="1">Calc!K533</f>
        <v/>
      </c>
      <c r="C533" s="39">
        <f ca="1">Calc!M533</f>
        <v>995</v>
      </c>
      <c r="D533" s="59" t="str">
        <f ca="1">IF(C533=0,"Exact",IF(C533&lt;=Calc!$D$4,"Nice",""))</f>
        <v/>
      </c>
      <c r="E533" s="60"/>
      <c r="F533" s="24">
        <v>533</v>
      </c>
    </row>
    <row r="534" spans="1:6" hidden="1" x14ac:dyDescent="0.25">
      <c r="A534" s="21" t="str">
        <f ca="1">Calc!L534</f>
        <v/>
      </c>
      <c r="B534" s="22" t="str">
        <f ca="1">Calc!K534</f>
        <v/>
      </c>
      <c r="C534" s="39">
        <f ca="1">Calc!M534</f>
        <v>995</v>
      </c>
      <c r="D534" s="59" t="str">
        <f ca="1">IF(C534=0,"Exact",IF(C534&lt;=Calc!$D$4,"Nice",""))</f>
        <v/>
      </c>
      <c r="E534" s="60"/>
      <c r="F534" s="24">
        <v>534</v>
      </c>
    </row>
    <row r="535" spans="1:6" hidden="1" x14ac:dyDescent="0.25">
      <c r="A535" s="21" t="str">
        <f ca="1">Calc!L535</f>
        <v/>
      </c>
      <c r="B535" s="22" t="str">
        <f ca="1">Calc!K535</f>
        <v/>
      </c>
      <c r="C535" s="39">
        <f ca="1">Calc!M535</f>
        <v>995</v>
      </c>
      <c r="D535" s="59" t="str">
        <f ca="1">IF(C535=0,"Exact",IF(C535&lt;=Calc!$D$4,"Nice",""))</f>
        <v/>
      </c>
      <c r="E535" s="60"/>
      <c r="F535" s="24">
        <v>535</v>
      </c>
    </row>
    <row r="536" spans="1:6" hidden="1" x14ac:dyDescent="0.25">
      <c r="A536" s="21" t="str">
        <f ca="1">Calc!L536</f>
        <v/>
      </c>
      <c r="B536" s="22" t="str">
        <f ca="1">Calc!K536</f>
        <v/>
      </c>
      <c r="C536" s="39">
        <f ca="1">Calc!M536</f>
        <v>995</v>
      </c>
      <c r="D536" s="59" t="str">
        <f ca="1">IF(C536=0,"Exact",IF(C536&lt;=Calc!$D$4,"Nice",""))</f>
        <v/>
      </c>
      <c r="E536" s="60"/>
      <c r="F536" s="24">
        <v>536</v>
      </c>
    </row>
    <row r="537" spans="1:6" hidden="1" x14ac:dyDescent="0.25">
      <c r="A537" s="21" t="str">
        <f ca="1">Calc!L537</f>
        <v/>
      </c>
      <c r="B537" s="22" t="str">
        <f ca="1">Calc!K537</f>
        <v/>
      </c>
      <c r="C537" s="39">
        <f ca="1">Calc!M537</f>
        <v>995</v>
      </c>
      <c r="D537" s="59" t="str">
        <f ca="1">IF(C537=0,"Exact",IF(C537&lt;=Calc!$D$4,"Nice",""))</f>
        <v/>
      </c>
      <c r="E537" s="60"/>
      <c r="F537" s="24">
        <v>537</v>
      </c>
    </row>
    <row r="538" spans="1:6" hidden="1" x14ac:dyDescent="0.25">
      <c r="A538" s="21" t="str">
        <f ca="1">Calc!L538</f>
        <v/>
      </c>
      <c r="B538" s="22" t="str">
        <f ca="1">Calc!K538</f>
        <v/>
      </c>
      <c r="C538" s="39">
        <f ca="1">Calc!M538</f>
        <v>995</v>
      </c>
      <c r="D538" s="59" t="str">
        <f ca="1">IF(C538=0,"Exact",IF(C538&lt;=Calc!$D$4,"Nice",""))</f>
        <v/>
      </c>
      <c r="E538" s="60"/>
      <c r="F538" s="24">
        <v>538</v>
      </c>
    </row>
    <row r="539" spans="1:6" hidden="1" x14ac:dyDescent="0.25">
      <c r="A539" s="21" t="str">
        <f ca="1">Calc!L539</f>
        <v/>
      </c>
      <c r="B539" s="22" t="str">
        <f ca="1">Calc!K539</f>
        <v/>
      </c>
      <c r="C539" s="39">
        <f ca="1">Calc!M539</f>
        <v>995</v>
      </c>
      <c r="D539" s="59" t="str">
        <f ca="1">IF(C539=0,"Exact",IF(C539&lt;=Calc!$D$4,"Nice",""))</f>
        <v/>
      </c>
      <c r="E539" s="60"/>
      <c r="F539" s="24">
        <v>539</v>
      </c>
    </row>
    <row r="540" spans="1:6" hidden="1" x14ac:dyDescent="0.25">
      <c r="A540" s="21" t="str">
        <f ca="1">Calc!L540</f>
        <v/>
      </c>
      <c r="B540" s="22" t="str">
        <f ca="1">Calc!K540</f>
        <v/>
      </c>
      <c r="C540" s="39">
        <f ca="1">Calc!M540</f>
        <v>995</v>
      </c>
      <c r="D540" s="59" t="str">
        <f ca="1">IF(C540=0,"Exact",IF(C540&lt;=Calc!$D$4,"Nice",""))</f>
        <v/>
      </c>
      <c r="E540" s="60"/>
      <c r="F540" s="24">
        <v>540</v>
      </c>
    </row>
    <row r="541" spans="1:6" hidden="1" x14ac:dyDescent="0.25">
      <c r="A541" s="21" t="str">
        <f ca="1">Calc!L541</f>
        <v/>
      </c>
      <c r="B541" s="22" t="str">
        <f ca="1">Calc!K541</f>
        <v/>
      </c>
      <c r="C541" s="39">
        <f ca="1">Calc!M541</f>
        <v>995</v>
      </c>
      <c r="D541" s="59" t="str">
        <f ca="1">IF(C541=0,"Exact",IF(C541&lt;=Calc!$D$4,"Nice",""))</f>
        <v/>
      </c>
      <c r="E541" s="60"/>
      <c r="F541" s="24">
        <v>541</v>
      </c>
    </row>
    <row r="542" spans="1:6" hidden="1" x14ac:dyDescent="0.25">
      <c r="A542" s="21" t="str">
        <f ca="1">Calc!L542</f>
        <v/>
      </c>
      <c r="B542" s="22" t="str">
        <f ca="1">Calc!K542</f>
        <v/>
      </c>
      <c r="C542" s="39">
        <f ca="1">Calc!M542</f>
        <v>995</v>
      </c>
      <c r="D542" s="59" t="str">
        <f ca="1">IF(C542=0,"Exact",IF(C542&lt;=Calc!$D$4,"Nice",""))</f>
        <v/>
      </c>
      <c r="E542" s="60"/>
      <c r="F542" s="24">
        <v>542</v>
      </c>
    </row>
    <row r="543" spans="1:6" hidden="1" x14ac:dyDescent="0.25">
      <c r="A543" s="21" t="str">
        <f ca="1">Calc!L543</f>
        <v/>
      </c>
      <c r="B543" s="22" t="str">
        <f ca="1">Calc!K543</f>
        <v/>
      </c>
      <c r="C543" s="39">
        <f ca="1">Calc!M543</f>
        <v>995</v>
      </c>
      <c r="D543" s="59" t="str">
        <f ca="1">IF(C543=0,"Exact",IF(C543&lt;=Calc!$D$4,"Nice",""))</f>
        <v/>
      </c>
      <c r="E543" s="60"/>
      <c r="F543" s="24">
        <v>543</v>
      </c>
    </row>
    <row r="544" spans="1:6" hidden="1" x14ac:dyDescent="0.25">
      <c r="A544" s="21" t="str">
        <f ca="1">Calc!L544</f>
        <v/>
      </c>
      <c r="B544" s="22" t="str">
        <f ca="1">Calc!K544</f>
        <v/>
      </c>
      <c r="C544" s="39">
        <f ca="1">Calc!M544</f>
        <v>995</v>
      </c>
      <c r="D544" s="59" t="str">
        <f ca="1">IF(C544=0,"Exact",IF(C544&lt;=Calc!$D$4,"Nice",""))</f>
        <v/>
      </c>
      <c r="E544" s="60"/>
      <c r="F544" s="24">
        <v>544</v>
      </c>
    </row>
    <row r="545" spans="1:6" hidden="1" x14ac:dyDescent="0.25">
      <c r="A545" s="21" t="str">
        <f ca="1">Calc!L545</f>
        <v/>
      </c>
      <c r="B545" s="22" t="str">
        <f ca="1">Calc!K545</f>
        <v/>
      </c>
      <c r="C545" s="39">
        <f ca="1">Calc!M545</f>
        <v>995</v>
      </c>
      <c r="D545" s="59" t="str">
        <f ca="1">IF(C545=0,"Exact",IF(C545&lt;=Calc!$D$4,"Nice",""))</f>
        <v/>
      </c>
      <c r="E545" s="60"/>
      <c r="F545" s="24">
        <v>545</v>
      </c>
    </row>
    <row r="546" spans="1:6" hidden="1" x14ac:dyDescent="0.25">
      <c r="A546" s="21" t="str">
        <f ca="1">Calc!L546</f>
        <v/>
      </c>
      <c r="B546" s="22" t="str">
        <f ca="1">Calc!K546</f>
        <v/>
      </c>
      <c r="C546" s="39">
        <f ca="1">Calc!M546</f>
        <v>995</v>
      </c>
      <c r="D546" s="59" t="str">
        <f ca="1">IF(C546=0,"Exact",IF(C546&lt;=Calc!$D$4,"Nice",""))</f>
        <v/>
      </c>
      <c r="E546" s="60"/>
      <c r="F546" s="24">
        <v>546</v>
      </c>
    </row>
    <row r="547" spans="1:6" hidden="1" x14ac:dyDescent="0.25">
      <c r="A547" s="21" t="str">
        <f ca="1">Calc!L547</f>
        <v/>
      </c>
      <c r="B547" s="22" t="str">
        <f ca="1">Calc!K547</f>
        <v/>
      </c>
      <c r="C547" s="39">
        <f ca="1">Calc!M547</f>
        <v>995</v>
      </c>
      <c r="D547" s="59" t="str">
        <f ca="1">IF(C547=0,"Exact",IF(C547&lt;=Calc!$D$4,"Nice",""))</f>
        <v/>
      </c>
      <c r="E547" s="60"/>
      <c r="F547" s="24">
        <v>547</v>
      </c>
    </row>
    <row r="548" spans="1:6" hidden="1" x14ac:dyDescent="0.25">
      <c r="A548" s="21" t="str">
        <f ca="1">Calc!L548</f>
        <v/>
      </c>
      <c r="B548" s="22" t="str">
        <f ca="1">Calc!K548</f>
        <v/>
      </c>
      <c r="C548" s="39">
        <f ca="1">Calc!M548</f>
        <v>995</v>
      </c>
      <c r="D548" s="59" t="str">
        <f ca="1">IF(C548=0,"Exact",IF(C548&lt;=Calc!$D$4,"Nice",""))</f>
        <v/>
      </c>
      <c r="E548" s="60"/>
      <c r="F548" s="24">
        <v>548</v>
      </c>
    </row>
    <row r="549" spans="1:6" hidden="1" x14ac:dyDescent="0.25">
      <c r="A549" s="21" t="str">
        <f ca="1">Calc!L549</f>
        <v/>
      </c>
      <c r="B549" s="22" t="str">
        <f ca="1">Calc!K549</f>
        <v/>
      </c>
      <c r="C549" s="39">
        <f ca="1">Calc!M549</f>
        <v>995</v>
      </c>
      <c r="D549" s="59" t="str">
        <f ca="1">IF(C549=0,"Exact",IF(C549&lt;=Calc!$D$4,"Nice",""))</f>
        <v/>
      </c>
      <c r="E549" s="60"/>
      <c r="F549" s="24">
        <v>549</v>
      </c>
    </row>
    <row r="550" spans="1:6" hidden="1" x14ac:dyDescent="0.25">
      <c r="A550" s="21" t="str">
        <f ca="1">Calc!L550</f>
        <v/>
      </c>
      <c r="B550" s="22" t="str">
        <f ca="1">Calc!K550</f>
        <v/>
      </c>
      <c r="C550" s="39">
        <f ca="1">Calc!M550</f>
        <v>995</v>
      </c>
      <c r="D550" s="59" t="str">
        <f ca="1">IF(C550=0,"Exact",IF(C550&lt;=Calc!$D$4,"Nice",""))</f>
        <v/>
      </c>
      <c r="E550" s="60"/>
      <c r="F550" s="24">
        <v>550</v>
      </c>
    </row>
    <row r="551" spans="1:6" hidden="1" x14ac:dyDescent="0.25">
      <c r="A551" s="21" t="str">
        <f ca="1">Calc!L551</f>
        <v/>
      </c>
      <c r="B551" s="22" t="str">
        <f ca="1">Calc!K551</f>
        <v/>
      </c>
      <c r="C551" s="39">
        <f ca="1">Calc!M551</f>
        <v>995</v>
      </c>
      <c r="D551" s="59" t="str">
        <f ca="1">IF(C551=0,"Exact",IF(C551&lt;=Calc!$D$4,"Nice",""))</f>
        <v/>
      </c>
      <c r="E551" s="60"/>
      <c r="F551" s="24">
        <v>551</v>
      </c>
    </row>
    <row r="552" spans="1:6" hidden="1" x14ac:dyDescent="0.25">
      <c r="A552" s="21" t="str">
        <f ca="1">Calc!L552</f>
        <v/>
      </c>
      <c r="B552" s="22" t="str">
        <f ca="1">Calc!K552</f>
        <v/>
      </c>
      <c r="C552" s="39">
        <f ca="1">Calc!M552</f>
        <v>995</v>
      </c>
      <c r="D552" s="59" t="str">
        <f ca="1">IF(C552=0,"Exact",IF(C552&lt;=Calc!$D$4,"Nice",""))</f>
        <v/>
      </c>
      <c r="E552" s="60"/>
      <c r="F552" s="24">
        <v>552</v>
      </c>
    </row>
    <row r="553" spans="1:6" hidden="1" x14ac:dyDescent="0.25">
      <c r="A553" s="21" t="str">
        <f ca="1">Calc!L553</f>
        <v/>
      </c>
      <c r="B553" s="22" t="str">
        <f ca="1">Calc!K553</f>
        <v/>
      </c>
      <c r="C553" s="39">
        <f ca="1">Calc!M553</f>
        <v>995</v>
      </c>
      <c r="D553" s="59" t="str">
        <f ca="1">IF(C553=0,"Exact",IF(C553&lt;=Calc!$D$4,"Nice",""))</f>
        <v/>
      </c>
      <c r="E553" s="60"/>
      <c r="F553" s="24">
        <v>553</v>
      </c>
    </row>
    <row r="554" spans="1:6" hidden="1" x14ac:dyDescent="0.25">
      <c r="A554" s="21" t="str">
        <f ca="1">Calc!L554</f>
        <v/>
      </c>
      <c r="B554" s="22" t="str">
        <f ca="1">Calc!K554</f>
        <v/>
      </c>
      <c r="C554" s="39">
        <f ca="1">Calc!M554</f>
        <v>995</v>
      </c>
      <c r="D554" s="59" t="str">
        <f ca="1">IF(C554=0,"Exact",IF(C554&lt;=Calc!$D$4,"Nice",""))</f>
        <v/>
      </c>
      <c r="E554" s="60"/>
      <c r="F554" s="24">
        <v>554</v>
      </c>
    </row>
    <row r="555" spans="1:6" hidden="1" x14ac:dyDescent="0.25">
      <c r="A555" s="21" t="str">
        <f ca="1">Calc!L555</f>
        <v/>
      </c>
      <c r="B555" s="22" t="str">
        <f ca="1">Calc!K555</f>
        <v/>
      </c>
      <c r="C555" s="39">
        <f ca="1">Calc!M555</f>
        <v>995</v>
      </c>
      <c r="D555" s="59" t="str">
        <f ca="1">IF(C555=0,"Exact",IF(C555&lt;=Calc!$D$4,"Nice",""))</f>
        <v/>
      </c>
      <c r="E555" s="60"/>
      <c r="F555" s="24">
        <v>555</v>
      </c>
    </row>
    <row r="556" spans="1:6" hidden="1" x14ac:dyDescent="0.25">
      <c r="A556" s="21" t="str">
        <f ca="1">Calc!L556</f>
        <v/>
      </c>
      <c r="B556" s="22" t="str">
        <f ca="1">Calc!K556</f>
        <v/>
      </c>
      <c r="C556" s="39">
        <f ca="1">Calc!M556</f>
        <v>995</v>
      </c>
      <c r="D556" s="59" t="str">
        <f ca="1">IF(C556=0,"Exact",IF(C556&lt;=Calc!$D$4,"Nice",""))</f>
        <v/>
      </c>
      <c r="E556" s="60"/>
      <c r="F556" s="24">
        <v>556</v>
      </c>
    </row>
    <row r="557" spans="1:6" hidden="1" x14ac:dyDescent="0.25">
      <c r="A557" s="21" t="str">
        <f ca="1">Calc!L557</f>
        <v/>
      </c>
      <c r="B557" s="22" t="str">
        <f ca="1">Calc!K557</f>
        <v/>
      </c>
      <c r="C557" s="39">
        <f ca="1">Calc!M557</f>
        <v>995</v>
      </c>
      <c r="D557" s="59" t="str">
        <f ca="1">IF(C557=0,"Exact",IF(C557&lt;=Calc!$D$4,"Nice",""))</f>
        <v/>
      </c>
      <c r="E557" s="60"/>
      <c r="F557" s="24">
        <v>557</v>
      </c>
    </row>
    <row r="558" spans="1:6" hidden="1" x14ac:dyDescent="0.25">
      <c r="A558" s="21" t="str">
        <f ca="1">Calc!L558</f>
        <v/>
      </c>
      <c r="B558" s="22" t="str">
        <f ca="1">Calc!K558</f>
        <v/>
      </c>
      <c r="C558" s="39">
        <f ca="1">Calc!M558</f>
        <v>995</v>
      </c>
      <c r="D558" s="59" t="str">
        <f ca="1">IF(C558=0,"Exact",IF(C558&lt;=Calc!$D$4,"Nice",""))</f>
        <v/>
      </c>
      <c r="E558" s="60"/>
      <c r="F558" s="24">
        <v>558</v>
      </c>
    </row>
    <row r="559" spans="1:6" hidden="1" x14ac:dyDescent="0.25">
      <c r="A559" s="21" t="str">
        <f ca="1">Calc!L559</f>
        <v/>
      </c>
      <c r="B559" s="22" t="str">
        <f ca="1">Calc!K559</f>
        <v/>
      </c>
      <c r="C559" s="39">
        <f ca="1">Calc!M559</f>
        <v>995</v>
      </c>
      <c r="D559" s="59" t="str">
        <f ca="1">IF(C559=0,"Exact",IF(C559&lt;=Calc!$D$4,"Nice",""))</f>
        <v/>
      </c>
      <c r="E559" s="60"/>
      <c r="F559" s="24">
        <v>559</v>
      </c>
    </row>
    <row r="560" spans="1:6" hidden="1" x14ac:dyDescent="0.25">
      <c r="A560" s="21" t="str">
        <f ca="1">Calc!L560</f>
        <v/>
      </c>
      <c r="B560" s="22" t="str">
        <f ca="1">Calc!K560</f>
        <v/>
      </c>
      <c r="C560" s="39">
        <f ca="1">Calc!M560</f>
        <v>995</v>
      </c>
      <c r="D560" s="59" t="str">
        <f ca="1">IF(C560=0,"Exact",IF(C560&lt;=Calc!$D$4,"Nice",""))</f>
        <v/>
      </c>
      <c r="E560" s="60"/>
      <c r="F560" s="24">
        <v>560</v>
      </c>
    </row>
    <row r="561" spans="1:6" hidden="1" x14ac:dyDescent="0.25">
      <c r="A561" s="21" t="str">
        <f ca="1">Calc!L561</f>
        <v/>
      </c>
      <c r="B561" s="22" t="str">
        <f ca="1">Calc!K561</f>
        <v/>
      </c>
      <c r="C561" s="39">
        <f ca="1">Calc!M561</f>
        <v>995</v>
      </c>
      <c r="D561" s="59" t="str">
        <f ca="1">IF(C561=0,"Exact",IF(C561&lt;=Calc!$D$4,"Nice",""))</f>
        <v/>
      </c>
      <c r="E561" s="60"/>
      <c r="F561" s="24">
        <v>561</v>
      </c>
    </row>
    <row r="562" spans="1:6" hidden="1" x14ac:dyDescent="0.25">
      <c r="A562" s="21" t="str">
        <f ca="1">Calc!L562</f>
        <v/>
      </c>
      <c r="B562" s="22" t="str">
        <f ca="1">Calc!K562</f>
        <v/>
      </c>
      <c r="C562" s="39">
        <f ca="1">Calc!M562</f>
        <v>995</v>
      </c>
      <c r="D562" s="59" t="str">
        <f ca="1">IF(C562=0,"Exact",IF(C562&lt;=Calc!$D$4,"Nice",""))</f>
        <v/>
      </c>
      <c r="E562" s="60"/>
      <c r="F562" s="24">
        <v>562</v>
      </c>
    </row>
    <row r="563" spans="1:6" hidden="1" x14ac:dyDescent="0.25">
      <c r="A563" s="21" t="str">
        <f ca="1">Calc!L563</f>
        <v/>
      </c>
      <c r="B563" s="22" t="str">
        <f ca="1">Calc!K563</f>
        <v/>
      </c>
      <c r="C563" s="39">
        <f ca="1">Calc!M563</f>
        <v>995</v>
      </c>
      <c r="D563" s="59" t="str">
        <f ca="1">IF(C563=0,"Exact",IF(C563&lt;=Calc!$D$4,"Nice",""))</f>
        <v/>
      </c>
      <c r="E563" s="60"/>
      <c r="F563" s="24">
        <v>563</v>
      </c>
    </row>
    <row r="564" spans="1:6" hidden="1" x14ac:dyDescent="0.25">
      <c r="A564" s="21" t="str">
        <f ca="1">Calc!L564</f>
        <v/>
      </c>
      <c r="B564" s="22" t="str">
        <f ca="1">Calc!K564</f>
        <v/>
      </c>
      <c r="C564" s="39">
        <f ca="1">Calc!M564</f>
        <v>995</v>
      </c>
      <c r="D564" s="59" t="str">
        <f ca="1">IF(C564=0,"Exact",IF(C564&lt;=Calc!$D$4,"Nice",""))</f>
        <v/>
      </c>
      <c r="E564" s="60"/>
      <c r="F564" s="24">
        <v>564</v>
      </c>
    </row>
    <row r="565" spans="1:6" hidden="1" x14ac:dyDescent="0.25">
      <c r="A565" s="21" t="str">
        <f ca="1">Calc!L565</f>
        <v/>
      </c>
      <c r="B565" s="22" t="str">
        <f ca="1">Calc!K565</f>
        <v/>
      </c>
      <c r="C565" s="39">
        <f ca="1">Calc!M565</f>
        <v>995</v>
      </c>
      <c r="D565" s="59" t="str">
        <f ca="1">IF(C565=0,"Exact",IF(C565&lt;=Calc!$D$4,"Nice",""))</f>
        <v/>
      </c>
      <c r="E565" s="60"/>
      <c r="F565" s="24">
        <v>565</v>
      </c>
    </row>
    <row r="566" spans="1:6" hidden="1" x14ac:dyDescent="0.25">
      <c r="A566" s="21" t="str">
        <f ca="1">Calc!L566</f>
        <v/>
      </c>
      <c r="B566" s="22" t="str">
        <f ca="1">Calc!K566</f>
        <v/>
      </c>
      <c r="C566" s="39">
        <f ca="1">Calc!M566</f>
        <v>995</v>
      </c>
      <c r="D566" s="59" t="str">
        <f ca="1">IF(C566=0,"Exact",IF(C566&lt;=Calc!$D$4,"Nice",""))</f>
        <v/>
      </c>
      <c r="E566" s="60"/>
      <c r="F566" s="24">
        <v>566</v>
      </c>
    </row>
    <row r="567" spans="1:6" hidden="1" x14ac:dyDescent="0.25">
      <c r="A567" s="21" t="str">
        <f ca="1">Calc!L567</f>
        <v/>
      </c>
      <c r="B567" s="22" t="str">
        <f ca="1">Calc!K567</f>
        <v/>
      </c>
      <c r="C567" s="39">
        <f ca="1">Calc!M567</f>
        <v>995</v>
      </c>
      <c r="D567" s="59" t="str">
        <f ca="1">IF(C567=0,"Exact",IF(C567&lt;=Calc!$D$4,"Nice",""))</f>
        <v/>
      </c>
      <c r="E567" s="60"/>
      <c r="F567" s="24">
        <v>567</v>
      </c>
    </row>
    <row r="568" spans="1:6" hidden="1" x14ac:dyDescent="0.25">
      <c r="A568" s="21" t="str">
        <f ca="1">Calc!L568</f>
        <v/>
      </c>
      <c r="B568" s="22" t="str">
        <f ca="1">Calc!K568</f>
        <v/>
      </c>
      <c r="C568" s="39">
        <f ca="1">Calc!M568</f>
        <v>995</v>
      </c>
      <c r="D568" s="59" t="str">
        <f ca="1">IF(C568=0,"Exact",IF(C568&lt;=Calc!$D$4,"Nice",""))</f>
        <v/>
      </c>
      <c r="E568" s="60"/>
      <c r="F568" s="24">
        <v>568</v>
      </c>
    </row>
    <row r="569" spans="1:6" hidden="1" x14ac:dyDescent="0.25">
      <c r="A569" s="21" t="str">
        <f ca="1">Calc!L569</f>
        <v/>
      </c>
      <c r="B569" s="22" t="str">
        <f ca="1">Calc!K569</f>
        <v/>
      </c>
      <c r="C569" s="39">
        <f ca="1">Calc!M569</f>
        <v>995</v>
      </c>
      <c r="D569" s="59" t="str">
        <f ca="1">IF(C569=0,"Exact",IF(C569&lt;=Calc!$D$4,"Nice",""))</f>
        <v/>
      </c>
      <c r="E569" s="60"/>
      <c r="F569" s="24">
        <v>569</v>
      </c>
    </row>
    <row r="570" spans="1:6" hidden="1" x14ac:dyDescent="0.25">
      <c r="A570" s="21" t="str">
        <f ca="1">Calc!L570</f>
        <v/>
      </c>
      <c r="B570" s="22" t="str">
        <f ca="1">Calc!K570</f>
        <v/>
      </c>
      <c r="C570" s="39">
        <f ca="1">Calc!M570</f>
        <v>995</v>
      </c>
      <c r="D570" s="59" t="str">
        <f ca="1">IF(C570=0,"Exact",IF(C570&lt;=Calc!$D$4,"Nice",""))</f>
        <v/>
      </c>
      <c r="E570" s="60"/>
      <c r="F570" s="24">
        <v>570</v>
      </c>
    </row>
    <row r="571" spans="1:6" hidden="1" x14ac:dyDescent="0.25">
      <c r="A571" s="21" t="str">
        <f ca="1">Calc!L571</f>
        <v/>
      </c>
      <c r="B571" s="22" t="str">
        <f ca="1">Calc!K571</f>
        <v/>
      </c>
      <c r="C571" s="39">
        <f ca="1">Calc!M571</f>
        <v>995</v>
      </c>
      <c r="D571" s="59" t="str">
        <f ca="1">IF(C571=0,"Exact",IF(C571&lt;=Calc!$D$4,"Nice",""))</f>
        <v/>
      </c>
      <c r="E571" s="60"/>
      <c r="F571" s="24">
        <v>571</v>
      </c>
    </row>
    <row r="572" spans="1:6" hidden="1" x14ac:dyDescent="0.25">
      <c r="A572" s="21" t="str">
        <f ca="1">Calc!L572</f>
        <v/>
      </c>
      <c r="B572" s="22" t="str">
        <f ca="1">Calc!K572</f>
        <v/>
      </c>
      <c r="C572" s="39">
        <f ca="1">Calc!M572</f>
        <v>995</v>
      </c>
      <c r="D572" s="59" t="str">
        <f ca="1">IF(C572=0,"Exact",IF(C572&lt;=Calc!$D$4,"Nice",""))</f>
        <v/>
      </c>
      <c r="E572" s="60"/>
      <c r="F572" s="24">
        <v>572</v>
      </c>
    </row>
    <row r="573" spans="1:6" hidden="1" x14ac:dyDescent="0.25">
      <c r="A573" s="21" t="str">
        <f ca="1">Calc!L573</f>
        <v/>
      </c>
      <c r="B573" s="22" t="str">
        <f ca="1">Calc!K573</f>
        <v/>
      </c>
      <c r="C573" s="39">
        <f ca="1">Calc!M573</f>
        <v>995</v>
      </c>
      <c r="D573" s="59" t="str">
        <f ca="1">IF(C573=0,"Exact",IF(C573&lt;=Calc!$D$4,"Nice",""))</f>
        <v/>
      </c>
      <c r="E573" s="60"/>
      <c r="F573" s="24">
        <v>573</v>
      </c>
    </row>
    <row r="574" spans="1:6" hidden="1" x14ac:dyDescent="0.25">
      <c r="A574" s="21" t="str">
        <f ca="1">Calc!L574</f>
        <v/>
      </c>
      <c r="B574" s="22" t="str">
        <f ca="1">Calc!K574</f>
        <v/>
      </c>
      <c r="C574" s="39">
        <f ca="1">Calc!M574</f>
        <v>995</v>
      </c>
      <c r="D574" s="59" t="str">
        <f ca="1">IF(C574=0,"Exact",IF(C574&lt;=Calc!$D$4,"Nice",""))</f>
        <v/>
      </c>
      <c r="E574" s="60"/>
      <c r="F574" s="24">
        <v>574</v>
      </c>
    </row>
    <row r="575" spans="1:6" hidden="1" x14ac:dyDescent="0.25">
      <c r="A575" s="21" t="str">
        <f ca="1">Calc!L575</f>
        <v/>
      </c>
      <c r="B575" s="22" t="str">
        <f ca="1">Calc!K575</f>
        <v/>
      </c>
      <c r="C575" s="39">
        <f ca="1">Calc!M575</f>
        <v>995</v>
      </c>
      <c r="D575" s="59" t="str">
        <f ca="1">IF(C575=0,"Exact",IF(C575&lt;=Calc!$D$4,"Nice",""))</f>
        <v/>
      </c>
      <c r="E575" s="60"/>
      <c r="F575" s="24">
        <v>575</v>
      </c>
    </row>
    <row r="576" spans="1:6" hidden="1" x14ac:dyDescent="0.25">
      <c r="A576" s="21" t="str">
        <f ca="1">Calc!L576</f>
        <v/>
      </c>
      <c r="B576" s="22" t="str">
        <f ca="1">Calc!K576</f>
        <v/>
      </c>
      <c r="C576" s="39">
        <f ca="1">Calc!M576</f>
        <v>995</v>
      </c>
      <c r="D576" s="59" t="str">
        <f ca="1">IF(C576=0,"Exact",IF(C576&lt;=Calc!$D$4,"Nice",""))</f>
        <v/>
      </c>
      <c r="E576" s="60"/>
      <c r="F576" s="24">
        <v>576</v>
      </c>
    </row>
    <row r="577" spans="1:6" hidden="1" x14ac:dyDescent="0.25">
      <c r="A577" s="21" t="str">
        <f ca="1">Calc!L577</f>
        <v/>
      </c>
      <c r="B577" s="22" t="str">
        <f ca="1">Calc!K577</f>
        <v/>
      </c>
      <c r="C577" s="39">
        <f ca="1">Calc!M577</f>
        <v>995</v>
      </c>
      <c r="D577" s="59" t="str">
        <f ca="1">IF(C577=0,"Exact",IF(C577&lt;=Calc!$D$4,"Nice",""))</f>
        <v/>
      </c>
      <c r="E577" s="60"/>
      <c r="F577" s="24">
        <v>577</v>
      </c>
    </row>
    <row r="578" spans="1:6" hidden="1" x14ac:dyDescent="0.25">
      <c r="A578" s="21" t="str">
        <f ca="1">Calc!L578</f>
        <v/>
      </c>
      <c r="B578" s="22" t="str">
        <f ca="1">Calc!K578</f>
        <v/>
      </c>
      <c r="C578" s="39">
        <f ca="1">Calc!M578</f>
        <v>995</v>
      </c>
      <c r="D578" s="59" t="str">
        <f ca="1">IF(C578=0,"Exact",IF(C578&lt;=Calc!$D$4,"Nice",""))</f>
        <v/>
      </c>
      <c r="E578" s="60"/>
      <c r="F578" s="24">
        <v>578</v>
      </c>
    </row>
    <row r="579" spans="1:6" hidden="1" x14ac:dyDescent="0.25">
      <c r="A579" s="21" t="str">
        <f ca="1">Calc!L579</f>
        <v/>
      </c>
      <c r="B579" s="22" t="str">
        <f ca="1">Calc!K579</f>
        <v/>
      </c>
      <c r="C579" s="39">
        <f ca="1">Calc!M579</f>
        <v>995</v>
      </c>
      <c r="D579" s="59" t="str">
        <f ca="1">IF(C579=0,"Exact",IF(C579&lt;=Calc!$D$4,"Nice",""))</f>
        <v/>
      </c>
      <c r="E579" s="60"/>
      <c r="F579" s="24">
        <v>579</v>
      </c>
    </row>
    <row r="580" spans="1:6" hidden="1" x14ac:dyDescent="0.25">
      <c r="A580" s="21" t="str">
        <f ca="1">Calc!L580</f>
        <v/>
      </c>
      <c r="B580" s="22" t="str">
        <f ca="1">Calc!K580</f>
        <v/>
      </c>
      <c r="C580" s="39">
        <f ca="1">Calc!M580</f>
        <v>995</v>
      </c>
      <c r="D580" s="59" t="str">
        <f ca="1">IF(C580=0,"Exact",IF(C580&lt;=Calc!$D$4,"Nice",""))</f>
        <v/>
      </c>
      <c r="E580" s="60"/>
      <c r="F580" s="24">
        <v>580</v>
      </c>
    </row>
    <row r="581" spans="1:6" hidden="1" x14ac:dyDescent="0.25">
      <c r="A581" s="21" t="str">
        <f ca="1">Calc!L581</f>
        <v/>
      </c>
      <c r="B581" s="22" t="str">
        <f ca="1">Calc!K581</f>
        <v/>
      </c>
      <c r="C581" s="39">
        <f ca="1">Calc!M581</f>
        <v>995</v>
      </c>
      <c r="D581" s="59" t="str">
        <f ca="1">IF(C581=0,"Exact",IF(C581&lt;=Calc!$D$4,"Nice",""))</f>
        <v/>
      </c>
      <c r="E581" s="60"/>
      <c r="F581" s="24">
        <v>581</v>
      </c>
    </row>
    <row r="582" spans="1:6" hidden="1" x14ac:dyDescent="0.25">
      <c r="A582" s="21" t="str">
        <f ca="1">Calc!L582</f>
        <v/>
      </c>
      <c r="B582" s="22" t="str">
        <f ca="1">Calc!K582</f>
        <v/>
      </c>
      <c r="C582" s="39">
        <f ca="1">Calc!M582</f>
        <v>995</v>
      </c>
      <c r="D582" s="59" t="str">
        <f ca="1">IF(C582=0,"Exact",IF(C582&lt;=Calc!$D$4,"Nice",""))</f>
        <v/>
      </c>
      <c r="E582" s="60"/>
      <c r="F582" s="24">
        <v>582</v>
      </c>
    </row>
    <row r="583" spans="1:6" hidden="1" x14ac:dyDescent="0.25">
      <c r="A583" s="21" t="str">
        <f ca="1">Calc!L583</f>
        <v/>
      </c>
      <c r="B583" s="22" t="str">
        <f ca="1">Calc!K583</f>
        <v/>
      </c>
      <c r="C583" s="39">
        <f ca="1">Calc!M583</f>
        <v>995</v>
      </c>
      <c r="D583" s="59" t="str">
        <f ca="1">IF(C583=0,"Exact",IF(C583&lt;=Calc!$D$4,"Nice",""))</f>
        <v/>
      </c>
      <c r="E583" s="60"/>
      <c r="F583" s="24">
        <v>583</v>
      </c>
    </row>
    <row r="584" spans="1:6" hidden="1" x14ac:dyDescent="0.25">
      <c r="A584" s="21" t="str">
        <f ca="1">Calc!L584</f>
        <v/>
      </c>
      <c r="B584" s="22" t="str">
        <f ca="1">Calc!K584</f>
        <v/>
      </c>
      <c r="C584" s="39">
        <f ca="1">Calc!M584</f>
        <v>995</v>
      </c>
      <c r="D584" s="59" t="str">
        <f ca="1">IF(C584=0,"Exact",IF(C584&lt;=Calc!$D$4,"Nice",""))</f>
        <v/>
      </c>
      <c r="E584" s="60"/>
      <c r="F584" s="24">
        <v>584</v>
      </c>
    </row>
    <row r="585" spans="1:6" hidden="1" x14ac:dyDescent="0.25">
      <c r="A585" s="21" t="str">
        <f ca="1">Calc!L585</f>
        <v/>
      </c>
      <c r="B585" s="22" t="str">
        <f ca="1">Calc!K585</f>
        <v/>
      </c>
      <c r="C585" s="39">
        <f ca="1">Calc!M585</f>
        <v>995</v>
      </c>
      <c r="D585" s="59" t="str">
        <f ca="1">IF(C585=0,"Exact",IF(C585&lt;=Calc!$D$4,"Nice",""))</f>
        <v/>
      </c>
      <c r="E585" s="60"/>
      <c r="F585" s="24">
        <v>585</v>
      </c>
    </row>
    <row r="586" spans="1:6" hidden="1" x14ac:dyDescent="0.25">
      <c r="A586" s="21" t="str">
        <f ca="1">Calc!L586</f>
        <v/>
      </c>
      <c r="B586" s="22" t="str">
        <f ca="1">Calc!K586</f>
        <v/>
      </c>
      <c r="C586" s="39">
        <f ca="1">Calc!M586</f>
        <v>995</v>
      </c>
      <c r="D586" s="59" t="str">
        <f ca="1">IF(C586=0,"Exact",IF(C586&lt;=Calc!$D$4,"Nice",""))</f>
        <v/>
      </c>
      <c r="E586" s="60"/>
      <c r="F586" s="24">
        <v>586</v>
      </c>
    </row>
    <row r="587" spans="1:6" hidden="1" x14ac:dyDescent="0.25">
      <c r="A587" s="21" t="str">
        <f ca="1">Calc!L587</f>
        <v/>
      </c>
      <c r="B587" s="22" t="str">
        <f ca="1">Calc!K587</f>
        <v/>
      </c>
      <c r="C587" s="39">
        <f ca="1">Calc!M587</f>
        <v>995</v>
      </c>
      <c r="D587" s="59" t="str">
        <f ca="1">IF(C587=0,"Exact",IF(C587&lt;=Calc!$D$4,"Nice",""))</f>
        <v/>
      </c>
      <c r="E587" s="60"/>
      <c r="F587" s="24">
        <v>587</v>
      </c>
    </row>
    <row r="588" spans="1:6" hidden="1" x14ac:dyDescent="0.25">
      <c r="A588" s="21" t="str">
        <f ca="1">Calc!L588</f>
        <v/>
      </c>
      <c r="B588" s="22" t="str">
        <f ca="1">Calc!K588</f>
        <v/>
      </c>
      <c r="C588" s="39">
        <f ca="1">Calc!M588</f>
        <v>995</v>
      </c>
      <c r="D588" s="59" t="str">
        <f ca="1">IF(C588=0,"Exact",IF(C588&lt;=Calc!$D$4,"Nice",""))</f>
        <v/>
      </c>
      <c r="E588" s="60"/>
      <c r="F588" s="24">
        <v>588</v>
      </c>
    </row>
    <row r="589" spans="1:6" hidden="1" x14ac:dyDescent="0.25">
      <c r="A589" s="21" t="str">
        <f ca="1">Calc!L589</f>
        <v/>
      </c>
      <c r="B589" s="22" t="str">
        <f ca="1">Calc!K589</f>
        <v/>
      </c>
      <c r="C589" s="39">
        <f ca="1">Calc!M589</f>
        <v>995</v>
      </c>
      <c r="D589" s="59" t="str">
        <f ca="1">IF(C589=0,"Exact",IF(C589&lt;=Calc!$D$4,"Nice",""))</f>
        <v/>
      </c>
      <c r="E589" s="60"/>
      <c r="F589" s="24">
        <v>589</v>
      </c>
    </row>
    <row r="590" spans="1:6" hidden="1" x14ac:dyDescent="0.25">
      <c r="A590" s="21" t="str">
        <f ca="1">Calc!L590</f>
        <v/>
      </c>
      <c r="B590" s="22" t="str">
        <f ca="1">Calc!K590</f>
        <v/>
      </c>
      <c r="C590" s="39">
        <f ca="1">Calc!M590</f>
        <v>995</v>
      </c>
      <c r="D590" s="59" t="str">
        <f ca="1">IF(C590=0,"Exact",IF(C590&lt;=Calc!$D$4,"Nice",""))</f>
        <v/>
      </c>
      <c r="E590" s="60"/>
      <c r="F590" s="24">
        <v>590</v>
      </c>
    </row>
    <row r="591" spans="1:6" hidden="1" x14ac:dyDescent="0.25">
      <c r="A591" s="21" t="str">
        <f ca="1">Calc!L591</f>
        <v/>
      </c>
      <c r="B591" s="22" t="str">
        <f ca="1">Calc!K591</f>
        <v/>
      </c>
      <c r="C591" s="39">
        <f ca="1">Calc!M591</f>
        <v>995</v>
      </c>
      <c r="D591" s="59" t="str">
        <f ca="1">IF(C591=0,"Exact",IF(C591&lt;=Calc!$D$4,"Nice",""))</f>
        <v/>
      </c>
      <c r="E591" s="60"/>
      <c r="F591" s="24">
        <v>591</v>
      </c>
    </row>
    <row r="592" spans="1:6" hidden="1" x14ac:dyDescent="0.25">
      <c r="A592" s="21" t="str">
        <f ca="1">Calc!L592</f>
        <v/>
      </c>
      <c r="B592" s="22" t="str">
        <f ca="1">Calc!K592</f>
        <v/>
      </c>
      <c r="C592" s="39">
        <f ca="1">Calc!M592</f>
        <v>995</v>
      </c>
      <c r="D592" s="59" t="str">
        <f ca="1">IF(C592=0,"Exact",IF(C592&lt;=Calc!$D$4,"Nice",""))</f>
        <v/>
      </c>
      <c r="E592" s="60"/>
      <c r="F592" s="24">
        <v>592</v>
      </c>
    </row>
    <row r="593" spans="1:6" hidden="1" x14ac:dyDescent="0.25">
      <c r="A593" s="21" t="str">
        <f ca="1">Calc!L593</f>
        <v/>
      </c>
      <c r="B593" s="22" t="str">
        <f ca="1">Calc!K593</f>
        <v/>
      </c>
      <c r="C593" s="39">
        <f ca="1">Calc!M593</f>
        <v>995</v>
      </c>
      <c r="D593" s="59" t="str">
        <f ca="1">IF(C593=0,"Exact",IF(C593&lt;=Calc!$D$4,"Nice",""))</f>
        <v/>
      </c>
      <c r="E593" s="60"/>
      <c r="F593" s="24">
        <v>593</v>
      </c>
    </row>
    <row r="594" spans="1:6" hidden="1" x14ac:dyDescent="0.25">
      <c r="A594" s="21" t="str">
        <f ca="1">Calc!L594</f>
        <v/>
      </c>
      <c r="B594" s="22" t="str">
        <f ca="1">Calc!K594</f>
        <v/>
      </c>
      <c r="C594" s="39">
        <f ca="1">Calc!M594</f>
        <v>995</v>
      </c>
      <c r="D594" s="59" t="str">
        <f ca="1">IF(C594=0,"Exact",IF(C594&lt;=Calc!$D$4,"Nice",""))</f>
        <v/>
      </c>
      <c r="E594" s="60"/>
      <c r="F594" s="24">
        <v>594</v>
      </c>
    </row>
    <row r="595" spans="1:6" hidden="1" x14ac:dyDescent="0.25">
      <c r="A595" s="21" t="str">
        <f ca="1">Calc!L595</f>
        <v/>
      </c>
      <c r="B595" s="22" t="str">
        <f ca="1">Calc!K595</f>
        <v/>
      </c>
      <c r="C595" s="39">
        <f ca="1">Calc!M595</f>
        <v>995</v>
      </c>
      <c r="D595" s="59" t="str">
        <f ca="1">IF(C595=0,"Exact",IF(C595&lt;=Calc!$D$4,"Nice",""))</f>
        <v/>
      </c>
      <c r="E595" s="60"/>
      <c r="F595" s="24">
        <v>595</v>
      </c>
    </row>
    <row r="596" spans="1:6" hidden="1" x14ac:dyDescent="0.25">
      <c r="A596" s="21" t="str">
        <f ca="1">Calc!L596</f>
        <v/>
      </c>
      <c r="B596" s="22" t="str">
        <f ca="1">Calc!K596</f>
        <v/>
      </c>
      <c r="C596" s="39">
        <f ca="1">Calc!M596</f>
        <v>995</v>
      </c>
      <c r="D596" s="59" t="str">
        <f ca="1">IF(C596=0,"Exact",IF(C596&lt;=Calc!$D$4,"Nice",""))</f>
        <v/>
      </c>
      <c r="E596" s="60"/>
      <c r="F596" s="24">
        <v>596</v>
      </c>
    </row>
    <row r="597" spans="1:6" hidden="1" x14ac:dyDescent="0.25">
      <c r="A597" s="21" t="str">
        <f ca="1">Calc!L597</f>
        <v/>
      </c>
      <c r="B597" s="22" t="str">
        <f ca="1">Calc!K597</f>
        <v/>
      </c>
      <c r="C597" s="39">
        <f ca="1">Calc!M597</f>
        <v>995</v>
      </c>
      <c r="D597" s="59" t="str">
        <f ca="1">IF(C597=0,"Exact",IF(C597&lt;=Calc!$D$4,"Nice",""))</f>
        <v/>
      </c>
      <c r="E597" s="60"/>
      <c r="F597" s="24">
        <v>597</v>
      </c>
    </row>
    <row r="598" spans="1:6" hidden="1" x14ac:dyDescent="0.25">
      <c r="A598" s="21" t="str">
        <f ca="1">Calc!L598</f>
        <v/>
      </c>
      <c r="B598" s="22" t="str">
        <f ca="1">Calc!K598</f>
        <v/>
      </c>
      <c r="C598" s="39">
        <f ca="1">Calc!M598</f>
        <v>995</v>
      </c>
      <c r="D598" s="59" t="str">
        <f ca="1">IF(C598=0,"Exact",IF(C598&lt;=Calc!$D$4,"Nice",""))</f>
        <v/>
      </c>
      <c r="E598" s="60"/>
      <c r="F598" s="24">
        <v>598</v>
      </c>
    </row>
    <row r="599" spans="1:6" hidden="1" x14ac:dyDescent="0.25">
      <c r="A599" s="21" t="str">
        <f ca="1">Calc!L599</f>
        <v/>
      </c>
      <c r="B599" s="22" t="str">
        <f ca="1">Calc!K599</f>
        <v/>
      </c>
      <c r="C599" s="39">
        <f ca="1">Calc!M599</f>
        <v>995</v>
      </c>
      <c r="D599" s="59" t="str">
        <f ca="1">IF(C599=0,"Exact",IF(C599&lt;=Calc!$D$4,"Nice",""))</f>
        <v/>
      </c>
      <c r="E599" s="60"/>
      <c r="F599" s="24">
        <v>599</v>
      </c>
    </row>
    <row r="600" spans="1:6" hidden="1" x14ac:dyDescent="0.25">
      <c r="A600" s="21" t="str">
        <f ca="1">Calc!L600</f>
        <v/>
      </c>
      <c r="B600" s="22" t="str">
        <f ca="1">Calc!K600</f>
        <v/>
      </c>
      <c r="C600" s="39">
        <f ca="1">Calc!M600</f>
        <v>995</v>
      </c>
      <c r="D600" s="59" t="str">
        <f ca="1">IF(C600=0,"Exact",IF(C600&lt;=Calc!$D$4,"Nice",""))</f>
        <v/>
      </c>
      <c r="E600" s="60"/>
      <c r="F600" s="24">
        <v>600</v>
      </c>
    </row>
    <row r="601" spans="1:6" hidden="1" x14ac:dyDescent="0.25">
      <c r="A601" s="21" t="str">
        <f ca="1">Calc!L601</f>
        <v/>
      </c>
      <c r="B601" s="22" t="str">
        <f ca="1">Calc!K601</f>
        <v/>
      </c>
      <c r="C601" s="39">
        <f ca="1">Calc!M601</f>
        <v>995</v>
      </c>
      <c r="D601" s="59" t="str">
        <f ca="1">IF(C601=0,"Exact",IF(C601&lt;=Calc!$D$4,"Nice",""))</f>
        <v/>
      </c>
      <c r="E601" s="60"/>
      <c r="F601" s="24">
        <v>601</v>
      </c>
    </row>
    <row r="602" spans="1:6" hidden="1" x14ac:dyDescent="0.25">
      <c r="A602" s="21" t="str">
        <f ca="1">Calc!L602</f>
        <v/>
      </c>
      <c r="B602" s="22" t="str">
        <f ca="1">Calc!K602</f>
        <v/>
      </c>
      <c r="C602" s="39">
        <f ca="1">Calc!M602</f>
        <v>995</v>
      </c>
      <c r="D602" s="59" t="str">
        <f ca="1">IF(C602=0,"Exact",IF(C602&lt;=Calc!$D$4,"Nice",""))</f>
        <v/>
      </c>
      <c r="E602" s="60"/>
      <c r="F602" s="24">
        <v>602</v>
      </c>
    </row>
    <row r="603" spans="1:6" hidden="1" x14ac:dyDescent="0.25">
      <c r="A603" s="21" t="str">
        <f ca="1">Calc!L603</f>
        <v/>
      </c>
      <c r="B603" s="22" t="str">
        <f ca="1">Calc!K603</f>
        <v/>
      </c>
      <c r="C603" s="39">
        <f ca="1">Calc!M603</f>
        <v>995</v>
      </c>
      <c r="D603" s="59" t="str">
        <f ca="1">IF(C603=0,"Exact",IF(C603&lt;=Calc!$D$4,"Nice",""))</f>
        <v/>
      </c>
      <c r="E603" s="60"/>
      <c r="F603" s="24">
        <v>603</v>
      </c>
    </row>
    <row r="604" spans="1:6" hidden="1" x14ac:dyDescent="0.25">
      <c r="A604" s="21" t="str">
        <f ca="1">Calc!L604</f>
        <v/>
      </c>
      <c r="B604" s="22" t="str">
        <f ca="1">Calc!K604</f>
        <v/>
      </c>
      <c r="C604" s="39">
        <f ca="1">Calc!M604</f>
        <v>995</v>
      </c>
      <c r="D604" s="59" t="str">
        <f ca="1">IF(C604=0,"Exact",IF(C604&lt;=Calc!$D$4,"Nice",""))</f>
        <v/>
      </c>
      <c r="E604" s="60"/>
      <c r="F604" s="24">
        <v>604</v>
      </c>
    </row>
    <row r="605" spans="1:6" hidden="1" x14ac:dyDescent="0.25">
      <c r="A605" s="21" t="str">
        <f ca="1">Calc!L605</f>
        <v/>
      </c>
      <c r="B605" s="22" t="str">
        <f ca="1">Calc!K605</f>
        <v/>
      </c>
      <c r="C605" s="39">
        <f ca="1">Calc!M605</f>
        <v>995</v>
      </c>
      <c r="D605" s="59" t="str">
        <f ca="1">IF(C605=0,"Exact",IF(C605&lt;=Calc!$D$4,"Nice",""))</f>
        <v/>
      </c>
      <c r="E605" s="60"/>
      <c r="F605" s="24">
        <v>605</v>
      </c>
    </row>
    <row r="606" spans="1:6" hidden="1" x14ac:dyDescent="0.25">
      <c r="A606" s="21" t="str">
        <f ca="1">Calc!L606</f>
        <v/>
      </c>
      <c r="B606" s="22" t="str">
        <f ca="1">Calc!K606</f>
        <v/>
      </c>
      <c r="C606" s="39">
        <f ca="1">Calc!M606</f>
        <v>995</v>
      </c>
      <c r="D606" s="59" t="str">
        <f ca="1">IF(C606=0,"Exact",IF(C606&lt;=Calc!$D$4,"Nice",""))</f>
        <v/>
      </c>
      <c r="E606" s="60"/>
      <c r="F606" s="24">
        <v>606</v>
      </c>
    </row>
    <row r="607" spans="1:6" hidden="1" x14ac:dyDescent="0.25">
      <c r="A607" s="21" t="str">
        <f ca="1">Calc!L607</f>
        <v/>
      </c>
      <c r="B607" s="22" t="str">
        <f ca="1">Calc!K607</f>
        <v/>
      </c>
      <c r="C607" s="39">
        <f ca="1">Calc!M607</f>
        <v>995</v>
      </c>
      <c r="D607" s="59" t="str">
        <f ca="1">IF(C607=0,"Exact",IF(C607&lt;=Calc!$D$4,"Nice",""))</f>
        <v/>
      </c>
      <c r="E607" s="60"/>
      <c r="F607" s="24">
        <v>607</v>
      </c>
    </row>
    <row r="608" spans="1:6" hidden="1" x14ac:dyDescent="0.25">
      <c r="A608" s="21" t="str">
        <f ca="1">Calc!L608</f>
        <v/>
      </c>
      <c r="B608" s="22" t="str">
        <f ca="1">Calc!K608</f>
        <v/>
      </c>
      <c r="C608" s="39">
        <f ca="1">Calc!M608</f>
        <v>995</v>
      </c>
      <c r="D608" s="59" t="str">
        <f ca="1">IF(C608=0,"Exact",IF(C608&lt;=Calc!$D$4,"Nice",""))</f>
        <v/>
      </c>
      <c r="E608" s="60"/>
      <c r="F608" s="24">
        <v>608</v>
      </c>
    </row>
    <row r="609" spans="1:6" hidden="1" x14ac:dyDescent="0.25">
      <c r="A609" s="21" t="str">
        <f ca="1">Calc!L609</f>
        <v/>
      </c>
      <c r="B609" s="22" t="str">
        <f ca="1">Calc!K609</f>
        <v/>
      </c>
      <c r="C609" s="39">
        <f ca="1">Calc!M609</f>
        <v>995</v>
      </c>
      <c r="D609" s="59" t="str">
        <f ca="1">IF(C609=0,"Exact",IF(C609&lt;=Calc!$D$4,"Nice",""))</f>
        <v/>
      </c>
      <c r="E609" s="60"/>
      <c r="F609" s="24">
        <v>609</v>
      </c>
    </row>
    <row r="610" spans="1:6" hidden="1" x14ac:dyDescent="0.25">
      <c r="A610" s="21" t="str">
        <f ca="1">Calc!L610</f>
        <v/>
      </c>
      <c r="B610" s="22" t="str">
        <f ca="1">Calc!K610</f>
        <v/>
      </c>
      <c r="C610" s="39">
        <f ca="1">Calc!M610</f>
        <v>995</v>
      </c>
      <c r="D610" s="59" t="str">
        <f ca="1">IF(C610=0,"Exact",IF(C610&lt;=Calc!$D$4,"Nice",""))</f>
        <v/>
      </c>
      <c r="E610" s="60"/>
      <c r="F610" s="24">
        <v>610</v>
      </c>
    </row>
    <row r="611" spans="1:6" hidden="1" x14ac:dyDescent="0.25">
      <c r="A611" s="21" t="str">
        <f ca="1">Calc!L611</f>
        <v/>
      </c>
      <c r="B611" s="22" t="str">
        <f ca="1">Calc!K611</f>
        <v/>
      </c>
      <c r="C611" s="39">
        <f ca="1">Calc!M611</f>
        <v>995</v>
      </c>
      <c r="D611" s="59" t="str">
        <f ca="1">IF(C611=0,"Exact",IF(C611&lt;=Calc!$D$4,"Nice",""))</f>
        <v/>
      </c>
      <c r="E611" s="60"/>
      <c r="F611" s="24">
        <v>611</v>
      </c>
    </row>
    <row r="612" spans="1:6" hidden="1" x14ac:dyDescent="0.25">
      <c r="A612" s="21" t="str">
        <f ca="1">Calc!L612</f>
        <v/>
      </c>
      <c r="B612" s="22" t="str">
        <f ca="1">Calc!K612</f>
        <v/>
      </c>
      <c r="C612" s="39">
        <f ca="1">Calc!M612</f>
        <v>995</v>
      </c>
      <c r="D612" s="59" t="str">
        <f ca="1">IF(C612=0,"Exact",IF(C612&lt;=Calc!$D$4,"Nice",""))</f>
        <v/>
      </c>
      <c r="E612" s="60"/>
      <c r="F612" s="24">
        <v>612</v>
      </c>
    </row>
    <row r="613" spans="1:6" hidden="1" x14ac:dyDescent="0.25">
      <c r="A613" s="21" t="str">
        <f ca="1">Calc!L613</f>
        <v/>
      </c>
      <c r="B613" s="22" t="str">
        <f ca="1">Calc!K613</f>
        <v/>
      </c>
      <c r="C613" s="39">
        <f ca="1">Calc!M613</f>
        <v>995</v>
      </c>
      <c r="D613" s="59" t="str">
        <f ca="1">IF(C613=0,"Exact",IF(C613&lt;=Calc!$D$4,"Nice",""))</f>
        <v/>
      </c>
      <c r="E613" s="60"/>
      <c r="F613" s="24">
        <v>613</v>
      </c>
    </row>
    <row r="614" spans="1:6" hidden="1" x14ac:dyDescent="0.25">
      <c r="A614" s="21" t="str">
        <f ca="1">Calc!L614</f>
        <v/>
      </c>
      <c r="B614" s="22" t="str">
        <f ca="1">Calc!K614</f>
        <v/>
      </c>
      <c r="C614" s="39">
        <f ca="1">Calc!M614</f>
        <v>995</v>
      </c>
      <c r="D614" s="59" t="str">
        <f ca="1">IF(C614=0,"Exact",IF(C614&lt;=Calc!$D$4,"Nice",""))</f>
        <v/>
      </c>
      <c r="E614" s="60"/>
      <c r="F614" s="24">
        <v>614</v>
      </c>
    </row>
    <row r="615" spans="1:6" hidden="1" x14ac:dyDescent="0.25">
      <c r="A615" s="21" t="str">
        <f ca="1">Calc!L615</f>
        <v/>
      </c>
      <c r="B615" s="22" t="str">
        <f ca="1">Calc!K615</f>
        <v/>
      </c>
      <c r="C615" s="39">
        <f ca="1">Calc!M615</f>
        <v>995</v>
      </c>
      <c r="D615" s="59" t="str">
        <f ca="1">IF(C615=0,"Exact",IF(C615&lt;=Calc!$D$4,"Nice",""))</f>
        <v/>
      </c>
      <c r="E615" s="60"/>
      <c r="F615" s="24">
        <v>615</v>
      </c>
    </row>
    <row r="616" spans="1:6" hidden="1" x14ac:dyDescent="0.25">
      <c r="A616" s="21" t="str">
        <f ca="1">Calc!L616</f>
        <v/>
      </c>
      <c r="B616" s="22" t="str">
        <f ca="1">Calc!K616</f>
        <v/>
      </c>
      <c r="C616" s="39">
        <f ca="1">Calc!M616</f>
        <v>995</v>
      </c>
      <c r="D616" s="59" t="str">
        <f ca="1">IF(C616=0,"Exact",IF(C616&lt;=Calc!$D$4,"Nice",""))</f>
        <v/>
      </c>
      <c r="E616" s="60"/>
      <c r="F616" s="24">
        <v>616</v>
      </c>
    </row>
    <row r="617" spans="1:6" hidden="1" x14ac:dyDescent="0.25">
      <c r="A617" s="21" t="str">
        <f ca="1">Calc!L617</f>
        <v/>
      </c>
      <c r="B617" s="22" t="str">
        <f ca="1">Calc!K617</f>
        <v/>
      </c>
      <c r="C617" s="39">
        <f ca="1">Calc!M617</f>
        <v>995</v>
      </c>
      <c r="D617" s="59" t="str">
        <f ca="1">IF(C617=0,"Exact",IF(C617&lt;=Calc!$D$4,"Nice",""))</f>
        <v/>
      </c>
      <c r="E617" s="60"/>
      <c r="F617" s="24">
        <v>617</v>
      </c>
    </row>
    <row r="618" spans="1:6" hidden="1" x14ac:dyDescent="0.25">
      <c r="A618" s="21" t="str">
        <f ca="1">Calc!L618</f>
        <v/>
      </c>
      <c r="B618" s="22" t="str">
        <f ca="1">Calc!K618</f>
        <v/>
      </c>
      <c r="C618" s="39">
        <f ca="1">Calc!M618</f>
        <v>995</v>
      </c>
      <c r="D618" s="59" t="str">
        <f ca="1">IF(C618=0,"Exact",IF(C618&lt;=Calc!$D$4,"Nice",""))</f>
        <v/>
      </c>
      <c r="E618" s="60"/>
      <c r="F618" s="24">
        <v>618</v>
      </c>
    </row>
    <row r="619" spans="1:6" hidden="1" x14ac:dyDescent="0.25">
      <c r="A619" s="21" t="str">
        <f ca="1">Calc!L619</f>
        <v/>
      </c>
      <c r="B619" s="22" t="str">
        <f ca="1">Calc!K619</f>
        <v/>
      </c>
      <c r="C619" s="39">
        <f ca="1">Calc!M619</f>
        <v>995</v>
      </c>
      <c r="D619" s="59" t="str">
        <f ca="1">IF(C619=0,"Exact",IF(C619&lt;=Calc!$D$4,"Nice",""))</f>
        <v/>
      </c>
      <c r="E619" s="60"/>
      <c r="F619" s="24">
        <v>619</v>
      </c>
    </row>
    <row r="620" spans="1:6" hidden="1" x14ac:dyDescent="0.25">
      <c r="A620" s="21" t="str">
        <f ca="1">Calc!L620</f>
        <v/>
      </c>
      <c r="B620" s="22" t="str">
        <f ca="1">Calc!K620</f>
        <v/>
      </c>
      <c r="C620" s="39">
        <f ca="1">Calc!M620</f>
        <v>995</v>
      </c>
      <c r="D620" s="59" t="str">
        <f ca="1">IF(C620=0,"Exact",IF(C620&lt;=Calc!$D$4,"Nice",""))</f>
        <v/>
      </c>
      <c r="E620" s="60"/>
      <c r="F620" s="24">
        <v>620</v>
      </c>
    </row>
    <row r="621" spans="1:6" hidden="1" x14ac:dyDescent="0.25">
      <c r="A621" s="21" t="str">
        <f ca="1">Calc!L621</f>
        <v/>
      </c>
      <c r="B621" s="22" t="str">
        <f ca="1">Calc!K621</f>
        <v/>
      </c>
      <c r="C621" s="39">
        <f ca="1">Calc!M621</f>
        <v>995</v>
      </c>
      <c r="D621" s="59" t="str">
        <f ca="1">IF(C621=0,"Exact",IF(C621&lt;=Calc!$D$4,"Nice",""))</f>
        <v/>
      </c>
      <c r="E621" s="60"/>
      <c r="F621" s="24">
        <v>621</v>
      </c>
    </row>
    <row r="622" spans="1:6" hidden="1" x14ac:dyDescent="0.25">
      <c r="A622" s="21" t="str">
        <f ca="1">Calc!L622</f>
        <v/>
      </c>
      <c r="B622" s="22" t="str">
        <f ca="1">Calc!K622</f>
        <v/>
      </c>
      <c r="C622" s="39">
        <f ca="1">Calc!M622</f>
        <v>995</v>
      </c>
      <c r="D622" s="59" t="str">
        <f ca="1">IF(C622=0,"Exact",IF(C622&lt;=Calc!$D$4,"Nice",""))</f>
        <v/>
      </c>
      <c r="E622" s="60"/>
      <c r="F622" s="24">
        <v>622</v>
      </c>
    </row>
    <row r="623" spans="1:6" hidden="1" x14ac:dyDescent="0.25">
      <c r="A623" s="21" t="str">
        <f ca="1">Calc!L623</f>
        <v/>
      </c>
      <c r="B623" s="22" t="str">
        <f ca="1">Calc!K623</f>
        <v/>
      </c>
      <c r="C623" s="39">
        <f ca="1">Calc!M623</f>
        <v>995</v>
      </c>
      <c r="D623" s="59" t="str">
        <f ca="1">IF(C623=0,"Exact",IF(C623&lt;=Calc!$D$4,"Nice",""))</f>
        <v/>
      </c>
      <c r="E623" s="60"/>
      <c r="F623" s="24">
        <v>623</v>
      </c>
    </row>
    <row r="624" spans="1:6" hidden="1" x14ac:dyDescent="0.25">
      <c r="A624" s="21" t="str">
        <f ca="1">Calc!L624</f>
        <v/>
      </c>
      <c r="B624" s="22" t="str">
        <f ca="1">Calc!K624</f>
        <v/>
      </c>
      <c r="C624" s="39">
        <f ca="1">Calc!M624</f>
        <v>995</v>
      </c>
      <c r="D624" s="59" t="str">
        <f ca="1">IF(C624=0,"Exact",IF(C624&lt;=Calc!$D$4,"Nice",""))</f>
        <v/>
      </c>
      <c r="E624" s="60"/>
      <c r="F624" s="24">
        <v>624</v>
      </c>
    </row>
    <row r="625" spans="1:6" hidden="1" x14ac:dyDescent="0.25">
      <c r="A625" s="21" t="str">
        <f ca="1">Calc!L625</f>
        <v/>
      </c>
      <c r="B625" s="22" t="str">
        <f ca="1">Calc!K625</f>
        <v/>
      </c>
      <c r="C625" s="39">
        <f ca="1">Calc!M625</f>
        <v>995</v>
      </c>
      <c r="D625" s="59" t="str">
        <f ca="1">IF(C625=0,"Exact",IF(C625&lt;=Calc!$D$4,"Nice",""))</f>
        <v/>
      </c>
      <c r="E625" s="60"/>
      <c r="F625" s="24">
        <v>625</v>
      </c>
    </row>
    <row r="626" spans="1:6" hidden="1" x14ac:dyDescent="0.25">
      <c r="A626" s="21" t="str">
        <f ca="1">Calc!L626</f>
        <v/>
      </c>
      <c r="B626" s="22" t="str">
        <f ca="1">Calc!K626</f>
        <v/>
      </c>
      <c r="C626" s="39">
        <f ca="1">Calc!M626</f>
        <v>995</v>
      </c>
      <c r="D626" s="59" t="str">
        <f ca="1">IF(C626=0,"Exact",IF(C626&lt;=Calc!$D$4,"Nice",""))</f>
        <v/>
      </c>
      <c r="E626" s="60"/>
      <c r="F626" s="24">
        <v>626</v>
      </c>
    </row>
    <row r="627" spans="1:6" hidden="1" x14ac:dyDescent="0.25">
      <c r="A627" s="21" t="str">
        <f ca="1">Calc!L627</f>
        <v/>
      </c>
      <c r="B627" s="22" t="str">
        <f ca="1">Calc!K627</f>
        <v/>
      </c>
      <c r="C627" s="39">
        <f ca="1">Calc!M627</f>
        <v>995</v>
      </c>
      <c r="D627" s="59" t="str">
        <f ca="1">IF(C627=0,"Exact",IF(C627&lt;=Calc!$D$4,"Nice",""))</f>
        <v/>
      </c>
      <c r="E627" s="60"/>
      <c r="F627" s="24">
        <v>627</v>
      </c>
    </row>
    <row r="628" spans="1:6" hidden="1" x14ac:dyDescent="0.25">
      <c r="A628" s="21" t="str">
        <f ca="1">Calc!L628</f>
        <v/>
      </c>
      <c r="B628" s="22" t="str">
        <f ca="1">Calc!K628</f>
        <v/>
      </c>
      <c r="C628" s="39">
        <f ca="1">Calc!M628</f>
        <v>995</v>
      </c>
      <c r="D628" s="59" t="str">
        <f ca="1">IF(C628=0,"Exact",IF(C628&lt;=Calc!$D$4,"Nice",""))</f>
        <v/>
      </c>
      <c r="E628" s="60"/>
      <c r="F628" s="24">
        <v>628</v>
      </c>
    </row>
    <row r="629" spans="1:6" hidden="1" x14ac:dyDescent="0.25">
      <c r="A629" s="21" t="str">
        <f ca="1">Calc!L629</f>
        <v/>
      </c>
      <c r="B629" s="22" t="str">
        <f ca="1">Calc!K629</f>
        <v/>
      </c>
      <c r="C629" s="39">
        <f ca="1">Calc!M629</f>
        <v>995</v>
      </c>
      <c r="D629" s="59" t="str">
        <f ca="1">IF(C629=0,"Exact",IF(C629&lt;=Calc!$D$4,"Nice",""))</f>
        <v/>
      </c>
      <c r="E629" s="60"/>
      <c r="F629" s="24">
        <v>629</v>
      </c>
    </row>
    <row r="630" spans="1:6" hidden="1" x14ac:dyDescent="0.25">
      <c r="A630" s="21" t="str">
        <f ca="1">Calc!L630</f>
        <v/>
      </c>
      <c r="B630" s="22" t="str">
        <f ca="1">Calc!K630</f>
        <v/>
      </c>
      <c r="C630" s="39">
        <f ca="1">Calc!M630</f>
        <v>995</v>
      </c>
      <c r="D630" s="59" t="str">
        <f ca="1">IF(C630=0,"Exact",IF(C630&lt;=Calc!$D$4,"Nice",""))</f>
        <v/>
      </c>
      <c r="E630" s="60"/>
      <c r="F630" s="24">
        <v>630</v>
      </c>
    </row>
    <row r="631" spans="1:6" hidden="1" x14ac:dyDescent="0.25">
      <c r="A631" s="21" t="str">
        <f ca="1">Calc!L631</f>
        <v/>
      </c>
      <c r="B631" s="22" t="str">
        <f ca="1">Calc!K631</f>
        <v/>
      </c>
      <c r="C631" s="39">
        <f ca="1">Calc!M631</f>
        <v>995</v>
      </c>
      <c r="D631" s="59" t="str">
        <f ca="1">IF(C631=0,"Exact",IF(C631&lt;=Calc!$D$4,"Nice",""))</f>
        <v/>
      </c>
      <c r="E631" s="60"/>
      <c r="F631" s="24">
        <v>631</v>
      </c>
    </row>
    <row r="632" spans="1:6" hidden="1" x14ac:dyDescent="0.25">
      <c r="A632" s="21" t="str">
        <f ca="1">Calc!L632</f>
        <v/>
      </c>
      <c r="B632" s="22" t="str">
        <f ca="1">Calc!K632</f>
        <v/>
      </c>
      <c r="C632" s="39">
        <f ca="1">Calc!M632</f>
        <v>995</v>
      </c>
      <c r="D632" s="59" t="str">
        <f ca="1">IF(C632=0,"Exact",IF(C632&lt;=Calc!$D$4,"Nice",""))</f>
        <v/>
      </c>
      <c r="E632" s="60"/>
      <c r="F632" s="24">
        <v>632</v>
      </c>
    </row>
    <row r="633" spans="1:6" hidden="1" x14ac:dyDescent="0.25">
      <c r="A633" s="21" t="str">
        <f ca="1">Calc!L633</f>
        <v/>
      </c>
      <c r="B633" s="22" t="str">
        <f ca="1">Calc!K633</f>
        <v/>
      </c>
      <c r="C633" s="39">
        <f ca="1">Calc!M633</f>
        <v>995</v>
      </c>
      <c r="D633" s="59" t="str">
        <f ca="1">IF(C633=0,"Exact",IF(C633&lt;=Calc!$D$4,"Nice",""))</f>
        <v/>
      </c>
      <c r="E633" s="60"/>
      <c r="F633" s="24">
        <v>633</v>
      </c>
    </row>
    <row r="634" spans="1:6" hidden="1" x14ac:dyDescent="0.25">
      <c r="A634" s="21" t="str">
        <f ca="1">Calc!L634</f>
        <v/>
      </c>
      <c r="B634" s="22" t="str">
        <f ca="1">Calc!K634</f>
        <v/>
      </c>
      <c r="C634" s="39">
        <f ca="1">Calc!M634</f>
        <v>995</v>
      </c>
      <c r="D634" s="59" t="str">
        <f ca="1">IF(C634=0,"Exact",IF(C634&lt;=Calc!$D$4,"Nice",""))</f>
        <v/>
      </c>
      <c r="E634" s="60"/>
      <c r="F634" s="24">
        <v>634</v>
      </c>
    </row>
    <row r="635" spans="1:6" hidden="1" x14ac:dyDescent="0.25">
      <c r="A635" s="21" t="str">
        <f ca="1">Calc!L635</f>
        <v/>
      </c>
      <c r="B635" s="22" t="str">
        <f ca="1">Calc!K635</f>
        <v/>
      </c>
      <c r="C635" s="39">
        <f ca="1">Calc!M635</f>
        <v>995</v>
      </c>
      <c r="D635" s="59" t="str">
        <f ca="1">IF(C635=0,"Exact",IF(C635&lt;=Calc!$D$4,"Nice",""))</f>
        <v/>
      </c>
      <c r="E635" s="60"/>
      <c r="F635" s="24">
        <v>635</v>
      </c>
    </row>
    <row r="636" spans="1:6" hidden="1" x14ac:dyDescent="0.25">
      <c r="A636" s="21" t="str">
        <f ca="1">Calc!L636</f>
        <v/>
      </c>
      <c r="B636" s="22" t="str">
        <f ca="1">Calc!K636</f>
        <v/>
      </c>
      <c r="C636" s="39">
        <f ca="1">Calc!M636</f>
        <v>995</v>
      </c>
      <c r="D636" s="59" t="str">
        <f ca="1">IF(C636=0,"Exact",IF(C636&lt;=Calc!$D$4,"Nice",""))</f>
        <v/>
      </c>
      <c r="E636" s="60"/>
      <c r="F636" s="24">
        <v>636</v>
      </c>
    </row>
    <row r="637" spans="1:6" hidden="1" x14ac:dyDescent="0.25">
      <c r="A637" s="21" t="str">
        <f ca="1">Calc!L637</f>
        <v/>
      </c>
      <c r="B637" s="22" t="str">
        <f ca="1">Calc!K637</f>
        <v/>
      </c>
      <c r="C637" s="39">
        <f ca="1">Calc!M637</f>
        <v>995</v>
      </c>
      <c r="D637" s="59" t="str">
        <f ca="1">IF(C637=0,"Exact",IF(C637&lt;=Calc!$D$4,"Nice",""))</f>
        <v/>
      </c>
      <c r="E637" s="60"/>
      <c r="F637" s="24">
        <v>637</v>
      </c>
    </row>
    <row r="638" spans="1:6" hidden="1" x14ac:dyDescent="0.25">
      <c r="A638" s="21" t="str">
        <f ca="1">Calc!L638</f>
        <v/>
      </c>
      <c r="B638" s="22" t="str">
        <f ca="1">Calc!K638</f>
        <v/>
      </c>
      <c r="C638" s="39">
        <f ca="1">Calc!M638</f>
        <v>995</v>
      </c>
      <c r="D638" s="59" t="str">
        <f ca="1">IF(C638=0,"Exact",IF(C638&lt;=Calc!$D$4,"Nice",""))</f>
        <v/>
      </c>
      <c r="E638" s="60"/>
      <c r="F638" s="24">
        <v>638</v>
      </c>
    </row>
    <row r="639" spans="1:6" hidden="1" x14ac:dyDescent="0.25">
      <c r="A639" s="21" t="str">
        <f ca="1">Calc!L639</f>
        <v/>
      </c>
      <c r="B639" s="22" t="str">
        <f ca="1">Calc!K639</f>
        <v/>
      </c>
      <c r="C639" s="39">
        <f ca="1">Calc!M639</f>
        <v>995</v>
      </c>
      <c r="D639" s="59" t="str">
        <f ca="1">IF(C639=0,"Exact",IF(C639&lt;=Calc!$D$4,"Nice",""))</f>
        <v/>
      </c>
      <c r="E639" s="60"/>
      <c r="F639" s="24">
        <v>639</v>
      </c>
    </row>
    <row r="640" spans="1:6" hidden="1" x14ac:dyDescent="0.25">
      <c r="A640" s="21" t="str">
        <f ca="1">Calc!L640</f>
        <v/>
      </c>
      <c r="B640" s="22" t="str">
        <f ca="1">Calc!K640</f>
        <v/>
      </c>
      <c r="C640" s="39">
        <f ca="1">Calc!M640</f>
        <v>995</v>
      </c>
      <c r="D640" s="59" t="str">
        <f ca="1">IF(C640=0,"Exact",IF(C640&lt;=Calc!$D$4,"Nice",""))</f>
        <v/>
      </c>
      <c r="E640" s="60"/>
      <c r="F640" s="24">
        <v>640</v>
      </c>
    </row>
    <row r="641" spans="1:6" hidden="1" x14ac:dyDescent="0.25">
      <c r="A641" s="21" t="str">
        <f ca="1">Calc!L641</f>
        <v/>
      </c>
      <c r="B641" s="22" t="str">
        <f ca="1">Calc!K641</f>
        <v/>
      </c>
      <c r="C641" s="39">
        <f ca="1">Calc!M641</f>
        <v>995</v>
      </c>
      <c r="D641" s="59" t="str">
        <f ca="1">IF(C641=0,"Exact",IF(C641&lt;=Calc!$D$4,"Nice",""))</f>
        <v/>
      </c>
      <c r="E641" s="60"/>
      <c r="F641" s="24">
        <v>641</v>
      </c>
    </row>
    <row r="642" spans="1:6" hidden="1" x14ac:dyDescent="0.25">
      <c r="A642" s="21" t="str">
        <f ca="1">Calc!L642</f>
        <v/>
      </c>
      <c r="B642" s="22" t="str">
        <f ca="1">Calc!K642</f>
        <v/>
      </c>
      <c r="C642" s="39">
        <f ca="1">Calc!M642</f>
        <v>995</v>
      </c>
      <c r="D642" s="59" t="str">
        <f ca="1">IF(C642=0,"Exact",IF(C642&lt;=Calc!$D$4,"Nice",""))</f>
        <v/>
      </c>
      <c r="E642" s="60"/>
      <c r="F642" s="24">
        <v>642</v>
      </c>
    </row>
    <row r="643" spans="1:6" hidden="1" x14ac:dyDescent="0.25">
      <c r="A643" s="21" t="str">
        <f ca="1">Calc!L643</f>
        <v/>
      </c>
      <c r="B643" s="22" t="str">
        <f ca="1">Calc!K643</f>
        <v/>
      </c>
      <c r="C643" s="39">
        <f ca="1">Calc!M643</f>
        <v>995</v>
      </c>
      <c r="D643" s="59" t="str">
        <f ca="1">IF(C643=0,"Exact",IF(C643&lt;=Calc!$D$4,"Nice",""))</f>
        <v/>
      </c>
      <c r="E643" s="60"/>
      <c r="F643" s="24">
        <v>643</v>
      </c>
    </row>
    <row r="644" spans="1:6" hidden="1" x14ac:dyDescent="0.25">
      <c r="A644" s="21" t="str">
        <f ca="1">Calc!L644</f>
        <v/>
      </c>
      <c r="B644" s="22" t="str">
        <f ca="1">Calc!K644</f>
        <v/>
      </c>
      <c r="C644" s="39">
        <f ca="1">Calc!M644</f>
        <v>995</v>
      </c>
      <c r="D644" s="59" t="str">
        <f ca="1">IF(C644=0,"Exact",IF(C644&lt;=Calc!$D$4,"Nice",""))</f>
        <v/>
      </c>
      <c r="E644" s="60"/>
      <c r="F644" s="24">
        <v>644</v>
      </c>
    </row>
    <row r="645" spans="1:6" hidden="1" x14ac:dyDescent="0.25">
      <c r="A645" s="21" t="str">
        <f ca="1">Calc!L645</f>
        <v/>
      </c>
      <c r="B645" s="22" t="str">
        <f ca="1">Calc!K645</f>
        <v/>
      </c>
      <c r="C645" s="39">
        <f ca="1">Calc!M645</f>
        <v>995</v>
      </c>
      <c r="D645" s="59" t="str">
        <f ca="1">IF(C645=0,"Exact",IF(C645&lt;=Calc!$D$4,"Nice",""))</f>
        <v/>
      </c>
      <c r="E645" s="60"/>
      <c r="F645" s="24">
        <v>645</v>
      </c>
    </row>
    <row r="646" spans="1:6" hidden="1" x14ac:dyDescent="0.25">
      <c r="A646" s="21" t="str">
        <f ca="1">Calc!L646</f>
        <v/>
      </c>
      <c r="B646" s="22" t="str">
        <f ca="1">Calc!K646</f>
        <v/>
      </c>
      <c r="C646" s="39">
        <f ca="1">Calc!M646</f>
        <v>995</v>
      </c>
      <c r="D646" s="59" t="str">
        <f ca="1">IF(C646=0,"Exact",IF(C646&lt;=Calc!$D$4,"Nice",""))</f>
        <v/>
      </c>
      <c r="E646" s="60"/>
      <c r="F646" s="24">
        <v>646</v>
      </c>
    </row>
    <row r="647" spans="1:6" hidden="1" x14ac:dyDescent="0.25">
      <c r="A647" s="21" t="str">
        <f ca="1">Calc!L647</f>
        <v/>
      </c>
      <c r="B647" s="22" t="str">
        <f ca="1">Calc!K647</f>
        <v/>
      </c>
      <c r="C647" s="39">
        <f ca="1">Calc!M647</f>
        <v>995</v>
      </c>
      <c r="D647" s="59" t="str">
        <f ca="1">IF(C647=0,"Exact",IF(C647&lt;=Calc!$D$4,"Nice",""))</f>
        <v/>
      </c>
      <c r="E647" s="60"/>
      <c r="F647" s="24">
        <v>647</v>
      </c>
    </row>
    <row r="648" spans="1:6" hidden="1" x14ac:dyDescent="0.25">
      <c r="A648" s="21" t="str">
        <f ca="1">Calc!L648</f>
        <v/>
      </c>
      <c r="B648" s="22" t="str">
        <f ca="1">Calc!K648</f>
        <v/>
      </c>
      <c r="C648" s="39">
        <f ca="1">Calc!M648</f>
        <v>995</v>
      </c>
      <c r="D648" s="59" t="str">
        <f ca="1">IF(C648=0,"Exact",IF(C648&lt;=Calc!$D$4,"Nice",""))</f>
        <v/>
      </c>
      <c r="E648" s="60"/>
      <c r="F648" s="24">
        <v>648</v>
      </c>
    </row>
    <row r="649" spans="1:6" hidden="1" x14ac:dyDescent="0.25">
      <c r="A649" s="21" t="str">
        <f ca="1">Calc!L649</f>
        <v/>
      </c>
      <c r="B649" s="22" t="str">
        <f ca="1">Calc!K649</f>
        <v/>
      </c>
      <c r="C649" s="39">
        <f ca="1">Calc!M649</f>
        <v>995</v>
      </c>
      <c r="D649" s="59" t="str">
        <f ca="1">IF(C649=0,"Exact",IF(C649&lt;=Calc!$D$4,"Nice",""))</f>
        <v/>
      </c>
      <c r="E649" s="60"/>
      <c r="F649" s="24">
        <v>649</v>
      </c>
    </row>
    <row r="650" spans="1:6" hidden="1" x14ac:dyDescent="0.25">
      <c r="A650" s="21" t="str">
        <f ca="1">Calc!L650</f>
        <v/>
      </c>
      <c r="B650" s="22" t="str">
        <f ca="1">Calc!K650</f>
        <v/>
      </c>
      <c r="C650" s="39">
        <f ca="1">Calc!M650</f>
        <v>995</v>
      </c>
      <c r="D650" s="59" t="str">
        <f ca="1">IF(C650=0,"Exact",IF(C650&lt;=Calc!$D$4,"Nice",""))</f>
        <v/>
      </c>
      <c r="E650" s="60"/>
      <c r="F650" s="24">
        <v>650</v>
      </c>
    </row>
    <row r="651" spans="1:6" hidden="1" x14ac:dyDescent="0.25">
      <c r="A651" s="21" t="str">
        <f ca="1">Calc!L651</f>
        <v/>
      </c>
      <c r="B651" s="22" t="str">
        <f ca="1">Calc!K651</f>
        <v/>
      </c>
      <c r="C651" s="39">
        <f ca="1">Calc!M651</f>
        <v>995</v>
      </c>
      <c r="D651" s="59" t="str">
        <f ca="1">IF(C651=0,"Exact",IF(C651&lt;=Calc!$D$4,"Nice",""))</f>
        <v/>
      </c>
      <c r="E651" s="60"/>
      <c r="F651" s="24">
        <v>651</v>
      </c>
    </row>
    <row r="652" spans="1:6" hidden="1" x14ac:dyDescent="0.25">
      <c r="A652" s="21" t="str">
        <f ca="1">Calc!L652</f>
        <v/>
      </c>
      <c r="B652" s="22" t="str">
        <f ca="1">Calc!K652</f>
        <v/>
      </c>
      <c r="C652" s="39">
        <f ca="1">Calc!M652</f>
        <v>995</v>
      </c>
      <c r="D652" s="59" t="str">
        <f ca="1">IF(C652=0,"Exact",IF(C652&lt;=Calc!$D$4,"Nice",""))</f>
        <v/>
      </c>
      <c r="E652" s="60"/>
      <c r="F652" s="24">
        <v>652</v>
      </c>
    </row>
    <row r="653" spans="1:6" hidden="1" x14ac:dyDescent="0.25">
      <c r="A653" s="21" t="str">
        <f ca="1">Calc!L653</f>
        <v/>
      </c>
      <c r="B653" s="22" t="str">
        <f ca="1">Calc!K653</f>
        <v/>
      </c>
      <c r="C653" s="39">
        <f ca="1">Calc!M653</f>
        <v>995</v>
      </c>
      <c r="D653" s="59" t="str">
        <f ca="1">IF(C653=0,"Exact",IF(C653&lt;=Calc!$D$4,"Nice",""))</f>
        <v/>
      </c>
      <c r="E653" s="60"/>
      <c r="F653" s="24">
        <v>653</v>
      </c>
    </row>
    <row r="654" spans="1:6" hidden="1" x14ac:dyDescent="0.25">
      <c r="A654" s="21" t="str">
        <f ca="1">Calc!L654</f>
        <v/>
      </c>
      <c r="B654" s="22" t="str">
        <f ca="1">Calc!K654</f>
        <v/>
      </c>
      <c r="C654" s="39">
        <f ca="1">Calc!M654</f>
        <v>995</v>
      </c>
      <c r="D654" s="59" t="str">
        <f ca="1">IF(C654=0,"Exact",IF(C654&lt;=Calc!$D$4,"Nice",""))</f>
        <v/>
      </c>
      <c r="E654" s="60"/>
      <c r="F654" s="24">
        <v>654</v>
      </c>
    </row>
    <row r="655" spans="1:6" hidden="1" x14ac:dyDescent="0.25">
      <c r="A655" s="21" t="str">
        <f ca="1">Calc!L655</f>
        <v/>
      </c>
      <c r="B655" s="22" t="str">
        <f ca="1">Calc!K655</f>
        <v/>
      </c>
      <c r="C655" s="39">
        <f ca="1">Calc!M655</f>
        <v>995</v>
      </c>
      <c r="D655" s="59" t="str">
        <f ca="1">IF(C655=0,"Exact",IF(C655&lt;=Calc!$D$4,"Nice",""))</f>
        <v/>
      </c>
      <c r="E655" s="60"/>
      <c r="F655" s="24">
        <v>655</v>
      </c>
    </row>
    <row r="656" spans="1:6" hidden="1" x14ac:dyDescent="0.25">
      <c r="A656" s="21" t="str">
        <f ca="1">Calc!L656</f>
        <v/>
      </c>
      <c r="B656" s="22" t="str">
        <f ca="1">Calc!K656</f>
        <v/>
      </c>
      <c r="C656" s="39">
        <f ca="1">Calc!M656</f>
        <v>995</v>
      </c>
      <c r="D656" s="59" t="str">
        <f ca="1">IF(C656=0,"Exact",IF(C656&lt;=Calc!$D$4,"Nice",""))</f>
        <v/>
      </c>
      <c r="E656" s="60"/>
      <c r="F656" s="24">
        <v>656</v>
      </c>
    </row>
    <row r="657" spans="1:6" hidden="1" x14ac:dyDescent="0.25">
      <c r="A657" s="21" t="str">
        <f ca="1">Calc!L657</f>
        <v/>
      </c>
      <c r="B657" s="22" t="str">
        <f ca="1">Calc!K657</f>
        <v/>
      </c>
      <c r="C657" s="39">
        <f ca="1">Calc!M657</f>
        <v>995</v>
      </c>
      <c r="D657" s="59" t="str">
        <f ca="1">IF(C657=0,"Exact",IF(C657&lt;=Calc!$D$4,"Nice",""))</f>
        <v/>
      </c>
      <c r="E657" s="60"/>
      <c r="F657" s="24">
        <v>657</v>
      </c>
    </row>
    <row r="658" spans="1:6" hidden="1" x14ac:dyDescent="0.25">
      <c r="A658" s="21" t="str">
        <f ca="1">Calc!L658</f>
        <v/>
      </c>
      <c r="B658" s="22" t="str">
        <f ca="1">Calc!K658</f>
        <v/>
      </c>
      <c r="C658" s="39">
        <f ca="1">Calc!M658</f>
        <v>995</v>
      </c>
      <c r="D658" s="59" t="str">
        <f ca="1">IF(C658=0,"Exact",IF(C658&lt;=Calc!$D$4,"Nice",""))</f>
        <v/>
      </c>
      <c r="E658" s="60"/>
      <c r="F658" s="24">
        <v>658</v>
      </c>
    </row>
    <row r="659" spans="1:6" hidden="1" x14ac:dyDescent="0.25">
      <c r="A659" s="21" t="str">
        <f ca="1">Calc!L659</f>
        <v/>
      </c>
      <c r="B659" s="22" t="str">
        <f ca="1">Calc!K659</f>
        <v/>
      </c>
      <c r="C659" s="39">
        <f ca="1">Calc!M659</f>
        <v>995</v>
      </c>
      <c r="D659" s="59" t="str">
        <f ca="1">IF(C659=0,"Exact",IF(C659&lt;=Calc!$D$4,"Nice",""))</f>
        <v/>
      </c>
      <c r="E659" s="60"/>
      <c r="F659" s="24">
        <v>659</v>
      </c>
    </row>
    <row r="660" spans="1:6" hidden="1" x14ac:dyDescent="0.25">
      <c r="A660" s="21" t="str">
        <f ca="1">Calc!L660</f>
        <v/>
      </c>
      <c r="B660" s="22" t="str">
        <f ca="1">Calc!K660</f>
        <v/>
      </c>
      <c r="C660" s="39">
        <f ca="1">Calc!M660</f>
        <v>995</v>
      </c>
      <c r="D660" s="59" t="str">
        <f ca="1">IF(C660=0,"Exact",IF(C660&lt;=Calc!$D$4,"Nice",""))</f>
        <v/>
      </c>
      <c r="E660" s="60"/>
      <c r="F660" s="24">
        <v>660</v>
      </c>
    </row>
    <row r="661" spans="1:6" hidden="1" x14ac:dyDescent="0.25">
      <c r="A661" s="21" t="str">
        <f ca="1">Calc!L661</f>
        <v/>
      </c>
      <c r="B661" s="22" t="str">
        <f ca="1">Calc!K661</f>
        <v/>
      </c>
      <c r="C661" s="39">
        <f ca="1">Calc!M661</f>
        <v>995</v>
      </c>
      <c r="D661" s="59" t="str">
        <f ca="1">IF(C661=0,"Exact",IF(C661&lt;=Calc!$D$4,"Nice",""))</f>
        <v/>
      </c>
      <c r="E661" s="60"/>
      <c r="F661" s="24">
        <v>661</v>
      </c>
    </row>
    <row r="662" spans="1:6" hidden="1" x14ac:dyDescent="0.25">
      <c r="A662" s="21" t="str">
        <f ca="1">Calc!L662</f>
        <v/>
      </c>
      <c r="B662" s="22" t="str">
        <f ca="1">Calc!K662</f>
        <v/>
      </c>
      <c r="C662" s="39">
        <f ca="1">Calc!M662</f>
        <v>995</v>
      </c>
      <c r="D662" s="59" t="str">
        <f ca="1">IF(C662=0,"Exact",IF(C662&lt;=Calc!$D$4,"Nice",""))</f>
        <v/>
      </c>
      <c r="E662" s="60"/>
      <c r="F662" s="24">
        <v>662</v>
      </c>
    </row>
    <row r="663" spans="1:6" hidden="1" x14ac:dyDescent="0.25">
      <c r="A663" s="21" t="str">
        <f ca="1">Calc!L663</f>
        <v/>
      </c>
      <c r="B663" s="22" t="str">
        <f ca="1">Calc!K663</f>
        <v/>
      </c>
      <c r="C663" s="39">
        <f ca="1">Calc!M663</f>
        <v>995</v>
      </c>
      <c r="D663" s="59" t="str">
        <f ca="1">IF(C663=0,"Exact",IF(C663&lt;=Calc!$D$4,"Nice",""))</f>
        <v/>
      </c>
      <c r="E663" s="60"/>
      <c r="F663" s="24">
        <v>663</v>
      </c>
    </row>
    <row r="664" spans="1:6" hidden="1" x14ac:dyDescent="0.25">
      <c r="A664" s="21" t="str">
        <f ca="1">Calc!L664</f>
        <v/>
      </c>
      <c r="B664" s="22" t="str">
        <f ca="1">Calc!K664</f>
        <v/>
      </c>
      <c r="C664" s="39">
        <f ca="1">Calc!M664</f>
        <v>995</v>
      </c>
      <c r="D664" s="59" t="str">
        <f ca="1">IF(C664=0,"Exact",IF(C664&lt;=Calc!$D$4,"Nice",""))</f>
        <v/>
      </c>
      <c r="E664" s="60"/>
      <c r="F664" s="24">
        <v>664</v>
      </c>
    </row>
    <row r="665" spans="1:6" hidden="1" x14ac:dyDescent="0.25">
      <c r="A665" s="21" t="str">
        <f ca="1">Calc!L665</f>
        <v/>
      </c>
      <c r="B665" s="22" t="str">
        <f ca="1">Calc!K665</f>
        <v/>
      </c>
      <c r="C665" s="39">
        <f ca="1">Calc!M665</f>
        <v>995</v>
      </c>
      <c r="D665" s="59" t="str">
        <f ca="1">IF(C665=0,"Exact",IF(C665&lt;=Calc!$D$4,"Nice",""))</f>
        <v/>
      </c>
      <c r="E665" s="60"/>
      <c r="F665" s="24">
        <v>665</v>
      </c>
    </row>
    <row r="666" spans="1:6" hidden="1" x14ac:dyDescent="0.25">
      <c r="A666" s="21" t="str">
        <f ca="1">Calc!L666</f>
        <v/>
      </c>
      <c r="B666" s="22" t="str">
        <f ca="1">Calc!K666</f>
        <v/>
      </c>
      <c r="C666" s="39">
        <f ca="1">Calc!M666</f>
        <v>995</v>
      </c>
      <c r="D666" s="59" t="str">
        <f ca="1">IF(C666=0,"Exact",IF(C666&lt;=Calc!$D$4,"Nice",""))</f>
        <v/>
      </c>
      <c r="E666" s="60"/>
      <c r="F666" s="24">
        <v>666</v>
      </c>
    </row>
    <row r="667" spans="1:6" hidden="1" x14ac:dyDescent="0.25">
      <c r="A667" s="21" t="str">
        <f ca="1">Calc!L667</f>
        <v/>
      </c>
      <c r="B667" s="22" t="str">
        <f ca="1">Calc!K667</f>
        <v/>
      </c>
      <c r="C667" s="39">
        <f ca="1">Calc!M667</f>
        <v>995</v>
      </c>
      <c r="D667" s="59" t="str">
        <f ca="1">IF(C667=0,"Exact",IF(C667&lt;=Calc!$D$4,"Nice",""))</f>
        <v/>
      </c>
      <c r="E667" s="60"/>
      <c r="F667" s="24">
        <v>667</v>
      </c>
    </row>
    <row r="668" spans="1:6" hidden="1" x14ac:dyDescent="0.25">
      <c r="A668" s="21" t="str">
        <f ca="1">Calc!L668</f>
        <v/>
      </c>
      <c r="B668" s="22" t="str">
        <f ca="1">Calc!K668</f>
        <v/>
      </c>
      <c r="C668" s="39">
        <f ca="1">Calc!M668</f>
        <v>995</v>
      </c>
      <c r="D668" s="59" t="str">
        <f ca="1">IF(C668=0,"Exact",IF(C668&lt;=Calc!$D$4,"Nice",""))</f>
        <v/>
      </c>
      <c r="E668" s="60"/>
      <c r="F668" s="24">
        <v>668</v>
      </c>
    </row>
    <row r="669" spans="1:6" hidden="1" x14ac:dyDescent="0.25">
      <c r="A669" s="21" t="str">
        <f ca="1">Calc!L669</f>
        <v/>
      </c>
      <c r="B669" s="22" t="str">
        <f ca="1">Calc!K669</f>
        <v/>
      </c>
      <c r="C669" s="39">
        <f ca="1">Calc!M669</f>
        <v>995</v>
      </c>
      <c r="D669" s="59" t="str">
        <f ca="1">IF(C669=0,"Exact",IF(C669&lt;=Calc!$D$4,"Nice",""))</f>
        <v/>
      </c>
      <c r="E669" s="60"/>
      <c r="F669" s="24">
        <v>669</v>
      </c>
    </row>
    <row r="670" spans="1:6" hidden="1" x14ac:dyDescent="0.25">
      <c r="A670" s="21" t="str">
        <f ca="1">Calc!L670</f>
        <v/>
      </c>
      <c r="B670" s="22" t="str">
        <f ca="1">Calc!K670</f>
        <v/>
      </c>
      <c r="C670" s="39">
        <f ca="1">Calc!M670</f>
        <v>995</v>
      </c>
      <c r="D670" s="59" t="str">
        <f ca="1">IF(C670=0,"Exact",IF(C670&lt;=Calc!$D$4,"Nice",""))</f>
        <v/>
      </c>
      <c r="E670" s="60"/>
      <c r="F670" s="24">
        <v>670</v>
      </c>
    </row>
    <row r="671" spans="1:6" hidden="1" x14ac:dyDescent="0.25">
      <c r="A671" s="21" t="str">
        <f ca="1">Calc!L671</f>
        <v/>
      </c>
      <c r="B671" s="22" t="str">
        <f ca="1">Calc!K671</f>
        <v/>
      </c>
      <c r="C671" s="39">
        <f ca="1">Calc!M671</f>
        <v>995</v>
      </c>
      <c r="D671" s="59" t="str">
        <f ca="1">IF(C671=0,"Exact",IF(C671&lt;=Calc!$D$4,"Nice",""))</f>
        <v/>
      </c>
      <c r="E671" s="60"/>
      <c r="F671" s="24">
        <v>671</v>
      </c>
    </row>
    <row r="672" spans="1:6" hidden="1" x14ac:dyDescent="0.25">
      <c r="A672" s="21" t="str">
        <f ca="1">Calc!L672</f>
        <v/>
      </c>
      <c r="B672" s="22" t="str">
        <f ca="1">Calc!K672</f>
        <v/>
      </c>
      <c r="C672" s="39">
        <f ca="1">Calc!M672</f>
        <v>995</v>
      </c>
      <c r="D672" s="59" t="str">
        <f ca="1">IF(C672=0,"Exact",IF(C672&lt;=Calc!$D$4,"Nice",""))</f>
        <v/>
      </c>
      <c r="E672" s="60"/>
      <c r="F672" s="24">
        <v>672</v>
      </c>
    </row>
    <row r="673" spans="1:6" hidden="1" x14ac:dyDescent="0.25">
      <c r="A673" s="21" t="str">
        <f ca="1">Calc!L673</f>
        <v/>
      </c>
      <c r="B673" s="22" t="str">
        <f ca="1">Calc!K673</f>
        <v/>
      </c>
      <c r="C673" s="39">
        <f ca="1">Calc!M673</f>
        <v>995</v>
      </c>
      <c r="D673" s="59" t="str">
        <f ca="1">IF(C673=0,"Exact",IF(C673&lt;=Calc!$D$4,"Nice",""))</f>
        <v/>
      </c>
      <c r="E673" s="60"/>
      <c r="F673" s="24">
        <v>673</v>
      </c>
    </row>
    <row r="674" spans="1:6" hidden="1" x14ac:dyDescent="0.25">
      <c r="A674" s="21" t="str">
        <f ca="1">Calc!L674</f>
        <v/>
      </c>
      <c r="B674" s="22" t="str">
        <f ca="1">Calc!K674</f>
        <v/>
      </c>
      <c r="C674" s="39">
        <f ca="1">Calc!M674</f>
        <v>995</v>
      </c>
      <c r="D674" s="59" t="str">
        <f ca="1">IF(C674=0,"Exact",IF(C674&lt;=Calc!$D$4,"Nice",""))</f>
        <v/>
      </c>
      <c r="E674" s="60"/>
      <c r="F674" s="24">
        <v>674</v>
      </c>
    </row>
    <row r="675" spans="1:6" hidden="1" x14ac:dyDescent="0.25">
      <c r="A675" s="21" t="str">
        <f ca="1">Calc!L675</f>
        <v/>
      </c>
      <c r="B675" s="22" t="str">
        <f ca="1">Calc!K675</f>
        <v/>
      </c>
      <c r="C675" s="39">
        <f ca="1">Calc!M675</f>
        <v>995</v>
      </c>
      <c r="D675" s="59" t="str">
        <f ca="1">IF(C675=0,"Exact",IF(C675&lt;=Calc!$D$4,"Nice",""))</f>
        <v/>
      </c>
      <c r="E675" s="60"/>
      <c r="F675" s="24">
        <v>675</v>
      </c>
    </row>
    <row r="676" spans="1:6" hidden="1" x14ac:dyDescent="0.25">
      <c r="A676" s="21" t="str">
        <f ca="1">Calc!L676</f>
        <v/>
      </c>
      <c r="B676" s="22" t="str">
        <f ca="1">Calc!K676</f>
        <v/>
      </c>
      <c r="C676" s="39">
        <f ca="1">Calc!M676</f>
        <v>995</v>
      </c>
      <c r="D676" s="59" t="str">
        <f ca="1">IF(C676=0,"Exact",IF(C676&lt;=Calc!$D$4,"Nice",""))</f>
        <v/>
      </c>
      <c r="E676" s="60"/>
      <c r="F676" s="24">
        <v>676</v>
      </c>
    </row>
    <row r="677" spans="1:6" hidden="1" x14ac:dyDescent="0.25">
      <c r="A677" s="21" t="str">
        <f ca="1">Calc!L677</f>
        <v/>
      </c>
      <c r="B677" s="22" t="str">
        <f ca="1">Calc!K677</f>
        <v/>
      </c>
      <c r="C677" s="39">
        <f ca="1">Calc!M677</f>
        <v>995</v>
      </c>
      <c r="D677" s="59" t="str">
        <f ca="1">IF(C677=0,"Exact",IF(C677&lt;=Calc!$D$4,"Nice",""))</f>
        <v/>
      </c>
      <c r="E677" s="60"/>
      <c r="F677" s="24">
        <v>677</v>
      </c>
    </row>
    <row r="678" spans="1:6" hidden="1" x14ac:dyDescent="0.25">
      <c r="A678" s="21" t="str">
        <f ca="1">Calc!L678</f>
        <v/>
      </c>
      <c r="B678" s="22" t="str">
        <f ca="1">Calc!K678</f>
        <v/>
      </c>
      <c r="C678" s="39">
        <f ca="1">Calc!M678</f>
        <v>995</v>
      </c>
      <c r="D678" s="59" t="str">
        <f ca="1">IF(C678=0,"Exact",IF(C678&lt;=Calc!$D$4,"Nice",""))</f>
        <v/>
      </c>
      <c r="E678" s="60"/>
      <c r="F678" s="24">
        <v>678</v>
      </c>
    </row>
    <row r="679" spans="1:6" hidden="1" x14ac:dyDescent="0.25">
      <c r="A679" s="21" t="str">
        <f ca="1">Calc!L679</f>
        <v/>
      </c>
      <c r="B679" s="22" t="str">
        <f ca="1">Calc!K679</f>
        <v/>
      </c>
      <c r="C679" s="39">
        <f ca="1">Calc!M679</f>
        <v>995</v>
      </c>
      <c r="D679" s="59" t="str">
        <f ca="1">IF(C679=0,"Exact",IF(C679&lt;=Calc!$D$4,"Nice",""))</f>
        <v/>
      </c>
      <c r="E679" s="60"/>
      <c r="F679" s="24">
        <v>679</v>
      </c>
    </row>
    <row r="680" spans="1:6" hidden="1" x14ac:dyDescent="0.25">
      <c r="A680" s="21" t="str">
        <f ca="1">Calc!L680</f>
        <v/>
      </c>
      <c r="B680" s="22" t="str">
        <f ca="1">Calc!K680</f>
        <v/>
      </c>
      <c r="C680" s="39">
        <f ca="1">Calc!M680</f>
        <v>995</v>
      </c>
      <c r="D680" s="59" t="str">
        <f ca="1">IF(C680=0,"Exact",IF(C680&lt;=Calc!$D$4,"Nice",""))</f>
        <v/>
      </c>
      <c r="E680" s="60"/>
      <c r="F680" s="24">
        <v>680</v>
      </c>
    </row>
    <row r="681" spans="1:6" hidden="1" x14ac:dyDescent="0.25">
      <c r="A681" s="21" t="str">
        <f ca="1">Calc!L681</f>
        <v/>
      </c>
      <c r="B681" s="22" t="str">
        <f ca="1">Calc!K681</f>
        <v/>
      </c>
      <c r="C681" s="39">
        <f ca="1">Calc!M681</f>
        <v>995</v>
      </c>
      <c r="D681" s="59" t="str">
        <f ca="1">IF(C681=0,"Exact",IF(C681&lt;=Calc!$D$4,"Nice",""))</f>
        <v/>
      </c>
      <c r="E681" s="60"/>
      <c r="F681" s="24">
        <v>681</v>
      </c>
    </row>
    <row r="682" spans="1:6" hidden="1" x14ac:dyDescent="0.25">
      <c r="A682" s="21" t="str">
        <f ca="1">Calc!L682</f>
        <v/>
      </c>
      <c r="B682" s="22" t="str">
        <f ca="1">Calc!K682</f>
        <v/>
      </c>
      <c r="C682" s="39">
        <f ca="1">Calc!M682</f>
        <v>995</v>
      </c>
      <c r="D682" s="59" t="str">
        <f ca="1">IF(C682=0,"Exact",IF(C682&lt;=Calc!$D$4,"Nice",""))</f>
        <v/>
      </c>
      <c r="E682" s="60"/>
      <c r="F682" s="24">
        <v>682</v>
      </c>
    </row>
    <row r="683" spans="1:6" hidden="1" x14ac:dyDescent="0.25">
      <c r="A683" s="21" t="str">
        <f ca="1">Calc!L683</f>
        <v/>
      </c>
      <c r="B683" s="22" t="str">
        <f ca="1">Calc!K683</f>
        <v/>
      </c>
      <c r="C683" s="39">
        <f ca="1">Calc!M683</f>
        <v>995</v>
      </c>
      <c r="D683" s="59" t="str">
        <f ca="1">IF(C683=0,"Exact",IF(C683&lt;=Calc!$D$4,"Nice",""))</f>
        <v/>
      </c>
      <c r="E683" s="60"/>
      <c r="F683" s="24">
        <v>683</v>
      </c>
    </row>
    <row r="684" spans="1:6" hidden="1" x14ac:dyDescent="0.25">
      <c r="A684" s="21" t="str">
        <f ca="1">Calc!L684</f>
        <v/>
      </c>
      <c r="B684" s="22" t="str">
        <f ca="1">Calc!K684</f>
        <v/>
      </c>
      <c r="C684" s="39">
        <f ca="1">Calc!M684</f>
        <v>995</v>
      </c>
      <c r="D684" s="59" t="str">
        <f ca="1">IF(C684=0,"Exact",IF(C684&lt;=Calc!$D$4,"Nice",""))</f>
        <v/>
      </c>
      <c r="E684" s="60"/>
      <c r="F684" s="24">
        <v>684</v>
      </c>
    </row>
    <row r="685" spans="1:6" hidden="1" x14ac:dyDescent="0.25">
      <c r="A685" s="21" t="str">
        <f ca="1">Calc!L685</f>
        <v/>
      </c>
      <c r="B685" s="22" t="str">
        <f ca="1">Calc!K685</f>
        <v/>
      </c>
      <c r="C685" s="39">
        <f ca="1">Calc!M685</f>
        <v>995</v>
      </c>
      <c r="D685" s="59" t="str">
        <f ca="1">IF(C685=0,"Exact",IF(C685&lt;=Calc!$D$4,"Nice",""))</f>
        <v/>
      </c>
      <c r="E685" s="60"/>
      <c r="F685" s="24">
        <v>685</v>
      </c>
    </row>
    <row r="686" spans="1:6" hidden="1" x14ac:dyDescent="0.25">
      <c r="A686" s="21" t="str">
        <f ca="1">Calc!L686</f>
        <v/>
      </c>
      <c r="B686" s="22" t="str">
        <f ca="1">Calc!K686</f>
        <v/>
      </c>
      <c r="C686" s="39">
        <f ca="1">Calc!M686</f>
        <v>995</v>
      </c>
      <c r="D686" s="59" t="str">
        <f ca="1">IF(C686=0,"Exact",IF(C686&lt;=Calc!$D$4,"Nice",""))</f>
        <v/>
      </c>
      <c r="E686" s="60"/>
      <c r="F686" s="24">
        <v>686</v>
      </c>
    </row>
    <row r="687" spans="1:6" hidden="1" x14ac:dyDescent="0.25">
      <c r="A687" s="21" t="str">
        <f ca="1">Calc!L687</f>
        <v/>
      </c>
      <c r="B687" s="22" t="str">
        <f ca="1">Calc!K687</f>
        <v/>
      </c>
      <c r="C687" s="39">
        <f ca="1">Calc!M687</f>
        <v>995</v>
      </c>
      <c r="D687" s="59" t="str">
        <f ca="1">IF(C687=0,"Exact",IF(C687&lt;=Calc!$D$4,"Nice",""))</f>
        <v/>
      </c>
      <c r="E687" s="60"/>
      <c r="F687" s="24">
        <v>687</v>
      </c>
    </row>
    <row r="688" spans="1:6" hidden="1" x14ac:dyDescent="0.25">
      <c r="A688" s="21" t="str">
        <f ca="1">Calc!L688</f>
        <v/>
      </c>
      <c r="B688" s="22" t="str">
        <f ca="1">Calc!K688</f>
        <v/>
      </c>
      <c r="C688" s="39">
        <f ca="1">Calc!M688</f>
        <v>995</v>
      </c>
      <c r="D688" s="59" t="str">
        <f ca="1">IF(C688=0,"Exact",IF(C688&lt;=Calc!$D$4,"Nice",""))</f>
        <v/>
      </c>
      <c r="E688" s="60"/>
      <c r="F688" s="24">
        <v>688</v>
      </c>
    </row>
    <row r="689" spans="1:6" hidden="1" x14ac:dyDescent="0.25">
      <c r="A689" s="21" t="str">
        <f ca="1">Calc!L689</f>
        <v/>
      </c>
      <c r="B689" s="22" t="str">
        <f ca="1">Calc!K689</f>
        <v/>
      </c>
      <c r="C689" s="39">
        <f ca="1">Calc!M689</f>
        <v>995</v>
      </c>
      <c r="D689" s="59" t="str">
        <f ca="1">IF(C689=0,"Exact",IF(C689&lt;=Calc!$D$4,"Nice",""))</f>
        <v/>
      </c>
      <c r="E689" s="60"/>
      <c r="F689" s="24">
        <v>689</v>
      </c>
    </row>
    <row r="690" spans="1:6" hidden="1" x14ac:dyDescent="0.25">
      <c r="A690" s="21" t="str">
        <f ca="1">Calc!L690</f>
        <v/>
      </c>
      <c r="B690" s="22" t="str">
        <f ca="1">Calc!K690</f>
        <v/>
      </c>
      <c r="C690" s="39">
        <f ca="1">Calc!M690</f>
        <v>995</v>
      </c>
      <c r="D690" s="59" t="str">
        <f ca="1">IF(C690=0,"Exact",IF(C690&lt;=Calc!$D$4,"Nice",""))</f>
        <v/>
      </c>
      <c r="E690" s="60"/>
      <c r="F690" s="24">
        <v>690</v>
      </c>
    </row>
    <row r="691" spans="1:6" hidden="1" x14ac:dyDescent="0.25">
      <c r="A691" s="21" t="str">
        <f ca="1">Calc!L691</f>
        <v/>
      </c>
      <c r="B691" s="22" t="str">
        <f ca="1">Calc!K691</f>
        <v/>
      </c>
      <c r="C691" s="39">
        <f ca="1">Calc!M691</f>
        <v>995</v>
      </c>
      <c r="D691" s="59" t="str">
        <f ca="1">IF(C691=0,"Exact",IF(C691&lt;=Calc!$D$4,"Nice",""))</f>
        <v/>
      </c>
      <c r="E691" s="60"/>
      <c r="F691" s="24">
        <v>691</v>
      </c>
    </row>
    <row r="692" spans="1:6" hidden="1" x14ac:dyDescent="0.25">
      <c r="A692" s="21" t="str">
        <f ca="1">Calc!L692</f>
        <v/>
      </c>
      <c r="B692" s="22" t="str">
        <f ca="1">Calc!K692</f>
        <v/>
      </c>
      <c r="C692" s="39">
        <f ca="1">Calc!M692</f>
        <v>995</v>
      </c>
      <c r="D692" s="59" t="str">
        <f ca="1">IF(C692=0,"Exact",IF(C692&lt;=Calc!$D$4,"Nice",""))</f>
        <v/>
      </c>
      <c r="E692" s="60"/>
      <c r="F692" s="24">
        <v>692</v>
      </c>
    </row>
    <row r="693" spans="1:6" hidden="1" x14ac:dyDescent="0.25">
      <c r="A693" s="21" t="str">
        <f ca="1">Calc!L693</f>
        <v/>
      </c>
      <c r="B693" s="22" t="str">
        <f ca="1">Calc!K693</f>
        <v/>
      </c>
      <c r="C693" s="39">
        <f ca="1">Calc!M693</f>
        <v>995</v>
      </c>
      <c r="D693" s="59" t="str">
        <f ca="1">IF(C693=0,"Exact",IF(C693&lt;=Calc!$D$4,"Nice",""))</f>
        <v/>
      </c>
      <c r="E693" s="60"/>
      <c r="F693" s="24">
        <v>693</v>
      </c>
    </row>
    <row r="694" spans="1:6" hidden="1" x14ac:dyDescent="0.25">
      <c r="A694" s="21" t="str">
        <f ca="1">Calc!L694</f>
        <v/>
      </c>
      <c r="B694" s="22" t="str">
        <f ca="1">Calc!K694</f>
        <v/>
      </c>
      <c r="C694" s="39">
        <f ca="1">Calc!M694</f>
        <v>995</v>
      </c>
      <c r="D694" s="59" t="str">
        <f ca="1">IF(C694=0,"Exact",IF(C694&lt;=Calc!$D$4,"Nice",""))</f>
        <v/>
      </c>
      <c r="E694" s="60"/>
      <c r="F694" s="24">
        <v>694</v>
      </c>
    </row>
    <row r="695" spans="1:6" hidden="1" x14ac:dyDescent="0.25">
      <c r="A695" s="21" t="str">
        <f ca="1">Calc!L695</f>
        <v/>
      </c>
      <c r="B695" s="22" t="str">
        <f ca="1">Calc!K695</f>
        <v/>
      </c>
      <c r="C695" s="39">
        <f ca="1">Calc!M695</f>
        <v>995</v>
      </c>
      <c r="D695" s="59" t="str">
        <f ca="1">IF(C695=0,"Exact",IF(C695&lt;=Calc!$D$4,"Nice",""))</f>
        <v/>
      </c>
      <c r="E695" s="60"/>
      <c r="F695" s="24">
        <v>695</v>
      </c>
    </row>
    <row r="696" spans="1:6" hidden="1" x14ac:dyDescent="0.25">
      <c r="A696" s="21" t="str">
        <f ca="1">Calc!L696</f>
        <v/>
      </c>
      <c r="B696" s="22" t="str">
        <f ca="1">Calc!K696</f>
        <v/>
      </c>
      <c r="C696" s="39">
        <f ca="1">Calc!M696</f>
        <v>995</v>
      </c>
      <c r="D696" s="59" t="str">
        <f ca="1">IF(C696=0,"Exact",IF(C696&lt;=Calc!$D$4,"Nice",""))</f>
        <v/>
      </c>
      <c r="E696" s="60"/>
      <c r="F696" s="24">
        <v>696</v>
      </c>
    </row>
    <row r="697" spans="1:6" hidden="1" x14ac:dyDescent="0.25">
      <c r="A697" s="21" t="str">
        <f ca="1">Calc!L697</f>
        <v/>
      </c>
      <c r="B697" s="22" t="str">
        <f ca="1">Calc!K697</f>
        <v/>
      </c>
      <c r="C697" s="39">
        <f ca="1">Calc!M697</f>
        <v>995</v>
      </c>
      <c r="D697" s="59" t="str">
        <f ca="1">IF(C697=0,"Exact",IF(C697&lt;=Calc!$D$4,"Nice",""))</f>
        <v/>
      </c>
      <c r="E697" s="60"/>
      <c r="F697" s="24">
        <v>697</v>
      </c>
    </row>
    <row r="698" spans="1:6" hidden="1" x14ac:dyDescent="0.25">
      <c r="A698" s="21" t="str">
        <f ca="1">Calc!L698</f>
        <v/>
      </c>
      <c r="B698" s="22" t="str">
        <f ca="1">Calc!K698</f>
        <v/>
      </c>
      <c r="C698" s="39">
        <f ca="1">Calc!M698</f>
        <v>995</v>
      </c>
      <c r="D698" s="59" t="str">
        <f ca="1">IF(C698=0,"Exact",IF(C698&lt;=Calc!$D$4,"Nice",""))</f>
        <v/>
      </c>
      <c r="E698" s="60"/>
      <c r="F698" s="24">
        <v>698</v>
      </c>
    </row>
    <row r="699" spans="1:6" hidden="1" x14ac:dyDescent="0.25">
      <c r="A699" s="21" t="str">
        <f ca="1">Calc!L699</f>
        <v/>
      </c>
      <c r="B699" s="22" t="str">
        <f ca="1">Calc!K699</f>
        <v/>
      </c>
      <c r="C699" s="39">
        <f ca="1">Calc!M699</f>
        <v>995</v>
      </c>
      <c r="D699" s="59" t="str">
        <f ca="1">IF(C699=0,"Exact",IF(C699&lt;=Calc!$D$4,"Nice",""))</f>
        <v/>
      </c>
      <c r="E699" s="60"/>
      <c r="F699" s="24">
        <v>699</v>
      </c>
    </row>
    <row r="700" spans="1:6" hidden="1" x14ac:dyDescent="0.25">
      <c r="A700" s="21" t="str">
        <f ca="1">Calc!L700</f>
        <v/>
      </c>
      <c r="B700" s="22" t="str">
        <f ca="1">Calc!K700</f>
        <v/>
      </c>
      <c r="C700" s="39">
        <f ca="1">Calc!M700</f>
        <v>995</v>
      </c>
      <c r="D700" s="59" t="str">
        <f ca="1">IF(C700=0,"Exact",IF(C700&lt;=Calc!$D$4,"Nice",""))</f>
        <v/>
      </c>
      <c r="E700" s="60"/>
      <c r="F700" s="24">
        <v>700</v>
      </c>
    </row>
    <row r="701" spans="1:6" hidden="1" x14ac:dyDescent="0.25">
      <c r="A701" s="21" t="str">
        <f ca="1">Calc!L701</f>
        <v/>
      </c>
      <c r="B701" s="22" t="str">
        <f ca="1">Calc!K701</f>
        <v/>
      </c>
      <c r="C701" s="39">
        <f ca="1">Calc!M701</f>
        <v>995</v>
      </c>
      <c r="D701" s="59" t="str">
        <f ca="1">IF(C701=0,"Exact",IF(C701&lt;=Calc!$D$4,"Nice",""))</f>
        <v/>
      </c>
      <c r="E701" s="60"/>
      <c r="F701" s="24">
        <v>701</v>
      </c>
    </row>
    <row r="702" spans="1:6" hidden="1" x14ac:dyDescent="0.25">
      <c r="A702" s="21" t="str">
        <f ca="1">Calc!L702</f>
        <v/>
      </c>
      <c r="B702" s="22" t="str">
        <f ca="1">Calc!K702</f>
        <v/>
      </c>
      <c r="C702" s="39">
        <f ca="1">Calc!M702</f>
        <v>995</v>
      </c>
      <c r="D702" s="59" t="str">
        <f ca="1">IF(C702=0,"Exact",IF(C702&lt;=Calc!$D$4,"Nice",""))</f>
        <v/>
      </c>
      <c r="E702" s="60"/>
      <c r="F702" s="24">
        <v>702</v>
      </c>
    </row>
    <row r="703" spans="1:6" hidden="1" x14ac:dyDescent="0.25">
      <c r="A703" s="21" t="str">
        <f ca="1">Calc!L703</f>
        <v/>
      </c>
      <c r="B703" s="22" t="str">
        <f ca="1">Calc!K703</f>
        <v/>
      </c>
      <c r="C703" s="39">
        <f ca="1">Calc!M703</f>
        <v>995</v>
      </c>
      <c r="D703" s="59" t="str">
        <f ca="1">IF(C703=0,"Exact",IF(C703&lt;=Calc!$D$4,"Nice",""))</f>
        <v/>
      </c>
      <c r="E703" s="60"/>
      <c r="F703" s="24">
        <v>703</v>
      </c>
    </row>
    <row r="704" spans="1:6" hidden="1" x14ac:dyDescent="0.25">
      <c r="A704" s="21" t="str">
        <f ca="1">Calc!L704</f>
        <v/>
      </c>
      <c r="B704" s="22" t="str">
        <f ca="1">Calc!K704</f>
        <v/>
      </c>
      <c r="C704" s="39">
        <f ca="1">Calc!M704</f>
        <v>995</v>
      </c>
      <c r="D704" s="59" t="str">
        <f ca="1">IF(C704=0,"Exact",IF(C704&lt;=Calc!$D$4,"Nice",""))</f>
        <v/>
      </c>
      <c r="E704" s="60"/>
      <c r="F704" s="24">
        <v>704</v>
      </c>
    </row>
    <row r="705" spans="1:6" hidden="1" x14ac:dyDescent="0.25">
      <c r="A705" s="21" t="str">
        <f ca="1">Calc!L705</f>
        <v/>
      </c>
      <c r="B705" s="22" t="str">
        <f ca="1">Calc!K705</f>
        <v/>
      </c>
      <c r="C705" s="39">
        <f ca="1">Calc!M705</f>
        <v>995</v>
      </c>
      <c r="D705" s="59" t="str">
        <f ca="1">IF(C705=0,"Exact",IF(C705&lt;=Calc!$D$4,"Nice",""))</f>
        <v/>
      </c>
      <c r="E705" s="60"/>
      <c r="F705" s="24">
        <v>705</v>
      </c>
    </row>
    <row r="706" spans="1:6" hidden="1" x14ac:dyDescent="0.25">
      <c r="A706" s="21" t="str">
        <f ca="1">Calc!L706</f>
        <v/>
      </c>
      <c r="B706" s="22" t="str">
        <f ca="1">Calc!K706</f>
        <v/>
      </c>
      <c r="C706" s="39">
        <f ca="1">Calc!M706</f>
        <v>995</v>
      </c>
      <c r="D706" s="59" t="str">
        <f ca="1">IF(C706=0,"Exact",IF(C706&lt;=Calc!$D$4,"Nice",""))</f>
        <v/>
      </c>
      <c r="E706" s="60"/>
      <c r="F706" s="24">
        <v>706</v>
      </c>
    </row>
    <row r="707" spans="1:6" hidden="1" x14ac:dyDescent="0.25">
      <c r="A707" s="21" t="str">
        <f ca="1">Calc!L707</f>
        <v/>
      </c>
      <c r="B707" s="22" t="str">
        <f ca="1">Calc!K707</f>
        <v/>
      </c>
      <c r="C707" s="39">
        <f ca="1">Calc!M707</f>
        <v>995</v>
      </c>
      <c r="D707" s="59" t="str">
        <f ca="1">IF(C707=0,"Exact",IF(C707&lt;=Calc!$D$4,"Nice",""))</f>
        <v/>
      </c>
      <c r="E707" s="60"/>
      <c r="F707" s="24">
        <v>707</v>
      </c>
    </row>
    <row r="708" spans="1:6" hidden="1" x14ac:dyDescent="0.25">
      <c r="A708" s="21" t="str">
        <f ca="1">Calc!L708</f>
        <v/>
      </c>
      <c r="B708" s="22" t="str">
        <f ca="1">Calc!K708</f>
        <v/>
      </c>
      <c r="C708" s="39">
        <f ca="1">Calc!M708</f>
        <v>995</v>
      </c>
      <c r="D708" s="59" t="str">
        <f ca="1">IF(C708=0,"Exact",IF(C708&lt;=Calc!$D$4,"Nice",""))</f>
        <v/>
      </c>
      <c r="E708" s="60"/>
      <c r="F708" s="24">
        <v>708</v>
      </c>
    </row>
    <row r="709" spans="1:6" hidden="1" x14ac:dyDescent="0.25">
      <c r="A709" s="21" t="str">
        <f ca="1">Calc!L709</f>
        <v/>
      </c>
      <c r="B709" s="22" t="str">
        <f ca="1">Calc!K709</f>
        <v/>
      </c>
      <c r="C709" s="39">
        <f ca="1">Calc!M709</f>
        <v>995</v>
      </c>
      <c r="D709" s="59" t="str">
        <f ca="1">IF(C709=0,"Exact",IF(C709&lt;=Calc!$D$4,"Nice",""))</f>
        <v/>
      </c>
      <c r="E709" s="60"/>
      <c r="F709" s="24">
        <v>709</v>
      </c>
    </row>
    <row r="710" spans="1:6" hidden="1" x14ac:dyDescent="0.25">
      <c r="A710" s="21" t="str">
        <f ca="1">Calc!L710</f>
        <v/>
      </c>
      <c r="B710" s="22" t="str">
        <f ca="1">Calc!K710</f>
        <v/>
      </c>
      <c r="C710" s="39">
        <f ca="1">Calc!M710</f>
        <v>995</v>
      </c>
      <c r="D710" s="59" t="str">
        <f ca="1">IF(C710=0,"Exact",IF(C710&lt;=Calc!$D$4,"Nice",""))</f>
        <v/>
      </c>
      <c r="E710" s="60"/>
      <c r="F710" s="24">
        <v>710</v>
      </c>
    </row>
    <row r="711" spans="1:6" hidden="1" x14ac:dyDescent="0.25">
      <c r="A711" s="21" t="str">
        <f ca="1">Calc!L711</f>
        <v/>
      </c>
      <c r="B711" s="22" t="str">
        <f ca="1">Calc!K711</f>
        <v/>
      </c>
      <c r="C711" s="39">
        <f ca="1">Calc!M711</f>
        <v>995</v>
      </c>
      <c r="D711" s="59" t="str">
        <f ca="1">IF(C711=0,"Exact",IF(C711&lt;=Calc!$D$4,"Nice",""))</f>
        <v/>
      </c>
      <c r="E711" s="60"/>
      <c r="F711" s="24">
        <v>711</v>
      </c>
    </row>
    <row r="712" spans="1:6" hidden="1" x14ac:dyDescent="0.25">
      <c r="A712" s="21" t="str">
        <f ca="1">Calc!L712</f>
        <v/>
      </c>
      <c r="B712" s="22" t="str">
        <f ca="1">Calc!K712</f>
        <v/>
      </c>
      <c r="C712" s="39">
        <f ca="1">Calc!M712</f>
        <v>995</v>
      </c>
      <c r="D712" s="59" t="str">
        <f ca="1">IF(C712=0,"Exact",IF(C712&lt;=Calc!$D$4,"Nice",""))</f>
        <v/>
      </c>
      <c r="E712" s="60"/>
      <c r="F712" s="24">
        <v>712</v>
      </c>
    </row>
    <row r="713" spans="1:6" hidden="1" x14ac:dyDescent="0.25">
      <c r="A713" s="21" t="str">
        <f ca="1">Calc!L713</f>
        <v/>
      </c>
      <c r="B713" s="22" t="str">
        <f ca="1">Calc!K713</f>
        <v/>
      </c>
      <c r="C713" s="39">
        <f ca="1">Calc!M713</f>
        <v>995</v>
      </c>
      <c r="D713" s="59" t="str">
        <f ca="1">IF(C713=0,"Exact",IF(C713&lt;=Calc!$D$4,"Nice",""))</f>
        <v/>
      </c>
      <c r="E713" s="60"/>
      <c r="F713" s="24">
        <v>713</v>
      </c>
    </row>
    <row r="714" spans="1:6" hidden="1" x14ac:dyDescent="0.25">
      <c r="A714" s="21" t="str">
        <f ca="1">Calc!L714</f>
        <v/>
      </c>
      <c r="B714" s="22" t="str">
        <f ca="1">Calc!K714</f>
        <v/>
      </c>
      <c r="C714" s="39">
        <f ca="1">Calc!M714</f>
        <v>995</v>
      </c>
      <c r="D714" s="59" t="str">
        <f ca="1">IF(C714=0,"Exact",IF(C714&lt;=Calc!$D$4,"Nice",""))</f>
        <v/>
      </c>
      <c r="E714" s="60"/>
      <c r="F714" s="24">
        <v>714</v>
      </c>
    </row>
    <row r="715" spans="1:6" hidden="1" x14ac:dyDescent="0.25">
      <c r="A715" s="21" t="str">
        <f ca="1">Calc!L715</f>
        <v/>
      </c>
      <c r="B715" s="22" t="str">
        <f ca="1">Calc!K715</f>
        <v/>
      </c>
      <c r="C715" s="39">
        <f ca="1">Calc!M715</f>
        <v>995</v>
      </c>
      <c r="D715" s="59" t="str">
        <f ca="1">IF(C715=0,"Exact",IF(C715&lt;=Calc!$D$4,"Nice",""))</f>
        <v/>
      </c>
      <c r="E715" s="60"/>
      <c r="F715" s="24">
        <v>715</v>
      </c>
    </row>
    <row r="716" spans="1:6" hidden="1" x14ac:dyDescent="0.25">
      <c r="A716" s="21" t="str">
        <f ca="1">Calc!L716</f>
        <v/>
      </c>
      <c r="B716" s="22" t="str">
        <f ca="1">Calc!K716</f>
        <v/>
      </c>
      <c r="C716" s="39">
        <f ca="1">Calc!M716</f>
        <v>995</v>
      </c>
      <c r="D716" s="59" t="str">
        <f ca="1">IF(C716=0,"Exact",IF(C716&lt;=Calc!$D$4,"Nice",""))</f>
        <v/>
      </c>
      <c r="E716" s="60"/>
      <c r="F716" s="24">
        <v>716</v>
      </c>
    </row>
    <row r="717" spans="1:6" hidden="1" x14ac:dyDescent="0.25">
      <c r="A717" s="21" t="str">
        <f ca="1">Calc!L717</f>
        <v/>
      </c>
      <c r="B717" s="22" t="str">
        <f ca="1">Calc!K717</f>
        <v/>
      </c>
      <c r="C717" s="39">
        <f ca="1">Calc!M717</f>
        <v>995</v>
      </c>
      <c r="D717" s="59" t="str">
        <f ca="1">IF(C717=0,"Exact",IF(C717&lt;=Calc!$D$4,"Nice",""))</f>
        <v/>
      </c>
      <c r="E717" s="60"/>
      <c r="F717" s="24">
        <v>717</v>
      </c>
    </row>
    <row r="718" spans="1:6" hidden="1" x14ac:dyDescent="0.25">
      <c r="A718" s="21" t="str">
        <f ca="1">Calc!L718</f>
        <v/>
      </c>
      <c r="B718" s="22" t="str">
        <f ca="1">Calc!K718</f>
        <v/>
      </c>
      <c r="C718" s="39">
        <f ca="1">Calc!M718</f>
        <v>995</v>
      </c>
      <c r="D718" s="59" t="str">
        <f ca="1">IF(C718=0,"Exact",IF(C718&lt;=Calc!$D$4,"Nice",""))</f>
        <v/>
      </c>
      <c r="E718" s="60"/>
      <c r="F718" s="24">
        <v>718</v>
      </c>
    </row>
    <row r="719" spans="1:6" hidden="1" x14ac:dyDescent="0.25">
      <c r="A719" s="21" t="str">
        <f ca="1">Calc!L719</f>
        <v/>
      </c>
      <c r="B719" s="22" t="str">
        <f ca="1">Calc!K719</f>
        <v/>
      </c>
      <c r="C719" s="39">
        <f ca="1">Calc!M719</f>
        <v>995</v>
      </c>
      <c r="D719" s="59" t="str">
        <f ca="1">IF(C719=0,"Exact",IF(C719&lt;=Calc!$D$4,"Nice",""))</f>
        <v/>
      </c>
      <c r="E719" s="60"/>
      <c r="F719" s="24">
        <v>719</v>
      </c>
    </row>
    <row r="720" spans="1:6" hidden="1" x14ac:dyDescent="0.25">
      <c r="A720" s="21" t="str">
        <f ca="1">Calc!L720</f>
        <v/>
      </c>
      <c r="B720" s="22" t="str">
        <f ca="1">Calc!K720</f>
        <v/>
      </c>
      <c r="C720" s="39">
        <f ca="1">Calc!M720</f>
        <v>995</v>
      </c>
      <c r="D720" s="59" t="str">
        <f ca="1">IF(C720=0,"Exact",IF(C720&lt;=Calc!$D$4,"Nice",""))</f>
        <v/>
      </c>
      <c r="E720" s="60"/>
      <c r="F720" s="24">
        <v>720</v>
      </c>
    </row>
    <row r="721" spans="1:6" hidden="1" x14ac:dyDescent="0.25">
      <c r="A721" s="21" t="str">
        <f ca="1">Calc!L721</f>
        <v/>
      </c>
      <c r="B721" s="22" t="str">
        <f ca="1">Calc!K721</f>
        <v/>
      </c>
      <c r="C721" s="39">
        <f ca="1">Calc!M721</f>
        <v>995</v>
      </c>
      <c r="D721" s="59" t="str">
        <f ca="1">IF(C721=0,"Exact",IF(C721&lt;=Calc!$D$4,"Nice",""))</f>
        <v/>
      </c>
      <c r="E721" s="60"/>
      <c r="F721" s="24">
        <v>721</v>
      </c>
    </row>
    <row r="722" spans="1:6" hidden="1" x14ac:dyDescent="0.25">
      <c r="A722" s="21" t="str">
        <f ca="1">Calc!L722</f>
        <v/>
      </c>
      <c r="B722" s="22" t="str">
        <f ca="1">Calc!K722</f>
        <v/>
      </c>
      <c r="C722" s="39">
        <f ca="1">Calc!M722</f>
        <v>995</v>
      </c>
      <c r="D722" s="59" t="str">
        <f ca="1">IF(C722=0,"Exact",IF(C722&lt;=Calc!$D$4,"Nice",""))</f>
        <v/>
      </c>
      <c r="E722" s="60"/>
      <c r="F722" s="24">
        <v>722</v>
      </c>
    </row>
    <row r="723" spans="1:6" hidden="1" x14ac:dyDescent="0.25">
      <c r="A723" s="21" t="str">
        <f ca="1">Calc!L723</f>
        <v/>
      </c>
      <c r="B723" s="22" t="str">
        <f ca="1">Calc!K723</f>
        <v/>
      </c>
      <c r="C723" s="39">
        <f ca="1">Calc!M723</f>
        <v>995</v>
      </c>
      <c r="D723" s="59" t="str">
        <f ca="1">IF(C723=0,"Exact",IF(C723&lt;=Calc!$D$4,"Nice",""))</f>
        <v/>
      </c>
      <c r="E723" s="60"/>
      <c r="F723" s="24">
        <v>723</v>
      </c>
    </row>
    <row r="724" spans="1:6" hidden="1" x14ac:dyDescent="0.25">
      <c r="A724" s="21" t="str">
        <f ca="1">Calc!L724</f>
        <v/>
      </c>
      <c r="B724" s="22" t="str">
        <f ca="1">Calc!K724</f>
        <v/>
      </c>
      <c r="C724" s="39">
        <f ca="1">Calc!M724</f>
        <v>995</v>
      </c>
      <c r="D724" s="59" t="str">
        <f ca="1">IF(C724=0,"Exact",IF(C724&lt;=Calc!$D$4,"Nice",""))</f>
        <v/>
      </c>
      <c r="E724" s="60"/>
      <c r="F724" s="24">
        <v>724</v>
      </c>
    </row>
    <row r="725" spans="1:6" hidden="1" x14ac:dyDescent="0.25">
      <c r="A725" s="21" t="str">
        <f ca="1">Calc!L725</f>
        <v/>
      </c>
      <c r="B725" s="22" t="str">
        <f ca="1">Calc!K725</f>
        <v/>
      </c>
      <c r="C725" s="39">
        <f ca="1">Calc!M725</f>
        <v>995</v>
      </c>
      <c r="D725" s="59" t="str">
        <f ca="1">IF(C725=0,"Exact",IF(C725&lt;=Calc!$D$4,"Nice",""))</f>
        <v/>
      </c>
      <c r="E725" s="60"/>
      <c r="F725" s="24">
        <v>725</v>
      </c>
    </row>
    <row r="726" spans="1:6" hidden="1" x14ac:dyDescent="0.25">
      <c r="A726" s="21" t="str">
        <f ca="1">Calc!L726</f>
        <v/>
      </c>
      <c r="B726" s="22" t="str">
        <f ca="1">Calc!K726</f>
        <v/>
      </c>
      <c r="C726" s="39">
        <f ca="1">Calc!M726</f>
        <v>995</v>
      </c>
      <c r="D726" s="59" t="str">
        <f ca="1">IF(C726=0,"Exact",IF(C726&lt;=Calc!$D$4,"Nice",""))</f>
        <v/>
      </c>
      <c r="E726" s="60"/>
      <c r="F726" s="24">
        <v>726</v>
      </c>
    </row>
    <row r="727" spans="1:6" hidden="1" x14ac:dyDescent="0.25">
      <c r="A727" s="21" t="str">
        <f ca="1">Calc!L727</f>
        <v/>
      </c>
      <c r="B727" s="22" t="str">
        <f ca="1">Calc!K727</f>
        <v/>
      </c>
      <c r="C727" s="39">
        <f ca="1">Calc!M727</f>
        <v>995</v>
      </c>
      <c r="D727" s="59" t="str">
        <f ca="1">IF(C727=0,"Exact",IF(C727&lt;=Calc!$D$4,"Nice",""))</f>
        <v/>
      </c>
      <c r="E727" s="60"/>
      <c r="F727" s="24">
        <v>727</v>
      </c>
    </row>
    <row r="728" spans="1:6" hidden="1" x14ac:dyDescent="0.25">
      <c r="A728" s="21" t="str">
        <f ca="1">Calc!L728</f>
        <v/>
      </c>
      <c r="B728" s="22" t="str">
        <f ca="1">Calc!K728</f>
        <v/>
      </c>
      <c r="C728" s="39">
        <f ca="1">Calc!M728</f>
        <v>995</v>
      </c>
      <c r="D728" s="59" t="str">
        <f ca="1">IF(C728=0,"Exact",IF(C728&lt;=Calc!$D$4,"Nice",""))</f>
        <v/>
      </c>
      <c r="E728" s="60"/>
      <c r="F728" s="24">
        <v>728</v>
      </c>
    </row>
    <row r="729" spans="1:6" hidden="1" x14ac:dyDescent="0.25">
      <c r="A729" s="21" t="str">
        <f ca="1">Calc!L729</f>
        <v/>
      </c>
      <c r="B729" s="22" t="str">
        <f ca="1">Calc!K729</f>
        <v/>
      </c>
      <c r="C729" s="39">
        <f ca="1">Calc!M729</f>
        <v>995</v>
      </c>
      <c r="D729" s="59" t="str">
        <f ca="1">IF(C729=0,"Exact",IF(C729&lt;=Calc!$D$4,"Nice",""))</f>
        <v/>
      </c>
      <c r="E729" s="60"/>
      <c r="F729" s="24">
        <v>729</v>
      </c>
    </row>
    <row r="730" spans="1:6" hidden="1" x14ac:dyDescent="0.25">
      <c r="A730" s="21" t="str">
        <f ca="1">Calc!L730</f>
        <v/>
      </c>
      <c r="B730" s="22" t="str">
        <f ca="1">Calc!K730</f>
        <v/>
      </c>
      <c r="C730" s="39">
        <f ca="1">Calc!M730</f>
        <v>995</v>
      </c>
      <c r="D730" s="59" t="str">
        <f ca="1">IF(C730=0,"Exact",IF(C730&lt;=Calc!$D$4,"Nice",""))</f>
        <v/>
      </c>
      <c r="E730" s="60"/>
      <c r="F730" s="24">
        <v>730</v>
      </c>
    </row>
    <row r="731" spans="1:6" hidden="1" x14ac:dyDescent="0.25">
      <c r="A731" s="21" t="str">
        <f ca="1">Calc!L731</f>
        <v/>
      </c>
      <c r="B731" s="22" t="str">
        <f ca="1">Calc!K731</f>
        <v/>
      </c>
      <c r="C731" s="39">
        <f ca="1">Calc!M731</f>
        <v>995</v>
      </c>
      <c r="D731" s="59" t="str">
        <f ca="1">IF(C731=0,"Exact",IF(C731&lt;=Calc!$D$4,"Nice",""))</f>
        <v/>
      </c>
      <c r="E731" s="60"/>
      <c r="F731" s="24">
        <v>731</v>
      </c>
    </row>
    <row r="732" spans="1:6" hidden="1" x14ac:dyDescent="0.25">
      <c r="A732" s="21" t="str">
        <f ca="1">Calc!L732</f>
        <v/>
      </c>
      <c r="B732" s="22" t="str">
        <f ca="1">Calc!K732</f>
        <v/>
      </c>
      <c r="C732" s="39">
        <f ca="1">Calc!M732</f>
        <v>995</v>
      </c>
      <c r="D732" s="59" t="str">
        <f ca="1">IF(C732=0,"Exact",IF(C732&lt;=Calc!$D$4,"Nice",""))</f>
        <v/>
      </c>
      <c r="E732" s="60"/>
      <c r="F732" s="24">
        <v>732</v>
      </c>
    </row>
    <row r="733" spans="1:6" hidden="1" x14ac:dyDescent="0.25">
      <c r="A733" s="21" t="str">
        <f ca="1">Calc!L733</f>
        <v/>
      </c>
      <c r="B733" s="22" t="str">
        <f ca="1">Calc!K733</f>
        <v/>
      </c>
      <c r="C733" s="39">
        <f ca="1">Calc!M733</f>
        <v>995</v>
      </c>
      <c r="D733" s="59" t="str">
        <f ca="1">IF(C733=0,"Exact",IF(C733&lt;=Calc!$D$4,"Nice",""))</f>
        <v/>
      </c>
      <c r="E733" s="60"/>
      <c r="F733" s="24">
        <v>733</v>
      </c>
    </row>
    <row r="734" spans="1:6" hidden="1" x14ac:dyDescent="0.25">
      <c r="A734" s="21" t="str">
        <f ca="1">Calc!L734</f>
        <v/>
      </c>
      <c r="B734" s="22" t="str">
        <f ca="1">Calc!K734</f>
        <v/>
      </c>
      <c r="C734" s="39">
        <f ca="1">Calc!M734</f>
        <v>995</v>
      </c>
      <c r="D734" s="59" t="str">
        <f ca="1">IF(C734=0,"Exact",IF(C734&lt;=Calc!$D$4,"Nice",""))</f>
        <v/>
      </c>
      <c r="E734" s="60"/>
      <c r="F734" s="24">
        <v>734</v>
      </c>
    </row>
    <row r="735" spans="1:6" hidden="1" x14ac:dyDescent="0.25">
      <c r="A735" s="21" t="str">
        <f ca="1">Calc!L735</f>
        <v/>
      </c>
      <c r="B735" s="22" t="str">
        <f ca="1">Calc!K735</f>
        <v/>
      </c>
      <c r="C735" s="39">
        <f ca="1">Calc!M735</f>
        <v>995</v>
      </c>
      <c r="D735" s="59" t="str">
        <f ca="1">IF(C735=0,"Exact",IF(C735&lt;=Calc!$D$4,"Nice",""))</f>
        <v/>
      </c>
      <c r="E735" s="60"/>
      <c r="F735" s="24">
        <v>735</v>
      </c>
    </row>
    <row r="736" spans="1:6" hidden="1" x14ac:dyDescent="0.25">
      <c r="A736" s="21" t="str">
        <f ca="1">Calc!L736</f>
        <v/>
      </c>
      <c r="B736" s="22" t="str">
        <f ca="1">Calc!K736</f>
        <v/>
      </c>
      <c r="C736" s="39">
        <f ca="1">Calc!M736</f>
        <v>995</v>
      </c>
      <c r="D736" s="59" t="str">
        <f ca="1">IF(C736=0,"Exact",IF(C736&lt;=Calc!$D$4,"Nice",""))</f>
        <v/>
      </c>
      <c r="E736" s="60"/>
      <c r="F736" s="24">
        <v>736</v>
      </c>
    </row>
    <row r="737" spans="1:6" hidden="1" x14ac:dyDescent="0.25">
      <c r="A737" s="21" t="str">
        <f ca="1">Calc!L737</f>
        <v/>
      </c>
      <c r="B737" s="22" t="str">
        <f ca="1">Calc!K737</f>
        <v/>
      </c>
      <c r="C737" s="39">
        <f ca="1">Calc!M737</f>
        <v>995</v>
      </c>
      <c r="D737" s="59" t="str">
        <f ca="1">IF(C737=0,"Exact",IF(C737&lt;=Calc!$D$4,"Nice",""))</f>
        <v/>
      </c>
      <c r="E737" s="60"/>
      <c r="F737" s="24">
        <v>737</v>
      </c>
    </row>
    <row r="738" spans="1:6" hidden="1" x14ac:dyDescent="0.25">
      <c r="A738" s="21" t="str">
        <f ca="1">Calc!L738</f>
        <v/>
      </c>
      <c r="B738" s="22" t="str">
        <f ca="1">Calc!K738</f>
        <v/>
      </c>
      <c r="C738" s="39">
        <f ca="1">Calc!M738</f>
        <v>995</v>
      </c>
      <c r="D738" s="59" t="str">
        <f ca="1">IF(C738=0,"Exact",IF(C738&lt;=Calc!$D$4,"Nice",""))</f>
        <v/>
      </c>
      <c r="E738" s="60"/>
      <c r="F738" s="24">
        <v>738</v>
      </c>
    </row>
    <row r="739" spans="1:6" hidden="1" x14ac:dyDescent="0.25">
      <c r="A739" s="21" t="str">
        <f ca="1">Calc!L739</f>
        <v/>
      </c>
      <c r="B739" s="22" t="str">
        <f ca="1">Calc!K739</f>
        <v/>
      </c>
      <c r="C739" s="39">
        <f ca="1">Calc!M739</f>
        <v>995</v>
      </c>
      <c r="D739" s="59" t="str">
        <f ca="1">IF(C739=0,"Exact",IF(C739&lt;=Calc!$D$4,"Nice",""))</f>
        <v/>
      </c>
      <c r="E739" s="60"/>
      <c r="F739" s="24">
        <v>739</v>
      </c>
    </row>
    <row r="740" spans="1:6" hidden="1" x14ac:dyDescent="0.25">
      <c r="A740" s="21" t="str">
        <f ca="1">Calc!L740</f>
        <v/>
      </c>
      <c r="B740" s="22" t="str">
        <f ca="1">Calc!K740</f>
        <v/>
      </c>
      <c r="C740" s="39">
        <f ca="1">Calc!M740</f>
        <v>995</v>
      </c>
      <c r="D740" s="59" t="str">
        <f ca="1">IF(C740=0,"Exact",IF(C740&lt;=Calc!$D$4,"Nice",""))</f>
        <v/>
      </c>
      <c r="E740" s="60"/>
      <c r="F740" s="24">
        <v>740</v>
      </c>
    </row>
    <row r="741" spans="1:6" hidden="1" x14ac:dyDescent="0.25">
      <c r="A741" s="21" t="str">
        <f ca="1">Calc!L741</f>
        <v/>
      </c>
      <c r="B741" s="22" t="str">
        <f ca="1">Calc!K741</f>
        <v/>
      </c>
      <c r="C741" s="39">
        <f ca="1">Calc!M741</f>
        <v>995</v>
      </c>
      <c r="D741" s="59" t="str">
        <f ca="1">IF(C741=0,"Exact",IF(C741&lt;=Calc!$D$4,"Nice",""))</f>
        <v/>
      </c>
      <c r="E741" s="60"/>
      <c r="F741" s="24">
        <v>741</v>
      </c>
    </row>
    <row r="742" spans="1:6" hidden="1" x14ac:dyDescent="0.25">
      <c r="A742" s="21" t="str">
        <f ca="1">Calc!L742</f>
        <v/>
      </c>
      <c r="B742" s="22" t="str">
        <f ca="1">Calc!K742</f>
        <v/>
      </c>
      <c r="C742" s="39">
        <f ca="1">Calc!M742</f>
        <v>995</v>
      </c>
      <c r="D742" s="59" t="str">
        <f ca="1">IF(C742=0,"Exact",IF(C742&lt;=Calc!$D$4,"Nice",""))</f>
        <v/>
      </c>
      <c r="E742" s="60"/>
      <c r="F742" s="24">
        <v>742</v>
      </c>
    </row>
    <row r="743" spans="1:6" hidden="1" x14ac:dyDescent="0.25">
      <c r="A743" s="21" t="str">
        <f ca="1">Calc!L743</f>
        <v/>
      </c>
      <c r="B743" s="22" t="str">
        <f ca="1">Calc!K743</f>
        <v/>
      </c>
      <c r="C743" s="39">
        <f ca="1">Calc!M743</f>
        <v>995</v>
      </c>
      <c r="D743" s="59" t="str">
        <f ca="1">IF(C743=0,"Exact",IF(C743&lt;=Calc!$D$4,"Nice",""))</f>
        <v/>
      </c>
      <c r="E743" s="60"/>
      <c r="F743" s="24">
        <v>743</v>
      </c>
    </row>
    <row r="744" spans="1:6" hidden="1" x14ac:dyDescent="0.25">
      <c r="A744" s="21" t="str">
        <f ca="1">Calc!L744</f>
        <v/>
      </c>
      <c r="B744" s="22" t="str">
        <f ca="1">Calc!K744</f>
        <v/>
      </c>
      <c r="C744" s="39">
        <f ca="1">Calc!M744</f>
        <v>995</v>
      </c>
      <c r="D744" s="59" t="str">
        <f ca="1">IF(C744=0,"Exact",IF(C744&lt;=Calc!$D$4,"Nice",""))</f>
        <v/>
      </c>
      <c r="E744" s="60"/>
      <c r="F744" s="24">
        <v>744</v>
      </c>
    </row>
    <row r="745" spans="1:6" hidden="1" x14ac:dyDescent="0.25">
      <c r="A745" s="21" t="str">
        <f ca="1">Calc!L745</f>
        <v/>
      </c>
      <c r="B745" s="22" t="str">
        <f ca="1">Calc!K745</f>
        <v/>
      </c>
      <c r="C745" s="39">
        <f ca="1">Calc!M745</f>
        <v>995</v>
      </c>
      <c r="D745" s="59" t="str">
        <f ca="1">IF(C745=0,"Exact",IF(C745&lt;=Calc!$D$4,"Nice",""))</f>
        <v/>
      </c>
      <c r="E745" s="60"/>
      <c r="F745" s="24">
        <v>745</v>
      </c>
    </row>
    <row r="746" spans="1:6" hidden="1" x14ac:dyDescent="0.25">
      <c r="A746" s="21" t="str">
        <f ca="1">Calc!L746</f>
        <v/>
      </c>
      <c r="B746" s="22" t="str">
        <f ca="1">Calc!K746</f>
        <v/>
      </c>
      <c r="C746" s="39">
        <f ca="1">Calc!M746</f>
        <v>995</v>
      </c>
      <c r="D746" s="59" t="str">
        <f ca="1">IF(C746=0,"Exact",IF(C746&lt;=Calc!$D$4,"Nice",""))</f>
        <v/>
      </c>
      <c r="E746" s="60"/>
      <c r="F746" s="24">
        <v>746</v>
      </c>
    </row>
    <row r="747" spans="1:6" hidden="1" x14ac:dyDescent="0.25">
      <c r="A747" s="21" t="str">
        <f ca="1">Calc!L747</f>
        <v/>
      </c>
      <c r="B747" s="22" t="str">
        <f ca="1">Calc!K747</f>
        <v/>
      </c>
      <c r="C747" s="39">
        <f ca="1">Calc!M747</f>
        <v>995</v>
      </c>
      <c r="D747" s="59" t="str">
        <f ca="1">IF(C747=0,"Exact",IF(C747&lt;=Calc!$D$4,"Nice",""))</f>
        <v/>
      </c>
      <c r="E747" s="60"/>
      <c r="F747" s="24">
        <v>747</v>
      </c>
    </row>
    <row r="748" spans="1:6" hidden="1" x14ac:dyDescent="0.25">
      <c r="A748" s="21" t="str">
        <f ca="1">Calc!L748</f>
        <v/>
      </c>
      <c r="B748" s="22" t="str">
        <f ca="1">Calc!K748</f>
        <v/>
      </c>
      <c r="C748" s="39">
        <f ca="1">Calc!M748</f>
        <v>995</v>
      </c>
      <c r="D748" s="59" t="str">
        <f ca="1">IF(C748=0,"Exact",IF(C748&lt;=Calc!$D$4,"Nice",""))</f>
        <v/>
      </c>
      <c r="E748" s="60"/>
      <c r="F748" s="24">
        <v>748</v>
      </c>
    </row>
    <row r="749" spans="1:6" hidden="1" x14ac:dyDescent="0.25">
      <c r="A749" s="21" t="str">
        <f ca="1">Calc!L749</f>
        <v/>
      </c>
      <c r="B749" s="22" t="str">
        <f ca="1">Calc!K749</f>
        <v/>
      </c>
      <c r="C749" s="39">
        <f ca="1">Calc!M749</f>
        <v>995</v>
      </c>
      <c r="D749" s="59" t="str">
        <f ca="1">IF(C749=0,"Exact",IF(C749&lt;=Calc!$D$4,"Nice",""))</f>
        <v/>
      </c>
      <c r="E749" s="60"/>
      <c r="F749" s="24">
        <v>749</v>
      </c>
    </row>
    <row r="750" spans="1:6" hidden="1" x14ac:dyDescent="0.25">
      <c r="A750" s="21" t="str">
        <f ca="1">Calc!L750</f>
        <v/>
      </c>
      <c r="B750" s="22" t="str">
        <f ca="1">Calc!K750</f>
        <v/>
      </c>
      <c r="C750" s="39">
        <f ca="1">Calc!M750</f>
        <v>995</v>
      </c>
      <c r="D750" s="59" t="str">
        <f ca="1">IF(C750=0,"Exact",IF(C750&lt;=Calc!$D$4,"Nice",""))</f>
        <v/>
      </c>
      <c r="E750" s="60"/>
      <c r="F750" s="24">
        <v>750</v>
      </c>
    </row>
    <row r="751" spans="1:6" hidden="1" x14ac:dyDescent="0.25">
      <c r="A751" s="21" t="str">
        <f ca="1">Calc!L751</f>
        <v/>
      </c>
      <c r="B751" s="22" t="str">
        <f ca="1">Calc!K751</f>
        <v/>
      </c>
      <c r="C751" s="39">
        <f ca="1">Calc!M751</f>
        <v>995</v>
      </c>
      <c r="D751" s="59" t="str">
        <f ca="1">IF(C751=0,"Exact",IF(C751&lt;=Calc!$D$4,"Nice",""))</f>
        <v/>
      </c>
      <c r="E751" s="60"/>
      <c r="F751" s="24">
        <v>751</v>
      </c>
    </row>
    <row r="752" spans="1:6" hidden="1" x14ac:dyDescent="0.25">
      <c r="A752" s="21" t="str">
        <f ca="1">Calc!L752</f>
        <v/>
      </c>
      <c r="B752" s="22" t="str">
        <f ca="1">Calc!K752</f>
        <v/>
      </c>
      <c r="C752" s="39">
        <f ca="1">Calc!M752</f>
        <v>995</v>
      </c>
      <c r="D752" s="59" t="str">
        <f ca="1">IF(C752=0,"Exact",IF(C752&lt;=Calc!$D$4,"Nice",""))</f>
        <v/>
      </c>
      <c r="E752" s="60"/>
      <c r="F752" s="24">
        <v>752</v>
      </c>
    </row>
    <row r="753" spans="1:6" hidden="1" x14ac:dyDescent="0.25">
      <c r="A753" s="21" t="str">
        <f ca="1">Calc!L753</f>
        <v/>
      </c>
      <c r="B753" s="22" t="str">
        <f ca="1">Calc!K753</f>
        <v/>
      </c>
      <c r="C753" s="39">
        <f ca="1">Calc!M753</f>
        <v>995</v>
      </c>
      <c r="D753" s="59" t="str">
        <f ca="1">IF(C753=0,"Exact",IF(C753&lt;=Calc!$D$4,"Nice",""))</f>
        <v/>
      </c>
      <c r="E753" s="60"/>
      <c r="F753" s="24">
        <v>753</v>
      </c>
    </row>
    <row r="754" spans="1:6" hidden="1" x14ac:dyDescent="0.25">
      <c r="A754" s="21" t="str">
        <f ca="1">Calc!L754</f>
        <v/>
      </c>
      <c r="B754" s="22" t="str">
        <f ca="1">Calc!K754</f>
        <v/>
      </c>
      <c r="C754" s="39">
        <f ca="1">Calc!M754</f>
        <v>995</v>
      </c>
      <c r="D754" s="59" t="str">
        <f ca="1">IF(C754=0,"Exact",IF(C754&lt;=Calc!$D$4,"Nice",""))</f>
        <v/>
      </c>
      <c r="E754" s="60"/>
      <c r="F754" s="24">
        <v>754</v>
      </c>
    </row>
    <row r="755" spans="1:6" hidden="1" x14ac:dyDescent="0.25">
      <c r="A755" s="21" t="str">
        <f ca="1">Calc!L755</f>
        <v/>
      </c>
      <c r="B755" s="22" t="str">
        <f ca="1">Calc!K755</f>
        <v/>
      </c>
      <c r="C755" s="39">
        <f ca="1">Calc!M755</f>
        <v>995</v>
      </c>
      <c r="D755" s="59" t="str">
        <f ca="1">IF(C755=0,"Exact",IF(C755&lt;=Calc!$D$4,"Nice",""))</f>
        <v/>
      </c>
      <c r="E755" s="60"/>
      <c r="F755" s="24">
        <v>755</v>
      </c>
    </row>
    <row r="756" spans="1:6" hidden="1" x14ac:dyDescent="0.25">
      <c r="A756" s="21" t="str">
        <f ca="1">Calc!L756</f>
        <v/>
      </c>
      <c r="B756" s="22" t="str">
        <f ca="1">Calc!K756</f>
        <v/>
      </c>
      <c r="C756" s="39">
        <f ca="1">Calc!M756</f>
        <v>995</v>
      </c>
      <c r="D756" s="59" t="str">
        <f ca="1">IF(C756=0,"Exact",IF(C756&lt;=Calc!$D$4,"Nice",""))</f>
        <v/>
      </c>
      <c r="E756" s="60"/>
      <c r="F756" s="24">
        <v>756</v>
      </c>
    </row>
    <row r="757" spans="1:6" hidden="1" x14ac:dyDescent="0.25">
      <c r="A757" s="21" t="str">
        <f ca="1">Calc!L757</f>
        <v/>
      </c>
      <c r="B757" s="22" t="str">
        <f ca="1">Calc!K757</f>
        <v/>
      </c>
      <c r="C757" s="39">
        <f ca="1">Calc!M757</f>
        <v>995</v>
      </c>
      <c r="D757" s="59" t="str">
        <f ca="1">IF(C757=0,"Exact",IF(C757&lt;=Calc!$D$4,"Nice",""))</f>
        <v/>
      </c>
      <c r="E757" s="60"/>
      <c r="F757" s="24">
        <v>757</v>
      </c>
    </row>
    <row r="758" spans="1:6" hidden="1" x14ac:dyDescent="0.25">
      <c r="A758" s="21" t="str">
        <f ca="1">Calc!L758</f>
        <v/>
      </c>
      <c r="B758" s="22" t="str">
        <f ca="1">Calc!K758</f>
        <v/>
      </c>
      <c r="C758" s="39">
        <f ca="1">Calc!M758</f>
        <v>995</v>
      </c>
      <c r="D758" s="59" t="str">
        <f ca="1">IF(C758=0,"Exact",IF(C758&lt;=Calc!$D$4,"Nice",""))</f>
        <v/>
      </c>
      <c r="E758" s="60"/>
      <c r="F758" s="24">
        <v>758</v>
      </c>
    </row>
    <row r="759" spans="1:6" hidden="1" x14ac:dyDescent="0.25">
      <c r="A759" s="21" t="str">
        <f ca="1">Calc!L759</f>
        <v/>
      </c>
      <c r="B759" s="22" t="str">
        <f ca="1">Calc!K759</f>
        <v/>
      </c>
      <c r="C759" s="39">
        <f ca="1">Calc!M759</f>
        <v>995</v>
      </c>
      <c r="D759" s="59" t="str">
        <f ca="1">IF(C759=0,"Exact",IF(C759&lt;=Calc!$D$4,"Nice",""))</f>
        <v/>
      </c>
      <c r="E759" s="60"/>
      <c r="F759" s="24">
        <v>759</v>
      </c>
    </row>
    <row r="760" spans="1:6" hidden="1" x14ac:dyDescent="0.25">
      <c r="A760" s="21" t="str">
        <f ca="1">Calc!L760</f>
        <v/>
      </c>
      <c r="B760" s="22" t="str">
        <f ca="1">Calc!K760</f>
        <v/>
      </c>
      <c r="C760" s="39">
        <f ca="1">Calc!M760</f>
        <v>995</v>
      </c>
      <c r="D760" s="59" t="str">
        <f ca="1">IF(C760=0,"Exact",IF(C760&lt;=Calc!$D$4,"Nice",""))</f>
        <v/>
      </c>
      <c r="E760" s="60"/>
      <c r="F760" s="24">
        <v>760</v>
      </c>
    </row>
    <row r="761" spans="1:6" hidden="1" x14ac:dyDescent="0.25">
      <c r="A761" s="21" t="str">
        <f ca="1">Calc!L761</f>
        <v/>
      </c>
      <c r="B761" s="22" t="str">
        <f ca="1">Calc!K761</f>
        <v/>
      </c>
      <c r="C761" s="39">
        <f ca="1">Calc!M761</f>
        <v>995</v>
      </c>
      <c r="D761" s="59" t="str">
        <f ca="1">IF(C761=0,"Exact",IF(C761&lt;=Calc!$D$4,"Nice",""))</f>
        <v/>
      </c>
      <c r="E761" s="60"/>
      <c r="F761" s="24">
        <v>761</v>
      </c>
    </row>
    <row r="762" spans="1:6" hidden="1" x14ac:dyDescent="0.25">
      <c r="A762" s="21" t="str">
        <f ca="1">Calc!L762</f>
        <v/>
      </c>
      <c r="B762" s="22" t="str">
        <f ca="1">Calc!K762</f>
        <v/>
      </c>
      <c r="C762" s="39">
        <f ca="1">Calc!M762</f>
        <v>995</v>
      </c>
      <c r="D762" s="59" t="str">
        <f ca="1">IF(C762=0,"Exact",IF(C762&lt;=Calc!$D$4,"Nice",""))</f>
        <v/>
      </c>
      <c r="E762" s="60"/>
      <c r="F762" s="24">
        <v>762</v>
      </c>
    </row>
    <row r="763" spans="1:6" hidden="1" x14ac:dyDescent="0.25">
      <c r="A763" s="21" t="str">
        <f ca="1">Calc!L763</f>
        <v/>
      </c>
      <c r="B763" s="22" t="str">
        <f ca="1">Calc!K763</f>
        <v/>
      </c>
      <c r="C763" s="39">
        <f ca="1">Calc!M763</f>
        <v>995</v>
      </c>
      <c r="D763" s="59" t="str">
        <f ca="1">IF(C763=0,"Exact",IF(C763&lt;=Calc!$D$4,"Nice",""))</f>
        <v/>
      </c>
      <c r="E763" s="60"/>
      <c r="F763" s="24">
        <v>763</v>
      </c>
    </row>
    <row r="764" spans="1:6" hidden="1" x14ac:dyDescent="0.25">
      <c r="A764" s="21" t="str">
        <f ca="1">Calc!L764</f>
        <v/>
      </c>
      <c r="B764" s="22" t="str">
        <f ca="1">Calc!K764</f>
        <v/>
      </c>
      <c r="C764" s="39">
        <f ca="1">Calc!M764</f>
        <v>995</v>
      </c>
      <c r="D764" s="59" t="str">
        <f ca="1">IF(C764=0,"Exact",IF(C764&lt;=Calc!$D$4,"Nice",""))</f>
        <v/>
      </c>
      <c r="E764" s="60"/>
      <c r="F764" s="24">
        <v>764</v>
      </c>
    </row>
    <row r="765" spans="1:6" hidden="1" x14ac:dyDescent="0.25">
      <c r="A765" s="21" t="str">
        <f ca="1">Calc!L765</f>
        <v/>
      </c>
      <c r="B765" s="22" t="str">
        <f ca="1">Calc!K765</f>
        <v/>
      </c>
      <c r="C765" s="39">
        <f ca="1">Calc!M765</f>
        <v>995</v>
      </c>
      <c r="D765" s="59" t="str">
        <f ca="1">IF(C765=0,"Exact",IF(C765&lt;=Calc!$D$4,"Nice",""))</f>
        <v/>
      </c>
      <c r="E765" s="60"/>
      <c r="F765" s="24">
        <v>765</v>
      </c>
    </row>
    <row r="766" spans="1:6" hidden="1" x14ac:dyDescent="0.25">
      <c r="A766" s="21" t="str">
        <f ca="1">Calc!L766</f>
        <v/>
      </c>
      <c r="B766" s="22" t="str">
        <f ca="1">Calc!K766</f>
        <v/>
      </c>
      <c r="C766" s="39">
        <f ca="1">Calc!M766</f>
        <v>995</v>
      </c>
      <c r="D766" s="59" t="str">
        <f ca="1">IF(C766=0,"Exact",IF(C766&lt;=Calc!$D$4,"Nice",""))</f>
        <v/>
      </c>
      <c r="E766" s="60"/>
      <c r="F766" s="24">
        <v>766</v>
      </c>
    </row>
    <row r="767" spans="1:6" hidden="1" x14ac:dyDescent="0.25">
      <c r="A767" s="21" t="str">
        <f ca="1">Calc!L767</f>
        <v/>
      </c>
      <c r="B767" s="22" t="str">
        <f ca="1">Calc!K767</f>
        <v/>
      </c>
      <c r="C767" s="39">
        <f ca="1">Calc!M767</f>
        <v>995</v>
      </c>
      <c r="D767" s="59" t="str">
        <f ca="1">IF(C767=0,"Exact",IF(C767&lt;=Calc!$D$4,"Nice",""))</f>
        <v/>
      </c>
      <c r="E767" s="60"/>
      <c r="F767" s="24">
        <v>767</v>
      </c>
    </row>
    <row r="768" spans="1:6" hidden="1" x14ac:dyDescent="0.25">
      <c r="A768" s="21" t="str">
        <f ca="1">Calc!L768</f>
        <v/>
      </c>
      <c r="B768" s="22" t="str">
        <f ca="1">Calc!K768</f>
        <v/>
      </c>
      <c r="C768" s="39">
        <f ca="1">Calc!M768</f>
        <v>995</v>
      </c>
      <c r="D768" s="59" t="str">
        <f ca="1">IF(C768=0,"Exact",IF(C768&lt;=Calc!$D$4,"Nice",""))</f>
        <v/>
      </c>
      <c r="E768" s="60"/>
      <c r="F768" s="24">
        <v>768</v>
      </c>
    </row>
    <row r="769" spans="1:6" hidden="1" x14ac:dyDescent="0.25">
      <c r="A769" s="21" t="str">
        <f ca="1">Calc!L769</f>
        <v/>
      </c>
      <c r="B769" s="22" t="str">
        <f ca="1">Calc!K769</f>
        <v/>
      </c>
      <c r="C769" s="39">
        <f ca="1">Calc!M769</f>
        <v>995</v>
      </c>
      <c r="D769" s="59" t="str">
        <f ca="1">IF(C769=0,"Exact",IF(C769&lt;=Calc!$D$4,"Nice",""))</f>
        <v/>
      </c>
      <c r="E769" s="60"/>
      <c r="F769" s="24">
        <v>769</v>
      </c>
    </row>
    <row r="770" spans="1:6" hidden="1" x14ac:dyDescent="0.25">
      <c r="A770" s="21" t="str">
        <f ca="1">Calc!L770</f>
        <v/>
      </c>
      <c r="B770" s="22" t="str">
        <f ca="1">Calc!K770</f>
        <v/>
      </c>
      <c r="C770" s="39">
        <f ca="1">Calc!M770</f>
        <v>995</v>
      </c>
      <c r="D770" s="59" t="str">
        <f ca="1">IF(C770=0,"Exact",IF(C770&lt;=Calc!$D$4,"Nice",""))</f>
        <v/>
      </c>
      <c r="E770" s="60"/>
      <c r="F770" s="24">
        <v>770</v>
      </c>
    </row>
    <row r="771" spans="1:6" hidden="1" x14ac:dyDescent="0.25">
      <c r="A771" s="21" t="str">
        <f ca="1">Calc!L771</f>
        <v/>
      </c>
      <c r="B771" s="22" t="str">
        <f ca="1">Calc!K771</f>
        <v/>
      </c>
      <c r="C771" s="39">
        <f ca="1">Calc!M771</f>
        <v>995</v>
      </c>
      <c r="D771" s="59" t="str">
        <f ca="1">IF(C771=0,"Exact",IF(C771&lt;=Calc!$D$4,"Nice",""))</f>
        <v/>
      </c>
      <c r="E771" s="60"/>
      <c r="F771" s="24">
        <v>771</v>
      </c>
    </row>
    <row r="772" spans="1:6" hidden="1" x14ac:dyDescent="0.25">
      <c r="A772" s="21" t="str">
        <f ca="1">Calc!L772</f>
        <v/>
      </c>
      <c r="B772" s="22" t="str">
        <f ca="1">Calc!K772</f>
        <v/>
      </c>
      <c r="C772" s="39">
        <f ca="1">Calc!M772</f>
        <v>995</v>
      </c>
      <c r="D772" s="59" t="str">
        <f ca="1">IF(C772=0,"Exact",IF(C772&lt;=Calc!$D$4,"Nice",""))</f>
        <v/>
      </c>
      <c r="E772" s="60"/>
      <c r="F772" s="24">
        <v>772</v>
      </c>
    </row>
    <row r="773" spans="1:6" hidden="1" x14ac:dyDescent="0.25">
      <c r="A773" s="21" t="str">
        <f ca="1">Calc!L773</f>
        <v/>
      </c>
      <c r="B773" s="22" t="str">
        <f ca="1">Calc!K773</f>
        <v/>
      </c>
      <c r="C773" s="39">
        <f ca="1">Calc!M773</f>
        <v>995</v>
      </c>
      <c r="D773" s="59" t="str">
        <f ca="1">IF(C773=0,"Exact",IF(C773&lt;=Calc!$D$4,"Nice",""))</f>
        <v/>
      </c>
      <c r="E773" s="60"/>
      <c r="F773" s="24">
        <v>773</v>
      </c>
    </row>
    <row r="774" spans="1:6" ht="15.75" hidden="1" thickBot="1" x14ac:dyDescent="0.3">
      <c r="A774" s="21" t="str">
        <f ca="1">Calc!L774</f>
        <v/>
      </c>
      <c r="B774" s="22" t="str">
        <f ca="1">Calc!K774</f>
        <v/>
      </c>
      <c r="C774" s="39">
        <f ca="1">Calc!M774</f>
        <v>995</v>
      </c>
      <c r="D774" s="59" t="str">
        <f ca="1">IF(C774=0,"Exact",IF(C774&lt;=Calc!$D$4,"Nice",""))</f>
        <v/>
      </c>
      <c r="E774" s="60"/>
      <c r="F774" s="24">
        <v>774</v>
      </c>
    </row>
    <row r="775" spans="1:6" ht="15.75" thickTop="1" x14ac:dyDescent="0.25">
      <c r="A775" s="15"/>
      <c r="B775" s="29"/>
      <c r="C775" s="40"/>
      <c r="D775" s="16"/>
      <c r="E775" s="23"/>
      <c r="F775" s="24"/>
    </row>
    <row r="776" spans="1:6" ht="15.75" thickBot="1" x14ac:dyDescent="0.3">
      <c r="A776" s="17" t="s">
        <v>10</v>
      </c>
      <c r="B776" s="30"/>
      <c r="C776" s="41"/>
      <c r="D776" s="18"/>
      <c r="E776" s="18"/>
      <c r="F776" s="24"/>
    </row>
    <row r="777" spans="1:6" ht="15.75" thickTop="1" x14ac:dyDescent="0.25">
      <c r="A777" s="19" t="s">
        <v>19</v>
      </c>
      <c r="B777" s="31"/>
      <c r="C777" s="42"/>
      <c r="D777" s="20"/>
      <c r="E777" s="20"/>
      <c r="F777" s="25"/>
    </row>
    <row r="778" spans="1:6" x14ac:dyDescent="0.25">
      <c r="A778" s="19" t="s">
        <v>7</v>
      </c>
      <c r="B778" s="31"/>
      <c r="C778" s="42"/>
      <c r="D778" s="20"/>
      <c r="E778" s="20"/>
      <c r="F778" s="24"/>
    </row>
    <row r="779" spans="1:6" x14ac:dyDescent="0.25">
      <c r="A779" s="19" t="s">
        <v>8</v>
      </c>
      <c r="B779" s="31"/>
      <c r="C779" s="42"/>
      <c r="D779" s="20"/>
      <c r="E779" s="20"/>
      <c r="F779" s="24"/>
    </row>
    <row r="780" spans="1:6" x14ac:dyDescent="0.25">
      <c r="A780" s="19" t="s">
        <v>11</v>
      </c>
      <c r="B780" s="31"/>
      <c r="C780" s="42"/>
      <c r="D780" s="20"/>
      <c r="E780" s="20"/>
      <c r="F780" s="24"/>
    </row>
    <row r="781" spans="1:6" x14ac:dyDescent="0.25">
      <c r="A781" s="19" t="s">
        <v>12</v>
      </c>
      <c r="B781" s="31"/>
      <c r="C781" s="42"/>
      <c r="D781" s="20"/>
      <c r="E781" s="20"/>
      <c r="F781" s="24"/>
    </row>
    <row r="782" spans="1:6" x14ac:dyDescent="0.25">
      <c r="A782" s="19" t="s">
        <v>9</v>
      </c>
      <c r="B782" s="31"/>
      <c r="C782" s="42"/>
      <c r="D782" s="20"/>
      <c r="E782" s="20"/>
      <c r="F782" s="24"/>
    </row>
  </sheetData>
  <sortState ref="A105:F377">
    <sortCondition ref="A6"/>
  </sortState>
  <pageMargins left="0.7" right="0.7" top="0.75" bottom="0.75" header="0.3" footer="0.3"/>
  <pageSetup paperSize="9" scale="9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776"/>
  <sheetViews>
    <sheetView workbookViewId="0">
      <pane ySplit="1" topLeftCell="A2" activePane="bottomLeft" state="frozen"/>
      <selection pane="bottomLeft" activeCell="A4" sqref="A4"/>
    </sheetView>
  </sheetViews>
  <sheetFormatPr defaultRowHeight="15" x14ac:dyDescent="0.25"/>
  <cols>
    <col min="1" max="1" width="6.85546875" bestFit="1" customWidth="1"/>
    <col min="2" max="3" width="9.42578125" bestFit="1" customWidth="1"/>
    <col min="4" max="4" width="27" bestFit="1" customWidth="1"/>
    <col min="5" max="6" width="7.5703125" bestFit="1" customWidth="1"/>
    <col min="7" max="7" width="8" bestFit="1" customWidth="1"/>
    <col min="8" max="8" width="12.42578125" bestFit="1" customWidth="1"/>
    <col min="9" max="9" width="24" bestFit="1" customWidth="1"/>
    <col min="10" max="10" width="6.85546875" bestFit="1" customWidth="1"/>
    <col min="11" max="11" width="27" bestFit="1" customWidth="1"/>
    <col min="12" max="12" width="12.42578125" bestFit="1" customWidth="1"/>
    <col min="13" max="13" width="10.140625" bestFit="1" customWidth="1"/>
    <col min="14" max="14" width="12.42578125" bestFit="1" customWidth="1"/>
    <col min="15" max="15" width="12.5703125" bestFit="1" customWidth="1"/>
  </cols>
  <sheetData>
    <row r="1" spans="1:15" x14ac:dyDescent="0.25">
      <c r="A1" s="150" t="s">
        <v>2</v>
      </c>
      <c r="B1" s="150" t="s">
        <v>40</v>
      </c>
      <c r="C1" s="150" t="s">
        <v>1</v>
      </c>
      <c r="D1" s="150" t="s">
        <v>6</v>
      </c>
      <c r="E1" s="151" t="s">
        <v>17</v>
      </c>
      <c r="F1" s="150" t="s">
        <v>2</v>
      </c>
      <c r="G1" s="150" t="s">
        <v>41</v>
      </c>
      <c r="H1" s="150" t="s">
        <v>1</v>
      </c>
      <c r="I1" s="152" t="s">
        <v>6</v>
      </c>
      <c r="J1" s="151" t="s">
        <v>17</v>
      </c>
      <c r="K1" s="153" t="s">
        <v>15</v>
      </c>
      <c r="L1" s="154" t="s">
        <v>16</v>
      </c>
      <c r="M1" s="155" t="s">
        <v>18</v>
      </c>
      <c r="N1" s="156" t="str">
        <f>B3</f>
        <v>E24x</v>
      </c>
      <c r="O1" s="157" t="s">
        <v>42</v>
      </c>
    </row>
    <row r="2" spans="1:15" x14ac:dyDescent="0.25">
      <c r="A2" s="13"/>
      <c r="B2" s="13"/>
      <c r="C2" s="13"/>
      <c r="D2" s="13"/>
      <c r="E2" s="117"/>
      <c r="F2" s="146"/>
      <c r="G2" s="142"/>
      <c r="H2" s="13"/>
      <c r="I2" s="14"/>
      <c r="J2" s="117"/>
      <c r="K2" s="121"/>
      <c r="L2" s="127"/>
      <c r="M2" s="123"/>
      <c r="N2" s="43"/>
      <c r="O2" s="158"/>
    </row>
    <row r="3" spans="1:15" x14ac:dyDescent="0.25">
      <c r="A3" s="44" t="s">
        <v>26</v>
      </c>
      <c r="B3" s="45" t="str">
        <f>Tables!Q8</f>
        <v>E24x</v>
      </c>
      <c r="C3" s="45" t="s">
        <v>13</v>
      </c>
      <c r="D3" s="45" t="s">
        <v>4</v>
      </c>
      <c r="E3" s="137" t="s">
        <v>5</v>
      </c>
      <c r="F3" s="143" t="s">
        <v>33</v>
      </c>
      <c r="G3" s="140"/>
      <c r="H3" s="45"/>
      <c r="I3" s="46"/>
      <c r="J3" s="118"/>
      <c r="K3" s="48"/>
      <c r="L3" s="128"/>
      <c r="M3" s="124"/>
      <c r="N3" s="47"/>
      <c r="O3" s="158"/>
    </row>
    <row r="4" spans="1:15" ht="15.75" thickBot="1" x14ac:dyDescent="0.3">
      <c r="A4" s="165">
        <v>25</v>
      </c>
      <c r="B4" s="49">
        <v>3</v>
      </c>
      <c r="C4" s="50">
        <v>1</v>
      </c>
      <c r="D4" s="50">
        <v>0.5</v>
      </c>
      <c r="E4" s="138" t="b">
        <v>1</v>
      </c>
      <c r="F4" s="144"/>
      <c r="G4" s="140"/>
      <c r="H4" s="45"/>
      <c r="I4" s="46"/>
      <c r="J4" s="118"/>
      <c r="K4" s="48"/>
      <c r="L4" s="128"/>
      <c r="M4" s="124"/>
      <c r="N4" s="47"/>
      <c r="O4" s="159"/>
    </row>
    <row r="5" spans="1:15" ht="16.5" thickTop="1" thickBot="1" x14ac:dyDescent="0.3">
      <c r="A5" s="51">
        <f>1/$A$4</f>
        <v>0.04</v>
      </c>
      <c r="B5" s="129">
        <f>Tables!P8</f>
        <v>2</v>
      </c>
      <c r="C5" s="52">
        <f>A4/100*C4</f>
        <v>0.25</v>
      </c>
      <c r="D5" s="52">
        <f>A4/100*D4</f>
        <v>0.125</v>
      </c>
      <c r="E5" s="139">
        <f>$A$4/100</f>
        <v>0.25</v>
      </c>
      <c r="F5" s="145">
        <f>Tables!O9</f>
        <v>1.0491397291363098</v>
      </c>
      <c r="G5" s="141"/>
      <c r="H5" s="53"/>
      <c r="I5" s="54"/>
      <c r="J5" s="119"/>
      <c r="K5" s="51"/>
      <c r="L5" s="129"/>
      <c r="M5" s="125"/>
      <c r="N5" s="168">
        <v>0</v>
      </c>
      <c r="O5" s="163">
        <v>0</v>
      </c>
    </row>
    <row r="6" spans="1:15" ht="15.75" thickTop="1" x14ac:dyDescent="0.25">
      <c r="A6" s="55" t="e">
        <f ca="1">MATCH(1/($A$5-(1/N6)),$O$1:$O$775,1)</f>
        <v>#N/A</v>
      </c>
      <c r="B6" s="55" t="e">
        <f t="shared" ref="B6:B69" ca="1" si="0">INDEX($N$1:$N$774,A6)</f>
        <v>#N/A</v>
      </c>
      <c r="C6" s="55" t="e">
        <f t="shared" ref="C6:C69" ca="1" si="1">1/(1/B6+1/N6)</f>
        <v>#N/A</v>
      </c>
      <c r="D6" s="55" t="e">
        <f t="shared" ref="D6:D69" ca="1" si="2">CONCATENATE(TEXT(MIN(B6,N6),"#0.000#")," || ",TEXT(MAX(B6,N6),"#0.000#"))</f>
        <v>#N/A</v>
      </c>
      <c r="E6" s="120">
        <f ca="1">IFERROR(IF(OR(B6=0,AND(B6&lt;&gt;$A$4,N6&lt;&gt;$A$4)),ABS($A$4-C6)/$E$5,999),998)</f>
        <v>998</v>
      </c>
      <c r="F6" s="56">
        <f ca="1">MATCH($A$4-N6,$O$1:$O$775,1)</f>
        <v>240</v>
      </c>
      <c r="G6" s="56">
        <f t="shared" ref="G6:G69" ca="1" si="3">INDEX($N$1:$N$774,F6)</f>
        <v>26.1</v>
      </c>
      <c r="H6" s="116">
        <f t="shared" ref="H6:H69" ca="1" si="4">G6+N6</f>
        <v>26.200000000000003</v>
      </c>
      <c r="I6" s="57" t="str">
        <f t="shared" ref="I6:I69" ca="1" si="5">CONCATENATE(TEXT(MIN(G6,N6),"#0.000#")," + ",TEXT(MAX(G6,N6),"#0.000#"))</f>
        <v>0.100 + 26.100</v>
      </c>
      <c r="J6" s="131">
        <f ca="1">IFERROR(IF(OR(G6=0,AND(G6&lt;&gt;$A$4,N6&lt;&gt;$A$4)),ABS($A$4-H6)/$E$5,997),996)</f>
        <v>4.8000000000000114</v>
      </c>
      <c r="K6" s="122" t="str">
        <f t="shared" ref="K6:K69" ca="1" si="6">IF(E6&lt;$C$4,D6,IF(J6&lt;$C$4,I6,""))</f>
        <v/>
      </c>
      <c r="L6" s="130" t="str">
        <f t="shared" ref="L6:L69" ca="1" si="7">IF(E6&lt;$C$4,C6,IF(J6&lt;$C$4,H6,""))</f>
        <v/>
      </c>
      <c r="M6" s="126">
        <f t="shared" ref="M6:M69" ca="1" si="8">IF(E6&lt;=$C$4,E6,IF(J6&lt;=$C$4,J6,995))</f>
        <v>995</v>
      </c>
      <c r="N6" s="58">
        <f ca="1">Tables!U2/1000</f>
        <v>0.1</v>
      </c>
      <c r="O6" s="160">
        <f ca="1">Tables!V2/1000</f>
        <v>9.5341491492424213E-2</v>
      </c>
    </row>
    <row r="7" spans="1:15" x14ac:dyDescent="0.25">
      <c r="A7" s="55" t="e">
        <f t="shared" ref="A7:A70" ca="1" si="9">MATCH(1/($A$5-(1/N7)),$O$1:$O$775,1)</f>
        <v>#N/A</v>
      </c>
      <c r="B7" s="55" t="e">
        <f t="shared" ca="1" si="0"/>
        <v>#N/A</v>
      </c>
      <c r="C7" s="55" t="e">
        <f t="shared" ca="1" si="1"/>
        <v>#N/A</v>
      </c>
      <c r="D7" s="55" t="e">
        <f t="shared" ca="1" si="2"/>
        <v>#N/A</v>
      </c>
      <c r="E7" s="120">
        <f t="shared" ref="E7:E70" ca="1" si="10">IFERROR(IF(OR(B7=0,AND(B7&lt;&gt;$A$4,N7&lt;&gt;$A$4)),ABS($A$4-C7)/$E$5,999),998)</f>
        <v>998</v>
      </c>
      <c r="F7" s="56">
        <f t="shared" ref="F7:F70" ca="1" si="11">MATCH($A$4-N7,$O$1:$O$774,1)</f>
        <v>240</v>
      </c>
      <c r="G7" s="56">
        <f t="shared" ca="1" si="3"/>
        <v>26.1</v>
      </c>
      <c r="H7" s="116">
        <f t="shared" ca="1" si="4"/>
        <v>26.200000000000003</v>
      </c>
      <c r="I7" s="57" t="str">
        <f t="shared" ca="1" si="5"/>
        <v>0.100 + 26.100</v>
      </c>
      <c r="J7" s="131">
        <f t="shared" ref="J7:J70" ca="1" si="12">IFERROR(IF(OR(G7=0,AND(G7&lt;&gt;$A$4,N7&lt;&gt;$A$4)),ABS($A$4-H7)/$E$5,997),996)</f>
        <v>4.8000000000000114</v>
      </c>
      <c r="K7" s="122" t="str">
        <f t="shared" ca="1" si="6"/>
        <v/>
      </c>
      <c r="L7" s="130" t="str">
        <f t="shared" ca="1" si="7"/>
        <v/>
      </c>
      <c r="M7" s="126">
        <f t="shared" ca="1" si="8"/>
        <v>995</v>
      </c>
      <c r="N7" s="58">
        <f ca="1">Tables!U3/1000</f>
        <v>0.1</v>
      </c>
      <c r="O7" s="160">
        <f ca="1">Tables!V3/1000</f>
        <v>9.5341491492424213E-2</v>
      </c>
    </row>
    <row r="8" spans="1:15" x14ac:dyDescent="0.25">
      <c r="A8" s="55" t="e">
        <f t="shared" ca="1" si="9"/>
        <v>#N/A</v>
      </c>
      <c r="B8" s="55" t="e">
        <f t="shared" ca="1" si="0"/>
        <v>#N/A</v>
      </c>
      <c r="C8" s="55" t="e">
        <f t="shared" ca="1" si="1"/>
        <v>#N/A</v>
      </c>
      <c r="D8" s="55" t="e">
        <f t="shared" ca="1" si="2"/>
        <v>#N/A</v>
      </c>
      <c r="E8" s="120">
        <f t="shared" ca="1" si="10"/>
        <v>998</v>
      </c>
      <c r="F8" s="56">
        <f t="shared" ca="1" si="11"/>
        <v>240</v>
      </c>
      <c r="G8" s="56">
        <f t="shared" ca="1" si="3"/>
        <v>26.1</v>
      </c>
      <c r="H8" s="116">
        <f t="shared" ca="1" si="4"/>
        <v>26.200000000000003</v>
      </c>
      <c r="I8" s="57" t="str">
        <f t="shared" ca="1" si="5"/>
        <v>0.100 + 26.100</v>
      </c>
      <c r="J8" s="131">
        <f t="shared" ca="1" si="12"/>
        <v>4.8000000000000114</v>
      </c>
      <c r="K8" s="122" t="str">
        <f t="shared" ca="1" si="6"/>
        <v/>
      </c>
      <c r="L8" s="130" t="str">
        <f t="shared" ca="1" si="7"/>
        <v/>
      </c>
      <c r="M8" s="126">
        <f t="shared" ca="1" si="8"/>
        <v>995</v>
      </c>
      <c r="N8" s="58">
        <f ca="1">Tables!U4/1000</f>
        <v>0.1</v>
      </c>
      <c r="O8" s="160">
        <f ca="1">Tables!V4/1000</f>
        <v>9.5341491492424213E-2</v>
      </c>
    </row>
    <row r="9" spans="1:15" x14ac:dyDescent="0.25">
      <c r="A9" s="55" t="e">
        <f t="shared" ca="1" si="9"/>
        <v>#N/A</v>
      </c>
      <c r="B9" s="55" t="e">
        <f t="shared" ca="1" si="0"/>
        <v>#N/A</v>
      </c>
      <c r="C9" s="55" t="e">
        <f t="shared" ca="1" si="1"/>
        <v>#N/A</v>
      </c>
      <c r="D9" s="55" t="e">
        <f t="shared" ca="1" si="2"/>
        <v>#N/A</v>
      </c>
      <c r="E9" s="120">
        <f t="shared" ca="1" si="10"/>
        <v>998</v>
      </c>
      <c r="F9" s="56">
        <f t="shared" ca="1" si="11"/>
        <v>240</v>
      </c>
      <c r="G9" s="56">
        <f t="shared" ca="1" si="3"/>
        <v>26.1</v>
      </c>
      <c r="H9" s="116">
        <f t="shared" ca="1" si="4"/>
        <v>26.21</v>
      </c>
      <c r="I9" s="57" t="str">
        <f t="shared" ca="1" si="5"/>
        <v>0.110 + 26.100</v>
      </c>
      <c r="J9" s="131">
        <f t="shared" ca="1" si="12"/>
        <v>4.8400000000000034</v>
      </c>
      <c r="K9" s="122" t="str">
        <f t="shared" ca="1" si="6"/>
        <v/>
      </c>
      <c r="L9" s="130" t="str">
        <f t="shared" ca="1" si="7"/>
        <v/>
      </c>
      <c r="M9" s="126">
        <f t="shared" ca="1" si="8"/>
        <v>995</v>
      </c>
      <c r="N9" s="58">
        <f ca="1">Tables!U5/1000</f>
        <v>0.11</v>
      </c>
      <c r="O9" s="160">
        <f ca="1">Tables!V5/1000</f>
        <v>0.10488088481701516</v>
      </c>
    </row>
    <row r="10" spans="1:15" x14ac:dyDescent="0.25">
      <c r="A10" s="55" t="e">
        <f t="shared" ca="1" si="9"/>
        <v>#N/A</v>
      </c>
      <c r="B10" s="55" t="e">
        <f t="shared" ca="1" si="0"/>
        <v>#N/A</v>
      </c>
      <c r="C10" s="55" t="e">
        <f t="shared" ca="1" si="1"/>
        <v>#N/A</v>
      </c>
      <c r="D10" s="55" t="e">
        <f t="shared" ca="1" si="2"/>
        <v>#N/A</v>
      </c>
      <c r="E10" s="120">
        <f t="shared" ca="1" si="10"/>
        <v>998</v>
      </c>
      <c r="F10" s="56">
        <f t="shared" ca="1" si="11"/>
        <v>240</v>
      </c>
      <c r="G10" s="56">
        <f t="shared" ca="1" si="3"/>
        <v>26.1</v>
      </c>
      <c r="H10" s="116">
        <f t="shared" ca="1" si="4"/>
        <v>26.21</v>
      </c>
      <c r="I10" s="57" t="str">
        <f t="shared" ca="1" si="5"/>
        <v>0.110 + 26.100</v>
      </c>
      <c r="J10" s="131">
        <f t="shared" ca="1" si="12"/>
        <v>4.8400000000000034</v>
      </c>
      <c r="K10" s="122" t="str">
        <f t="shared" ca="1" si="6"/>
        <v/>
      </c>
      <c r="L10" s="130" t="str">
        <f t="shared" ca="1" si="7"/>
        <v/>
      </c>
      <c r="M10" s="126">
        <f t="shared" ca="1" si="8"/>
        <v>995</v>
      </c>
      <c r="N10" s="58">
        <f ca="1">Tables!U6/1000</f>
        <v>0.11</v>
      </c>
      <c r="O10" s="160">
        <f ca="1">Tables!V6/1000</f>
        <v>0.10488088481701516</v>
      </c>
    </row>
    <row r="11" spans="1:15" x14ac:dyDescent="0.25">
      <c r="A11" s="55" t="e">
        <f t="shared" ca="1" si="9"/>
        <v>#N/A</v>
      </c>
      <c r="B11" s="55" t="e">
        <f t="shared" ca="1" si="0"/>
        <v>#N/A</v>
      </c>
      <c r="C11" s="55" t="e">
        <f t="shared" ca="1" si="1"/>
        <v>#N/A</v>
      </c>
      <c r="D11" s="55" t="e">
        <f t="shared" ca="1" si="2"/>
        <v>#N/A</v>
      </c>
      <c r="E11" s="120">
        <f t="shared" ca="1" si="10"/>
        <v>998</v>
      </c>
      <c r="F11" s="56">
        <f t="shared" ca="1" si="11"/>
        <v>240</v>
      </c>
      <c r="G11" s="56">
        <f t="shared" ca="1" si="3"/>
        <v>26.1</v>
      </c>
      <c r="H11" s="116">
        <f t="shared" ca="1" si="4"/>
        <v>26.21</v>
      </c>
      <c r="I11" s="57" t="str">
        <f t="shared" ca="1" si="5"/>
        <v>0.110 + 26.100</v>
      </c>
      <c r="J11" s="131">
        <f t="shared" ca="1" si="12"/>
        <v>4.8400000000000034</v>
      </c>
      <c r="K11" s="122" t="str">
        <f t="shared" ca="1" si="6"/>
        <v/>
      </c>
      <c r="L11" s="130" t="str">
        <f t="shared" ca="1" si="7"/>
        <v/>
      </c>
      <c r="M11" s="126">
        <f t="shared" ca="1" si="8"/>
        <v>995</v>
      </c>
      <c r="N11" s="58">
        <f ca="1">Tables!U7/1000</f>
        <v>0.11</v>
      </c>
      <c r="O11" s="160">
        <f ca="1">Tables!V7/1000</f>
        <v>0.10488088481701516</v>
      </c>
    </row>
    <row r="12" spans="1:15" x14ac:dyDescent="0.25">
      <c r="A12" s="55" t="e">
        <f t="shared" ca="1" si="9"/>
        <v>#N/A</v>
      </c>
      <c r="B12" s="55" t="e">
        <f t="shared" ca="1" si="0"/>
        <v>#N/A</v>
      </c>
      <c r="C12" s="55" t="e">
        <f t="shared" ca="1" si="1"/>
        <v>#N/A</v>
      </c>
      <c r="D12" s="55" t="e">
        <f t="shared" ca="1" si="2"/>
        <v>#N/A</v>
      </c>
      <c r="E12" s="120">
        <f t="shared" ca="1" si="10"/>
        <v>998</v>
      </c>
      <c r="F12" s="56">
        <f t="shared" ca="1" si="11"/>
        <v>240</v>
      </c>
      <c r="G12" s="56">
        <f t="shared" ca="1" si="3"/>
        <v>26.1</v>
      </c>
      <c r="H12" s="116">
        <f t="shared" ca="1" si="4"/>
        <v>26.21</v>
      </c>
      <c r="I12" s="57" t="str">
        <f t="shared" ca="1" si="5"/>
        <v>0.110 + 26.100</v>
      </c>
      <c r="J12" s="131">
        <f t="shared" ca="1" si="12"/>
        <v>4.8400000000000034</v>
      </c>
      <c r="K12" s="122" t="str">
        <f t="shared" ca="1" si="6"/>
        <v/>
      </c>
      <c r="L12" s="130" t="str">
        <f t="shared" ca="1" si="7"/>
        <v/>
      </c>
      <c r="M12" s="126">
        <f t="shared" ca="1" si="8"/>
        <v>995</v>
      </c>
      <c r="N12" s="58">
        <f ca="1">Tables!U8/1000</f>
        <v>0.11</v>
      </c>
      <c r="O12" s="160">
        <f ca="1">Tables!V8/1000</f>
        <v>0.10488088481701516</v>
      </c>
    </row>
    <row r="13" spans="1:15" x14ac:dyDescent="0.25">
      <c r="A13" s="55" t="e">
        <f t="shared" ca="1" si="9"/>
        <v>#N/A</v>
      </c>
      <c r="B13" s="55" t="e">
        <f t="shared" ca="1" si="0"/>
        <v>#N/A</v>
      </c>
      <c r="C13" s="55" t="e">
        <f t="shared" ca="1" si="1"/>
        <v>#N/A</v>
      </c>
      <c r="D13" s="55" t="e">
        <f t="shared" ca="1" si="2"/>
        <v>#N/A</v>
      </c>
      <c r="E13" s="120">
        <f t="shared" ca="1" si="10"/>
        <v>998</v>
      </c>
      <c r="F13" s="56">
        <f t="shared" ca="1" si="11"/>
        <v>240</v>
      </c>
      <c r="G13" s="56">
        <f t="shared" ca="1" si="3"/>
        <v>26.1</v>
      </c>
      <c r="H13" s="116">
        <f t="shared" ca="1" si="4"/>
        <v>26.221</v>
      </c>
      <c r="I13" s="57" t="str">
        <f t="shared" ca="1" si="5"/>
        <v>0.121 + 26.100</v>
      </c>
      <c r="J13" s="131">
        <f t="shared" ca="1" si="12"/>
        <v>4.8840000000000003</v>
      </c>
      <c r="K13" s="122" t="str">
        <f t="shared" ca="1" si="6"/>
        <v/>
      </c>
      <c r="L13" s="130" t="str">
        <f t="shared" ca="1" si="7"/>
        <v/>
      </c>
      <c r="M13" s="126">
        <f t="shared" ca="1" si="8"/>
        <v>995</v>
      </c>
      <c r="N13" s="58">
        <f ca="1">Tables!U9/1000</f>
        <v>0.121</v>
      </c>
      <c r="O13" s="160">
        <f ca="1">Tables!V9/1000</f>
        <v>0.11536897329871668</v>
      </c>
    </row>
    <row r="14" spans="1:15" x14ac:dyDescent="0.25">
      <c r="A14" s="55" t="e">
        <f t="shared" ca="1" si="9"/>
        <v>#N/A</v>
      </c>
      <c r="B14" s="55" t="e">
        <f t="shared" ca="1" si="0"/>
        <v>#N/A</v>
      </c>
      <c r="C14" s="55" t="e">
        <f t="shared" ca="1" si="1"/>
        <v>#N/A</v>
      </c>
      <c r="D14" s="55" t="e">
        <f t="shared" ca="1" si="2"/>
        <v>#N/A</v>
      </c>
      <c r="E14" s="120">
        <f t="shared" ca="1" si="10"/>
        <v>998</v>
      </c>
      <c r="F14" s="56">
        <f t="shared" ca="1" si="11"/>
        <v>240</v>
      </c>
      <c r="G14" s="56">
        <f t="shared" ca="1" si="3"/>
        <v>26.1</v>
      </c>
      <c r="H14" s="116">
        <f t="shared" ca="1" si="4"/>
        <v>26.221</v>
      </c>
      <c r="I14" s="57" t="str">
        <f t="shared" ca="1" si="5"/>
        <v>0.121 + 26.100</v>
      </c>
      <c r="J14" s="131">
        <f t="shared" ca="1" si="12"/>
        <v>4.8840000000000003</v>
      </c>
      <c r="K14" s="122" t="str">
        <f t="shared" ca="1" si="6"/>
        <v/>
      </c>
      <c r="L14" s="130" t="str">
        <f t="shared" ca="1" si="7"/>
        <v/>
      </c>
      <c r="M14" s="126">
        <f t="shared" ca="1" si="8"/>
        <v>995</v>
      </c>
      <c r="N14" s="58">
        <f ca="1">Tables!U10/1000</f>
        <v>0.121</v>
      </c>
      <c r="O14" s="160">
        <f ca="1">Tables!V10/1000</f>
        <v>0.11536897329871668</v>
      </c>
    </row>
    <row r="15" spans="1:15" x14ac:dyDescent="0.25">
      <c r="A15" s="55" t="e">
        <f t="shared" ca="1" si="9"/>
        <v>#N/A</v>
      </c>
      <c r="B15" s="55" t="e">
        <f t="shared" ca="1" si="0"/>
        <v>#N/A</v>
      </c>
      <c r="C15" s="55" t="e">
        <f t="shared" ca="1" si="1"/>
        <v>#N/A</v>
      </c>
      <c r="D15" s="55" t="e">
        <f t="shared" ca="1" si="2"/>
        <v>#N/A</v>
      </c>
      <c r="E15" s="120">
        <f t="shared" ca="1" si="10"/>
        <v>998</v>
      </c>
      <c r="F15" s="56">
        <f t="shared" ca="1" si="11"/>
        <v>240</v>
      </c>
      <c r="G15" s="56">
        <f t="shared" ca="1" si="3"/>
        <v>26.1</v>
      </c>
      <c r="H15" s="116">
        <f t="shared" ca="1" si="4"/>
        <v>26.221</v>
      </c>
      <c r="I15" s="57" t="str">
        <f t="shared" ca="1" si="5"/>
        <v>0.121 + 26.100</v>
      </c>
      <c r="J15" s="131">
        <f t="shared" ca="1" si="12"/>
        <v>4.8840000000000003</v>
      </c>
      <c r="K15" s="122" t="str">
        <f t="shared" ca="1" si="6"/>
        <v/>
      </c>
      <c r="L15" s="130" t="str">
        <f t="shared" ca="1" si="7"/>
        <v/>
      </c>
      <c r="M15" s="126">
        <f t="shared" ca="1" si="8"/>
        <v>995</v>
      </c>
      <c r="N15" s="58">
        <f ca="1">Tables!U11/1000</f>
        <v>0.121</v>
      </c>
      <c r="O15" s="160">
        <f ca="1">Tables!V11/1000</f>
        <v>0.11536897329871668</v>
      </c>
    </row>
    <row r="16" spans="1:15" x14ac:dyDescent="0.25">
      <c r="A16" s="55" t="e">
        <f t="shared" ca="1" si="9"/>
        <v>#N/A</v>
      </c>
      <c r="B16" s="55" t="e">
        <f t="shared" ca="1" si="0"/>
        <v>#N/A</v>
      </c>
      <c r="C16" s="55" t="e">
        <f t="shared" ca="1" si="1"/>
        <v>#N/A</v>
      </c>
      <c r="D16" s="55" t="e">
        <f t="shared" ca="1" si="2"/>
        <v>#N/A</v>
      </c>
      <c r="E16" s="120">
        <f t="shared" ca="1" si="10"/>
        <v>998</v>
      </c>
      <c r="F16" s="56">
        <f t="shared" ca="1" si="11"/>
        <v>240</v>
      </c>
      <c r="G16" s="56">
        <f t="shared" ca="1" si="3"/>
        <v>26.1</v>
      </c>
      <c r="H16" s="116">
        <f t="shared" ca="1" si="4"/>
        <v>26.221</v>
      </c>
      <c r="I16" s="57" t="str">
        <f t="shared" ca="1" si="5"/>
        <v>0.121 + 26.100</v>
      </c>
      <c r="J16" s="131">
        <f t="shared" ca="1" si="12"/>
        <v>4.8840000000000003</v>
      </c>
      <c r="K16" s="122" t="str">
        <f t="shared" ca="1" si="6"/>
        <v/>
      </c>
      <c r="L16" s="130" t="str">
        <f t="shared" ca="1" si="7"/>
        <v/>
      </c>
      <c r="M16" s="126">
        <f t="shared" ca="1" si="8"/>
        <v>995</v>
      </c>
      <c r="N16" s="58">
        <f ca="1">Tables!U12/1000</f>
        <v>0.121</v>
      </c>
      <c r="O16" s="160">
        <f ca="1">Tables!V12/1000</f>
        <v>0.11536897329871668</v>
      </c>
    </row>
    <row r="17" spans="1:15" x14ac:dyDescent="0.25">
      <c r="A17" s="55" t="e">
        <f t="shared" ca="1" si="9"/>
        <v>#N/A</v>
      </c>
      <c r="B17" s="55" t="e">
        <f t="shared" ca="1" si="0"/>
        <v>#N/A</v>
      </c>
      <c r="C17" s="55" t="e">
        <f t="shared" ca="1" si="1"/>
        <v>#N/A</v>
      </c>
      <c r="D17" s="55" t="e">
        <f t="shared" ca="1" si="2"/>
        <v>#N/A</v>
      </c>
      <c r="E17" s="120">
        <f t="shared" ca="1" si="10"/>
        <v>998</v>
      </c>
      <c r="F17" s="56">
        <f t="shared" ca="1" si="11"/>
        <v>236</v>
      </c>
      <c r="G17" s="56">
        <f t="shared" ca="1" si="3"/>
        <v>23.700000000000003</v>
      </c>
      <c r="H17" s="116">
        <f t="shared" ca="1" si="4"/>
        <v>23.833000000000002</v>
      </c>
      <c r="I17" s="57" t="str">
        <f t="shared" ca="1" si="5"/>
        <v>0.133 + 23.700</v>
      </c>
      <c r="J17" s="131">
        <f t="shared" ca="1" si="12"/>
        <v>4.6679999999999922</v>
      </c>
      <c r="K17" s="122" t="str">
        <f t="shared" ca="1" si="6"/>
        <v/>
      </c>
      <c r="L17" s="130" t="str">
        <f t="shared" ca="1" si="7"/>
        <v/>
      </c>
      <c r="M17" s="126">
        <f t="shared" ca="1" si="8"/>
        <v>995</v>
      </c>
      <c r="N17" s="58">
        <f ca="1">Tables!U13/1000</f>
        <v>0.13300000000000001</v>
      </c>
      <c r="O17" s="160">
        <f ca="1">Tables!V13/1000</f>
        <v>0.12685818854137873</v>
      </c>
    </row>
    <row r="18" spans="1:15" x14ac:dyDescent="0.25">
      <c r="A18" s="55" t="e">
        <f t="shared" ca="1" si="9"/>
        <v>#N/A</v>
      </c>
      <c r="B18" s="55" t="e">
        <f t="shared" ca="1" si="0"/>
        <v>#N/A</v>
      </c>
      <c r="C18" s="55" t="e">
        <f t="shared" ca="1" si="1"/>
        <v>#N/A</v>
      </c>
      <c r="D18" s="55" t="e">
        <f t="shared" ca="1" si="2"/>
        <v>#N/A</v>
      </c>
      <c r="E18" s="120">
        <f t="shared" ca="1" si="10"/>
        <v>998</v>
      </c>
      <c r="F18" s="56">
        <f t="shared" ca="1" si="11"/>
        <v>236</v>
      </c>
      <c r="G18" s="56">
        <f t="shared" ca="1" si="3"/>
        <v>23.700000000000003</v>
      </c>
      <c r="H18" s="116">
        <f t="shared" ca="1" si="4"/>
        <v>23.833000000000002</v>
      </c>
      <c r="I18" s="57" t="str">
        <f t="shared" ca="1" si="5"/>
        <v>0.133 + 23.700</v>
      </c>
      <c r="J18" s="131">
        <f t="shared" ca="1" si="12"/>
        <v>4.6679999999999922</v>
      </c>
      <c r="K18" s="122" t="str">
        <f t="shared" ca="1" si="6"/>
        <v/>
      </c>
      <c r="L18" s="130" t="str">
        <f t="shared" ca="1" si="7"/>
        <v/>
      </c>
      <c r="M18" s="126">
        <f t="shared" ca="1" si="8"/>
        <v>995</v>
      </c>
      <c r="N18" s="58">
        <f ca="1">Tables!U14/1000</f>
        <v>0.13300000000000001</v>
      </c>
      <c r="O18" s="160">
        <f ca="1">Tables!V14/1000</f>
        <v>0.12685818854137873</v>
      </c>
    </row>
    <row r="19" spans="1:15" x14ac:dyDescent="0.25">
      <c r="A19" s="55" t="e">
        <f t="shared" ca="1" si="9"/>
        <v>#N/A</v>
      </c>
      <c r="B19" s="55" t="e">
        <f t="shared" ca="1" si="0"/>
        <v>#N/A</v>
      </c>
      <c r="C19" s="55" t="e">
        <f t="shared" ca="1" si="1"/>
        <v>#N/A</v>
      </c>
      <c r="D19" s="55" t="e">
        <f t="shared" ca="1" si="2"/>
        <v>#N/A</v>
      </c>
      <c r="E19" s="120">
        <f t="shared" ca="1" si="10"/>
        <v>998</v>
      </c>
      <c r="F19" s="56">
        <f t="shared" ca="1" si="11"/>
        <v>236</v>
      </c>
      <c r="G19" s="56">
        <f t="shared" ca="1" si="3"/>
        <v>23.700000000000003</v>
      </c>
      <c r="H19" s="116">
        <f t="shared" ca="1" si="4"/>
        <v>23.833000000000002</v>
      </c>
      <c r="I19" s="57" t="str">
        <f t="shared" ca="1" si="5"/>
        <v>0.133 + 23.700</v>
      </c>
      <c r="J19" s="131">
        <f t="shared" ca="1" si="12"/>
        <v>4.6679999999999922</v>
      </c>
      <c r="K19" s="122" t="str">
        <f t="shared" ca="1" si="6"/>
        <v/>
      </c>
      <c r="L19" s="130" t="str">
        <f t="shared" ca="1" si="7"/>
        <v/>
      </c>
      <c r="M19" s="126">
        <f t="shared" ca="1" si="8"/>
        <v>995</v>
      </c>
      <c r="N19" s="58">
        <f ca="1">Tables!U15/1000</f>
        <v>0.13300000000000001</v>
      </c>
      <c r="O19" s="160">
        <f ca="1">Tables!V15/1000</f>
        <v>0.12685818854137873</v>
      </c>
    </row>
    <row r="20" spans="1:15" x14ac:dyDescent="0.25">
      <c r="A20" s="55" t="e">
        <f t="shared" ca="1" si="9"/>
        <v>#N/A</v>
      </c>
      <c r="B20" s="55" t="e">
        <f t="shared" ca="1" si="0"/>
        <v>#N/A</v>
      </c>
      <c r="C20" s="55" t="e">
        <f t="shared" ca="1" si="1"/>
        <v>#N/A</v>
      </c>
      <c r="D20" s="55" t="e">
        <f t="shared" ca="1" si="2"/>
        <v>#N/A</v>
      </c>
      <c r="E20" s="120">
        <f t="shared" ca="1" si="10"/>
        <v>998</v>
      </c>
      <c r="F20" s="56">
        <f t="shared" ca="1" si="11"/>
        <v>236</v>
      </c>
      <c r="G20" s="56">
        <f t="shared" ca="1" si="3"/>
        <v>23.700000000000003</v>
      </c>
      <c r="H20" s="116">
        <f t="shared" ca="1" si="4"/>
        <v>23.833000000000002</v>
      </c>
      <c r="I20" s="57" t="str">
        <f t="shared" ca="1" si="5"/>
        <v>0.133 + 23.700</v>
      </c>
      <c r="J20" s="131">
        <f t="shared" ca="1" si="12"/>
        <v>4.6679999999999922</v>
      </c>
      <c r="K20" s="122" t="str">
        <f t="shared" ca="1" si="6"/>
        <v/>
      </c>
      <c r="L20" s="130" t="str">
        <f t="shared" ca="1" si="7"/>
        <v/>
      </c>
      <c r="M20" s="126">
        <f t="shared" ca="1" si="8"/>
        <v>995</v>
      </c>
      <c r="N20" s="58">
        <f ca="1">Tables!U16/1000</f>
        <v>0.13300000000000001</v>
      </c>
      <c r="O20" s="160">
        <f ca="1">Tables!V16/1000</f>
        <v>0.12685818854137873</v>
      </c>
    </row>
    <row r="21" spans="1:15" x14ac:dyDescent="0.25">
      <c r="A21" s="55" t="e">
        <f t="shared" ca="1" si="9"/>
        <v>#N/A</v>
      </c>
      <c r="B21" s="55" t="e">
        <f t="shared" ca="1" si="0"/>
        <v>#N/A</v>
      </c>
      <c r="C21" s="55" t="e">
        <f t="shared" ca="1" si="1"/>
        <v>#N/A</v>
      </c>
      <c r="D21" s="55" t="e">
        <f t="shared" ca="1" si="2"/>
        <v>#N/A</v>
      </c>
      <c r="E21" s="120">
        <f t="shared" ca="1" si="10"/>
        <v>998</v>
      </c>
      <c r="F21" s="56">
        <f t="shared" ca="1" si="11"/>
        <v>236</v>
      </c>
      <c r="G21" s="56">
        <f t="shared" ca="1" si="3"/>
        <v>23.700000000000003</v>
      </c>
      <c r="H21" s="116">
        <f t="shared" ca="1" si="4"/>
        <v>23.847000000000001</v>
      </c>
      <c r="I21" s="57" t="str">
        <f t="shared" ca="1" si="5"/>
        <v>0.147 + 23.700</v>
      </c>
      <c r="J21" s="131">
        <f t="shared" ca="1" si="12"/>
        <v>4.6119999999999948</v>
      </c>
      <c r="K21" s="122" t="str">
        <f t="shared" ca="1" si="6"/>
        <v/>
      </c>
      <c r="L21" s="130" t="str">
        <f t="shared" ca="1" si="7"/>
        <v/>
      </c>
      <c r="M21" s="126">
        <f t="shared" ca="1" si="8"/>
        <v>995</v>
      </c>
      <c r="N21" s="58">
        <f ca="1">Tables!U17/1000</f>
        <v>0.14699999999999999</v>
      </c>
      <c r="O21" s="160">
        <f ca="1">Tables!V17/1000</f>
        <v>0.13982489048806726</v>
      </c>
    </row>
    <row r="22" spans="1:15" x14ac:dyDescent="0.25">
      <c r="A22" s="55" t="e">
        <f t="shared" ca="1" si="9"/>
        <v>#N/A</v>
      </c>
      <c r="B22" s="55" t="e">
        <f t="shared" ca="1" si="0"/>
        <v>#N/A</v>
      </c>
      <c r="C22" s="55" t="e">
        <f t="shared" ca="1" si="1"/>
        <v>#N/A</v>
      </c>
      <c r="D22" s="55" t="e">
        <f t="shared" ca="1" si="2"/>
        <v>#N/A</v>
      </c>
      <c r="E22" s="120">
        <f t="shared" ca="1" si="10"/>
        <v>998</v>
      </c>
      <c r="F22" s="56">
        <f t="shared" ca="1" si="11"/>
        <v>236</v>
      </c>
      <c r="G22" s="56">
        <f t="shared" ca="1" si="3"/>
        <v>23.700000000000003</v>
      </c>
      <c r="H22" s="116">
        <f t="shared" ca="1" si="4"/>
        <v>23.847000000000001</v>
      </c>
      <c r="I22" s="57" t="str">
        <f t="shared" ca="1" si="5"/>
        <v>0.147 + 23.700</v>
      </c>
      <c r="J22" s="131">
        <f t="shared" ca="1" si="12"/>
        <v>4.6119999999999948</v>
      </c>
      <c r="K22" s="122" t="str">
        <f t="shared" ca="1" si="6"/>
        <v/>
      </c>
      <c r="L22" s="130" t="str">
        <f t="shared" ca="1" si="7"/>
        <v/>
      </c>
      <c r="M22" s="126">
        <f t="shared" ca="1" si="8"/>
        <v>995</v>
      </c>
      <c r="N22" s="58">
        <f ca="1">Tables!U18/1000</f>
        <v>0.14699999999999999</v>
      </c>
      <c r="O22" s="160">
        <f ca="1">Tables!V18/1000</f>
        <v>0.13982489048806726</v>
      </c>
    </row>
    <row r="23" spans="1:15" x14ac:dyDescent="0.25">
      <c r="A23" s="55" t="e">
        <f t="shared" ca="1" si="9"/>
        <v>#N/A</v>
      </c>
      <c r="B23" s="55" t="e">
        <f t="shared" ca="1" si="0"/>
        <v>#N/A</v>
      </c>
      <c r="C23" s="55" t="e">
        <f t="shared" ca="1" si="1"/>
        <v>#N/A</v>
      </c>
      <c r="D23" s="55" t="e">
        <f t="shared" ca="1" si="2"/>
        <v>#N/A</v>
      </c>
      <c r="E23" s="120">
        <f t="shared" ca="1" si="10"/>
        <v>998</v>
      </c>
      <c r="F23" s="56">
        <f t="shared" ca="1" si="11"/>
        <v>236</v>
      </c>
      <c r="G23" s="56">
        <f t="shared" ca="1" si="3"/>
        <v>23.700000000000003</v>
      </c>
      <c r="H23" s="116">
        <f t="shared" ca="1" si="4"/>
        <v>23.847000000000001</v>
      </c>
      <c r="I23" s="57" t="str">
        <f t="shared" ca="1" si="5"/>
        <v>0.147 + 23.700</v>
      </c>
      <c r="J23" s="131">
        <f t="shared" ca="1" si="12"/>
        <v>4.6119999999999948</v>
      </c>
      <c r="K23" s="122" t="str">
        <f t="shared" ca="1" si="6"/>
        <v/>
      </c>
      <c r="L23" s="130" t="str">
        <f t="shared" ca="1" si="7"/>
        <v/>
      </c>
      <c r="M23" s="126">
        <f t="shared" ca="1" si="8"/>
        <v>995</v>
      </c>
      <c r="N23" s="58">
        <f ca="1">Tables!U19/1000</f>
        <v>0.14699999999999999</v>
      </c>
      <c r="O23" s="160">
        <f ca="1">Tables!V19/1000</f>
        <v>0.13982489048806726</v>
      </c>
    </row>
    <row r="24" spans="1:15" x14ac:dyDescent="0.25">
      <c r="A24" s="55" t="e">
        <f t="shared" ca="1" si="9"/>
        <v>#N/A</v>
      </c>
      <c r="B24" s="55" t="e">
        <f t="shared" ca="1" si="0"/>
        <v>#N/A</v>
      </c>
      <c r="C24" s="55" t="e">
        <f t="shared" ca="1" si="1"/>
        <v>#N/A</v>
      </c>
      <c r="D24" s="55" t="e">
        <f t="shared" ca="1" si="2"/>
        <v>#N/A</v>
      </c>
      <c r="E24" s="120">
        <f t="shared" ca="1" si="10"/>
        <v>998</v>
      </c>
      <c r="F24" s="56">
        <f t="shared" ca="1" si="11"/>
        <v>236</v>
      </c>
      <c r="G24" s="56">
        <f t="shared" ca="1" si="3"/>
        <v>23.700000000000003</v>
      </c>
      <c r="H24" s="116">
        <f t="shared" ca="1" si="4"/>
        <v>23.847000000000001</v>
      </c>
      <c r="I24" s="57" t="str">
        <f t="shared" ca="1" si="5"/>
        <v>0.147 + 23.700</v>
      </c>
      <c r="J24" s="131">
        <f t="shared" ca="1" si="12"/>
        <v>4.6119999999999948</v>
      </c>
      <c r="K24" s="122" t="str">
        <f t="shared" ca="1" si="6"/>
        <v/>
      </c>
      <c r="L24" s="130" t="str">
        <f t="shared" ca="1" si="7"/>
        <v/>
      </c>
      <c r="M24" s="126">
        <f t="shared" ca="1" si="8"/>
        <v>995</v>
      </c>
      <c r="N24" s="58">
        <f ca="1">Tables!U20/1000</f>
        <v>0.14699999999999999</v>
      </c>
      <c r="O24" s="160">
        <f ca="1">Tables!V20/1000</f>
        <v>0.13982489048806726</v>
      </c>
    </row>
    <row r="25" spans="1:15" x14ac:dyDescent="0.25">
      <c r="A25" s="55" t="e">
        <f t="shared" ca="1" si="9"/>
        <v>#N/A</v>
      </c>
      <c r="B25" s="55" t="e">
        <f t="shared" ca="1" si="0"/>
        <v>#N/A</v>
      </c>
      <c r="C25" s="55" t="e">
        <f t="shared" ca="1" si="1"/>
        <v>#N/A</v>
      </c>
      <c r="D25" s="55" t="e">
        <f t="shared" ca="1" si="2"/>
        <v>#N/A</v>
      </c>
      <c r="E25" s="120">
        <f t="shared" ca="1" si="10"/>
        <v>998</v>
      </c>
      <c r="F25" s="56">
        <f t="shared" ca="1" si="11"/>
        <v>236</v>
      </c>
      <c r="G25" s="56">
        <f t="shared" ca="1" si="3"/>
        <v>23.700000000000003</v>
      </c>
      <c r="H25" s="116">
        <f t="shared" ca="1" si="4"/>
        <v>23.862000000000002</v>
      </c>
      <c r="I25" s="57" t="str">
        <f t="shared" ca="1" si="5"/>
        <v>0.162 + 23.700</v>
      </c>
      <c r="J25" s="131">
        <f t="shared" ca="1" si="12"/>
        <v>4.5519999999999925</v>
      </c>
      <c r="K25" s="122" t="str">
        <f t="shared" ca="1" si="6"/>
        <v/>
      </c>
      <c r="L25" s="130" t="str">
        <f t="shared" ca="1" si="7"/>
        <v/>
      </c>
      <c r="M25" s="126">
        <f t="shared" ca="1" si="8"/>
        <v>995</v>
      </c>
      <c r="N25" s="58">
        <f ca="1">Tables!U21/1000</f>
        <v>0.16200000000000001</v>
      </c>
      <c r="O25" s="160">
        <f ca="1">Tables!V21/1000</f>
        <v>0.15431785379534019</v>
      </c>
    </row>
    <row r="26" spans="1:15" x14ac:dyDescent="0.25">
      <c r="A26" s="55" t="e">
        <f t="shared" ca="1" si="9"/>
        <v>#N/A</v>
      </c>
      <c r="B26" s="55" t="e">
        <f t="shared" ca="1" si="0"/>
        <v>#N/A</v>
      </c>
      <c r="C26" s="55" t="e">
        <f t="shared" ca="1" si="1"/>
        <v>#N/A</v>
      </c>
      <c r="D26" s="55" t="e">
        <f t="shared" ca="1" si="2"/>
        <v>#N/A</v>
      </c>
      <c r="E26" s="120">
        <f t="shared" ca="1" si="10"/>
        <v>998</v>
      </c>
      <c r="F26" s="56">
        <f t="shared" ca="1" si="11"/>
        <v>236</v>
      </c>
      <c r="G26" s="56">
        <f t="shared" ca="1" si="3"/>
        <v>23.700000000000003</v>
      </c>
      <c r="H26" s="116">
        <f t="shared" ca="1" si="4"/>
        <v>23.862000000000002</v>
      </c>
      <c r="I26" s="57" t="str">
        <f t="shared" ca="1" si="5"/>
        <v>0.162 + 23.700</v>
      </c>
      <c r="J26" s="131">
        <f t="shared" ca="1" si="12"/>
        <v>4.5519999999999925</v>
      </c>
      <c r="K26" s="122" t="str">
        <f t="shared" ca="1" si="6"/>
        <v/>
      </c>
      <c r="L26" s="130" t="str">
        <f t="shared" ca="1" si="7"/>
        <v/>
      </c>
      <c r="M26" s="126">
        <f t="shared" ca="1" si="8"/>
        <v>995</v>
      </c>
      <c r="N26" s="58">
        <f ca="1">Tables!U22/1000</f>
        <v>0.16200000000000001</v>
      </c>
      <c r="O26" s="160">
        <f ca="1">Tables!V22/1000</f>
        <v>0.15431785379534019</v>
      </c>
    </row>
    <row r="27" spans="1:15" x14ac:dyDescent="0.25">
      <c r="A27" s="55" t="e">
        <f t="shared" ca="1" si="9"/>
        <v>#N/A</v>
      </c>
      <c r="B27" s="55" t="e">
        <f t="shared" ca="1" si="0"/>
        <v>#N/A</v>
      </c>
      <c r="C27" s="55" t="e">
        <f t="shared" ca="1" si="1"/>
        <v>#N/A</v>
      </c>
      <c r="D27" s="55" t="e">
        <f t="shared" ca="1" si="2"/>
        <v>#N/A</v>
      </c>
      <c r="E27" s="120">
        <f t="shared" ca="1" si="10"/>
        <v>998</v>
      </c>
      <c r="F27" s="56">
        <f t="shared" ca="1" si="11"/>
        <v>236</v>
      </c>
      <c r="G27" s="56">
        <f t="shared" ca="1" si="3"/>
        <v>23.700000000000003</v>
      </c>
      <c r="H27" s="116">
        <f t="shared" ca="1" si="4"/>
        <v>23.862000000000002</v>
      </c>
      <c r="I27" s="57" t="str">
        <f t="shared" ca="1" si="5"/>
        <v>0.162 + 23.700</v>
      </c>
      <c r="J27" s="131">
        <f t="shared" ca="1" si="12"/>
        <v>4.5519999999999925</v>
      </c>
      <c r="K27" s="122" t="str">
        <f t="shared" ca="1" si="6"/>
        <v/>
      </c>
      <c r="L27" s="130" t="str">
        <f t="shared" ca="1" si="7"/>
        <v/>
      </c>
      <c r="M27" s="126">
        <f t="shared" ca="1" si="8"/>
        <v>995</v>
      </c>
      <c r="N27" s="58">
        <f ca="1">Tables!U23/1000</f>
        <v>0.16200000000000001</v>
      </c>
      <c r="O27" s="160">
        <f ca="1">Tables!V23/1000</f>
        <v>0.15431785379534019</v>
      </c>
    </row>
    <row r="28" spans="1:15" x14ac:dyDescent="0.25">
      <c r="A28" s="55" t="e">
        <f t="shared" ca="1" si="9"/>
        <v>#N/A</v>
      </c>
      <c r="B28" s="55" t="e">
        <f t="shared" ca="1" si="0"/>
        <v>#N/A</v>
      </c>
      <c r="C28" s="55" t="e">
        <f t="shared" ca="1" si="1"/>
        <v>#N/A</v>
      </c>
      <c r="D28" s="55" t="e">
        <f t="shared" ca="1" si="2"/>
        <v>#N/A</v>
      </c>
      <c r="E28" s="120">
        <f t="shared" ca="1" si="10"/>
        <v>998</v>
      </c>
      <c r="F28" s="56">
        <f t="shared" ca="1" si="11"/>
        <v>236</v>
      </c>
      <c r="G28" s="56">
        <f t="shared" ca="1" si="3"/>
        <v>23.700000000000003</v>
      </c>
      <c r="H28" s="116">
        <f t="shared" ca="1" si="4"/>
        <v>23.862000000000002</v>
      </c>
      <c r="I28" s="57" t="str">
        <f t="shared" ca="1" si="5"/>
        <v>0.162 + 23.700</v>
      </c>
      <c r="J28" s="131">
        <f t="shared" ca="1" si="12"/>
        <v>4.5519999999999925</v>
      </c>
      <c r="K28" s="122" t="str">
        <f t="shared" ca="1" si="6"/>
        <v/>
      </c>
      <c r="L28" s="130" t="str">
        <f t="shared" ca="1" si="7"/>
        <v/>
      </c>
      <c r="M28" s="126">
        <f t="shared" ca="1" si="8"/>
        <v>995</v>
      </c>
      <c r="N28" s="58">
        <f ca="1">Tables!U24/1000</f>
        <v>0.16200000000000001</v>
      </c>
      <c r="O28" s="160">
        <f ca="1">Tables!V24/1000</f>
        <v>0.15431785379534019</v>
      </c>
    </row>
    <row r="29" spans="1:15" x14ac:dyDescent="0.25">
      <c r="A29" s="55" t="e">
        <f t="shared" ca="1" si="9"/>
        <v>#N/A</v>
      </c>
      <c r="B29" s="55" t="e">
        <f t="shared" ca="1" si="0"/>
        <v>#N/A</v>
      </c>
      <c r="C29" s="55" t="e">
        <f t="shared" ca="1" si="1"/>
        <v>#N/A</v>
      </c>
      <c r="D29" s="55" t="e">
        <f t="shared" ca="1" si="2"/>
        <v>#N/A</v>
      </c>
      <c r="E29" s="120">
        <f t="shared" ca="1" si="10"/>
        <v>998</v>
      </c>
      <c r="F29" s="56">
        <f t="shared" ca="1" si="11"/>
        <v>236</v>
      </c>
      <c r="G29" s="56">
        <f t="shared" ca="1" si="3"/>
        <v>23.700000000000003</v>
      </c>
      <c r="H29" s="116">
        <f t="shared" ca="1" si="4"/>
        <v>23.878000000000004</v>
      </c>
      <c r="I29" s="57" t="str">
        <f t="shared" ca="1" si="5"/>
        <v>0.178 + 23.700</v>
      </c>
      <c r="J29" s="131">
        <f t="shared" ca="1" si="12"/>
        <v>4.4879999999999853</v>
      </c>
      <c r="K29" s="122" t="str">
        <f t="shared" ca="1" si="6"/>
        <v/>
      </c>
      <c r="L29" s="130" t="str">
        <f t="shared" ca="1" si="7"/>
        <v/>
      </c>
      <c r="M29" s="126">
        <f t="shared" ca="1" si="8"/>
        <v>995</v>
      </c>
      <c r="N29" s="58">
        <f ca="1">Tables!U25/1000</f>
        <v>0.17799999999999999</v>
      </c>
      <c r="O29" s="160">
        <f ca="1">Tables!V25/1000</f>
        <v>0.16981166037701889</v>
      </c>
    </row>
    <row r="30" spans="1:15" x14ac:dyDescent="0.25">
      <c r="A30" s="55" t="e">
        <f t="shared" ca="1" si="9"/>
        <v>#N/A</v>
      </c>
      <c r="B30" s="55" t="e">
        <f t="shared" ca="1" si="0"/>
        <v>#N/A</v>
      </c>
      <c r="C30" s="55" t="e">
        <f t="shared" ca="1" si="1"/>
        <v>#N/A</v>
      </c>
      <c r="D30" s="55" t="e">
        <f t="shared" ca="1" si="2"/>
        <v>#N/A</v>
      </c>
      <c r="E30" s="120">
        <f t="shared" ca="1" si="10"/>
        <v>998</v>
      </c>
      <c r="F30" s="56">
        <f t="shared" ca="1" si="11"/>
        <v>236</v>
      </c>
      <c r="G30" s="56">
        <f t="shared" ca="1" si="3"/>
        <v>23.700000000000003</v>
      </c>
      <c r="H30" s="116">
        <f t="shared" ca="1" si="4"/>
        <v>23.878000000000004</v>
      </c>
      <c r="I30" s="57" t="str">
        <f t="shared" ca="1" si="5"/>
        <v>0.178 + 23.700</v>
      </c>
      <c r="J30" s="131">
        <f t="shared" ca="1" si="12"/>
        <v>4.4879999999999853</v>
      </c>
      <c r="K30" s="122" t="str">
        <f t="shared" ca="1" si="6"/>
        <v/>
      </c>
      <c r="L30" s="130" t="str">
        <f t="shared" ca="1" si="7"/>
        <v/>
      </c>
      <c r="M30" s="126">
        <f t="shared" ca="1" si="8"/>
        <v>995</v>
      </c>
      <c r="N30" s="58">
        <f ca="1">Tables!U26/1000</f>
        <v>0.17799999999999999</v>
      </c>
      <c r="O30" s="160">
        <f ca="1">Tables!V26/1000</f>
        <v>0.16981166037701889</v>
      </c>
    </row>
    <row r="31" spans="1:15" x14ac:dyDescent="0.25">
      <c r="A31" s="55" t="e">
        <f t="shared" ca="1" si="9"/>
        <v>#N/A</v>
      </c>
      <c r="B31" s="55" t="e">
        <f t="shared" ca="1" si="0"/>
        <v>#N/A</v>
      </c>
      <c r="C31" s="55" t="e">
        <f t="shared" ca="1" si="1"/>
        <v>#N/A</v>
      </c>
      <c r="D31" s="55" t="e">
        <f t="shared" ca="1" si="2"/>
        <v>#N/A</v>
      </c>
      <c r="E31" s="120">
        <f t="shared" ca="1" si="10"/>
        <v>998</v>
      </c>
      <c r="F31" s="56">
        <f t="shared" ca="1" si="11"/>
        <v>236</v>
      </c>
      <c r="G31" s="56">
        <f t="shared" ca="1" si="3"/>
        <v>23.700000000000003</v>
      </c>
      <c r="H31" s="116">
        <f t="shared" ca="1" si="4"/>
        <v>23.878000000000004</v>
      </c>
      <c r="I31" s="57" t="str">
        <f t="shared" ca="1" si="5"/>
        <v>0.178 + 23.700</v>
      </c>
      <c r="J31" s="131">
        <f t="shared" ca="1" si="12"/>
        <v>4.4879999999999853</v>
      </c>
      <c r="K31" s="122" t="str">
        <f t="shared" ca="1" si="6"/>
        <v/>
      </c>
      <c r="L31" s="130" t="str">
        <f t="shared" ca="1" si="7"/>
        <v/>
      </c>
      <c r="M31" s="126">
        <f t="shared" ca="1" si="8"/>
        <v>995</v>
      </c>
      <c r="N31" s="58">
        <f ca="1">Tables!U27/1000</f>
        <v>0.17799999999999999</v>
      </c>
      <c r="O31" s="160">
        <f ca="1">Tables!V27/1000</f>
        <v>0.16981166037701889</v>
      </c>
    </row>
    <row r="32" spans="1:15" x14ac:dyDescent="0.25">
      <c r="A32" s="55" t="e">
        <f t="shared" ca="1" si="9"/>
        <v>#N/A</v>
      </c>
      <c r="B32" s="55" t="e">
        <f t="shared" ca="1" si="0"/>
        <v>#N/A</v>
      </c>
      <c r="C32" s="55" t="e">
        <f t="shared" ca="1" si="1"/>
        <v>#N/A</v>
      </c>
      <c r="D32" s="55" t="e">
        <f t="shared" ca="1" si="2"/>
        <v>#N/A</v>
      </c>
      <c r="E32" s="120">
        <f t="shared" ca="1" si="10"/>
        <v>998</v>
      </c>
      <c r="F32" s="56">
        <f t="shared" ca="1" si="11"/>
        <v>236</v>
      </c>
      <c r="G32" s="56">
        <f t="shared" ca="1" si="3"/>
        <v>23.700000000000003</v>
      </c>
      <c r="H32" s="116">
        <f t="shared" ca="1" si="4"/>
        <v>23.878000000000004</v>
      </c>
      <c r="I32" s="57" t="str">
        <f t="shared" ca="1" si="5"/>
        <v>0.178 + 23.700</v>
      </c>
      <c r="J32" s="131">
        <f t="shared" ca="1" si="12"/>
        <v>4.4879999999999853</v>
      </c>
      <c r="K32" s="122" t="str">
        <f t="shared" ca="1" si="6"/>
        <v/>
      </c>
      <c r="L32" s="130" t="str">
        <f t="shared" ca="1" si="7"/>
        <v/>
      </c>
      <c r="M32" s="126">
        <f t="shared" ca="1" si="8"/>
        <v>995</v>
      </c>
      <c r="N32" s="58">
        <f ca="1">Tables!U28/1000</f>
        <v>0.17799999999999999</v>
      </c>
      <c r="O32" s="160">
        <f ca="1">Tables!V28/1000</f>
        <v>0.16981166037701889</v>
      </c>
    </row>
    <row r="33" spans="1:15" x14ac:dyDescent="0.25">
      <c r="A33" s="55" t="e">
        <f t="shared" ca="1" si="9"/>
        <v>#N/A</v>
      </c>
      <c r="B33" s="55" t="e">
        <f t="shared" ca="1" si="0"/>
        <v>#N/A</v>
      </c>
      <c r="C33" s="55" t="e">
        <f t="shared" ca="1" si="1"/>
        <v>#N/A</v>
      </c>
      <c r="D33" s="55" t="e">
        <f t="shared" ca="1" si="2"/>
        <v>#N/A</v>
      </c>
      <c r="E33" s="120">
        <f t="shared" ca="1" si="10"/>
        <v>998</v>
      </c>
      <c r="F33" s="56">
        <f t="shared" ca="1" si="11"/>
        <v>236</v>
      </c>
      <c r="G33" s="56">
        <f t="shared" ca="1" si="3"/>
        <v>23.700000000000003</v>
      </c>
      <c r="H33" s="116">
        <f t="shared" ca="1" si="4"/>
        <v>23.896000000000004</v>
      </c>
      <c r="I33" s="57" t="str">
        <f t="shared" ca="1" si="5"/>
        <v>0.196 + 23.700</v>
      </c>
      <c r="J33" s="131">
        <f t="shared" ca="1" si="12"/>
        <v>4.4159999999999826</v>
      </c>
      <c r="K33" s="122" t="str">
        <f t="shared" ca="1" si="6"/>
        <v/>
      </c>
      <c r="L33" s="130" t="str">
        <f t="shared" ca="1" si="7"/>
        <v/>
      </c>
      <c r="M33" s="126">
        <f t="shared" ca="1" si="8"/>
        <v>995</v>
      </c>
      <c r="N33" s="58">
        <f ca="1">Tables!U29/1000</f>
        <v>0.19600000000000001</v>
      </c>
      <c r="O33" s="160">
        <f ca="1">Tables!V29/1000</f>
        <v>0.18678329689776868</v>
      </c>
    </row>
    <row r="34" spans="1:15" x14ac:dyDescent="0.25">
      <c r="A34" s="55" t="e">
        <f t="shared" ca="1" si="9"/>
        <v>#N/A</v>
      </c>
      <c r="B34" s="55" t="e">
        <f t="shared" ca="1" si="0"/>
        <v>#N/A</v>
      </c>
      <c r="C34" s="55" t="e">
        <f t="shared" ca="1" si="1"/>
        <v>#N/A</v>
      </c>
      <c r="D34" s="55" t="e">
        <f t="shared" ca="1" si="2"/>
        <v>#N/A</v>
      </c>
      <c r="E34" s="120">
        <f t="shared" ca="1" si="10"/>
        <v>998</v>
      </c>
      <c r="F34" s="56">
        <f t="shared" ca="1" si="11"/>
        <v>236</v>
      </c>
      <c r="G34" s="56">
        <f t="shared" ca="1" si="3"/>
        <v>23.700000000000003</v>
      </c>
      <c r="H34" s="116">
        <f t="shared" ca="1" si="4"/>
        <v>23.896000000000004</v>
      </c>
      <c r="I34" s="57" t="str">
        <f t="shared" ca="1" si="5"/>
        <v>0.196 + 23.700</v>
      </c>
      <c r="J34" s="131">
        <f t="shared" ca="1" si="12"/>
        <v>4.4159999999999826</v>
      </c>
      <c r="K34" s="122" t="str">
        <f t="shared" ca="1" si="6"/>
        <v/>
      </c>
      <c r="L34" s="130" t="str">
        <f t="shared" ca="1" si="7"/>
        <v/>
      </c>
      <c r="M34" s="126">
        <f t="shared" ca="1" si="8"/>
        <v>995</v>
      </c>
      <c r="N34" s="58">
        <f ca="1">Tables!U30/1000</f>
        <v>0.19600000000000001</v>
      </c>
      <c r="O34" s="160">
        <f ca="1">Tables!V30/1000</f>
        <v>0.18678329689776868</v>
      </c>
    </row>
    <row r="35" spans="1:15" x14ac:dyDescent="0.25">
      <c r="A35" s="55" t="e">
        <f t="shared" ca="1" si="9"/>
        <v>#N/A</v>
      </c>
      <c r="B35" s="55" t="e">
        <f t="shared" ca="1" si="0"/>
        <v>#N/A</v>
      </c>
      <c r="C35" s="55" t="e">
        <f t="shared" ca="1" si="1"/>
        <v>#N/A</v>
      </c>
      <c r="D35" s="55" t="e">
        <f t="shared" ca="1" si="2"/>
        <v>#N/A</v>
      </c>
      <c r="E35" s="120">
        <f t="shared" ca="1" si="10"/>
        <v>998</v>
      </c>
      <c r="F35" s="56">
        <f t="shared" ca="1" si="11"/>
        <v>236</v>
      </c>
      <c r="G35" s="56">
        <f t="shared" ca="1" si="3"/>
        <v>23.700000000000003</v>
      </c>
      <c r="H35" s="116">
        <f t="shared" ca="1" si="4"/>
        <v>23.896000000000004</v>
      </c>
      <c r="I35" s="57" t="str">
        <f t="shared" ca="1" si="5"/>
        <v>0.196 + 23.700</v>
      </c>
      <c r="J35" s="131">
        <f t="shared" ca="1" si="12"/>
        <v>4.4159999999999826</v>
      </c>
      <c r="K35" s="122" t="str">
        <f t="shared" ca="1" si="6"/>
        <v/>
      </c>
      <c r="L35" s="130" t="str">
        <f t="shared" ca="1" si="7"/>
        <v/>
      </c>
      <c r="M35" s="126">
        <f t="shared" ca="1" si="8"/>
        <v>995</v>
      </c>
      <c r="N35" s="58">
        <f ca="1">Tables!U31/1000</f>
        <v>0.19600000000000001</v>
      </c>
      <c r="O35" s="160">
        <f ca="1">Tables!V31/1000</f>
        <v>0.18678329689776868</v>
      </c>
    </row>
    <row r="36" spans="1:15" x14ac:dyDescent="0.25">
      <c r="A36" s="55" t="e">
        <f t="shared" ca="1" si="9"/>
        <v>#N/A</v>
      </c>
      <c r="B36" s="55" t="e">
        <f t="shared" ca="1" si="0"/>
        <v>#N/A</v>
      </c>
      <c r="C36" s="55" t="e">
        <f t="shared" ca="1" si="1"/>
        <v>#N/A</v>
      </c>
      <c r="D36" s="55" t="e">
        <f t="shared" ca="1" si="2"/>
        <v>#N/A</v>
      </c>
      <c r="E36" s="120">
        <f t="shared" ca="1" si="10"/>
        <v>998</v>
      </c>
      <c r="F36" s="56">
        <f t="shared" ca="1" si="11"/>
        <v>236</v>
      </c>
      <c r="G36" s="56">
        <f t="shared" ca="1" si="3"/>
        <v>23.700000000000003</v>
      </c>
      <c r="H36" s="116">
        <f t="shared" ca="1" si="4"/>
        <v>23.896000000000004</v>
      </c>
      <c r="I36" s="57" t="str">
        <f t="shared" ca="1" si="5"/>
        <v>0.196 + 23.700</v>
      </c>
      <c r="J36" s="131">
        <f t="shared" ca="1" si="12"/>
        <v>4.4159999999999826</v>
      </c>
      <c r="K36" s="122" t="str">
        <f t="shared" ca="1" si="6"/>
        <v/>
      </c>
      <c r="L36" s="130" t="str">
        <f t="shared" ca="1" si="7"/>
        <v/>
      </c>
      <c r="M36" s="126">
        <f t="shared" ca="1" si="8"/>
        <v>995</v>
      </c>
      <c r="N36" s="58">
        <f ca="1">Tables!U32/1000</f>
        <v>0.19600000000000001</v>
      </c>
      <c r="O36" s="160">
        <f ca="1">Tables!V32/1000</f>
        <v>0.18678329689776868</v>
      </c>
    </row>
    <row r="37" spans="1:15" x14ac:dyDescent="0.25">
      <c r="A37" s="55" t="e">
        <f t="shared" ca="1" si="9"/>
        <v>#N/A</v>
      </c>
      <c r="B37" s="55" t="e">
        <f t="shared" ca="1" si="0"/>
        <v>#N/A</v>
      </c>
      <c r="C37" s="55" t="e">
        <f t="shared" ca="1" si="1"/>
        <v>#N/A</v>
      </c>
      <c r="D37" s="55" t="e">
        <f t="shared" ca="1" si="2"/>
        <v>#N/A</v>
      </c>
      <c r="E37" s="120">
        <f t="shared" ca="1" si="10"/>
        <v>998</v>
      </c>
      <c r="F37" s="56">
        <f t="shared" ca="1" si="11"/>
        <v>236</v>
      </c>
      <c r="G37" s="56">
        <f t="shared" ca="1" si="3"/>
        <v>23.700000000000003</v>
      </c>
      <c r="H37" s="116">
        <f t="shared" ca="1" si="4"/>
        <v>23.915000000000003</v>
      </c>
      <c r="I37" s="57" t="str">
        <f t="shared" ca="1" si="5"/>
        <v>0.215 + 23.700</v>
      </c>
      <c r="J37" s="131">
        <f t="shared" ca="1" si="12"/>
        <v>4.3399999999999892</v>
      </c>
      <c r="K37" s="122" t="str">
        <f t="shared" ca="1" si="6"/>
        <v/>
      </c>
      <c r="L37" s="130" t="str">
        <f t="shared" ca="1" si="7"/>
        <v/>
      </c>
      <c r="M37" s="126">
        <f t="shared" ca="1" si="8"/>
        <v>995</v>
      </c>
      <c r="N37" s="58">
        <f ca="1">Tables!U33/1000</f>
        <v>0.215</v>
      </c>
      <c r="O37" s="160">
        <f ca="1">Tables!V33/1000</f>
        <v>0.20528029618061253</v>
      </c>
    </row>
    <row r="38" spans="1:15" x14ac:dyDescent="0.25">
      <c r="A38" s="55" t="e">
        <f t="shared" ca="1" si="9"/>
        <v>#N/A</v>
      </c>
      <c r="B38" s="55" t="e">
        <f t="shared" ca="1" si="0"/>
        <v>#N/A</v>
      </c>
      <c r="C38" s="55" t="e">
        <f t="shared" ca="1" si="1"/>
        <v>#N/A</v>
      </c>
      <c r="D38" s="55" t="e">
        <f t="shared" ca="1" si="2"/>
        <v>#N/A</v>
      </c>
      <c r="E38" s="120">
        <f t="shared" ca="1" si="10"/>
        <v>998</v>
      </c>
      <c r="F38" s="56">
        <f t="shared" ca="1" si="11"/>
        <v>236</v>
      </c>
      <c r="G38" s="56">
        <f t="shared" ca="1" si="3"/>
        <v>23.700000000000003</v>
      </c>
      <c r="H38" s="116">
        <f t="shared" ca="1" si="4"/>
        <v>23.915000000000003</v>
      </c>
      <c r="I38" s="57" t="str">
        <f t="shared" ca="1" si="5"/>
        <v>0.215 + 23.700</v>
      </c>
      <c r="J38" s="131">
        <f t="shared" ca="1" si="12"/>
        <v>4.3399999999999892</v>
      </c>
      <c r="K38" s="122" t="str">
        <f t="shared" ca="1" si="6"/>
        <v/>
      </c>
      <c r="L38" s="130" t="str">
        <f t="shared" ca="1" si="7"/>
        <v/>
      </c>
      <c r="M38" s="126">
        <f t="shared" ca="1" si="8"/>
        <v>995</v>
      </c>
      <c r="N38" s="58">
        <f ca="1">Tables!U34/1000</f>
        <v>0.215</v>
      </c>
      <c r="O38" s="160">
        <f ca="1">Tables!V34/1000</f>
        <v>0.20528029618061253</v>
      </c>
    </row>
    <row r="39" spans="1:15" x14ac:dyDescent="0.25">
      <c r="A39" s="55" t="e">
        <f t="shared" ca="1" si="9"/>
        <v>#N/A</v>
      </c>
      <c r="B39" s="55" t="e">
        <f t="shared" ca="1" si="0"/>
        <v>#N/A</v>
      </c>
      <c r="C39" s="55" t="e">
        <f t="shared" ca="1" si="1"/>
        <v>#N/A</v>
      </c>
      <c r="D39" s="55" t="e">
        <f t="shared" ca="1" si="2"/>
        <v>#N/A</v>
      </c>
      <c r="E39" s="120">
        <f t="shared" ca="1" si="10"/>
        <v>998</v>
      </c>
      <c r="F39" s="56">
        <f t="shared" ca="1" si="11"/>
        <v>236</v>
      </c>
      <c r="G39" s="56">
        <f t="shared" ca="1" si="3"/>
        <v>23.700000000000003</v>
      </c>
      <c r="H39" s="116">
        <f t="shared" ca="1" si="4"/>
        <v>23.915000000000003</v>
      </c>
      <c r="I39" s="57" t="str">
        <f t="shared" ca="1" si="5"/>
        <v>0.215 + 23.700</v>
      </c>
      <c r="J39" s="131">
        <f t="shared" ca="1" si="12"/>
        <v>4.3399999999999892</v>
      </c>
      <c r="K39" s="122" t="str">
        <f t="shared" ca="1" si="6"/>
        <v/>
      </c>
      <c r="L39" s="130" t="str">
        <f t="shared" ca="1" si="7"/>
        <v/>
      </c>
      <c r="M39" s="126">
        <f t="shared" ca="1" si="8"/>
        <v>995</v>
      </c>
      <c r="N39" s="58">
        <f ca="1">Tables!U35/1000</f>
        <v>0.215</v>
      </c>
      <c r="O39" s="160">
        <f ca="1">Tables!V35/1000</f>
        <v>0.20528029618061253</v>
      </c>
    </row>
    <row r="40" spans="1:15" x14ac:dyDescent="0.25">
      <c r="A40" s="55" t="e">
        <f t="shared" ca="1" si="9"/>
        <v>#N/A</v>
      </c>
      <c r="B40" s="55" t="e">
        <f t="shared" ca="1" si="0"/>
        <v>#N/A</v>
      </c>
      <c r="C40" s="55" t="e">
        <f t="shared" ca="1" si="1"/>
        <v>#N/A</v>
      </c>
      <c r="D40" s="55" t="e">
        <f t="shared" ca="1" si="2"/>
        <v>#N/A</v>
      </c>
      <c r="E40" s="120">
        <f t="shared" ca="1" si="10"/>
        <v>998</v>
      </c>
      <c r="F40" s="56">
        <f t="shared" ca="1" si="11"/>
        <v>236</v>
      </c>
      <c r="G40" s="56">
        <f t="shared" ca="1" si="3"/>
        <v>23.700000000000003</v>
      </c>
      <c r="H40" s="116">
        <f t="shared" ca="1" si="4"/>
        <v>23.915000000000003</v>
      </c>
      <c r="I40" s="57" t="str">
        <f t="shared" ca="1" si="5"/>
        <v>0.215 + 23.700</v>
      </c>
      <c r="J40" s="131">
        <f t="shared" ca="1" si="12"/>
        <v>4.3399999999999892</v>
      </c>
      <c r="K40" s="122" t="str">
        <f t="shared" ca="1" si="6"/>
        <v/>
      </c>
      <c r="L40" s="130" t="str">
        <f t="shared" ca="1" si="7"/>
        <v/>
      </c>
      <c r="M40" s="126">
        <f t="shared" ca="1" si="8"/>
        <v>995</v>
      </c>
      <c r="N40" s="58">
        <f ca="1">Tables!U36/1000</f>
        <v>0.215</v>
      </c>
      <c r="O40" s="160">
        <f ca="1">Tables!V36/1000</f>
        <v>0.20528029618061253</v>
      </c>
    </row>
    <row r="41" spans="1:15" x14ac:dyDescent="0.25">
      <c r="A41" s="55" t="e">
        <f t="shared" ca="1" si="9"/>
        <v>#N/A</v>
      </c>
      <c r="B41" s="55" t="e">
        <f t="shared" ca="1" si="0"/>
        <v>#N/A</v>
      </c>
      <c r="C41" s="55" t="e">
        <f t="shared" ca="1" si="1"/>
        <v>#N/A</v>
      </c>
      <c r="D41" s="55" t="e">
        <f t="shared" ca="1" si="2"/>
        <v>#N/A</v>
      </c>
      <c r="E41" s="120">
        <f t="shared" ca="1" si="10"/>
        <v>998</v>
      </c>
      <c r="F41" s="56">
        <f t="shared" ca="1" si="11"/>
        <v>236</v>
      </c>
      <c r="G41" s="56">
        <f t="shared" ca="1" si="3"/>
        <v>23.700000000000003</v>
      </c>
      <c r="H41" s="116">
        <f t="shared" ca="1" si="4"/>
        <v>23.937000000000001</v>
      </c>
      <c r="I41" s="57" t="str">
        <f t="shared" ca="1" si="5"/>
        <v>0.237 + 23.700</v>
      </c>
      <c r="J41" s="131">
        <f t="shared" ca="1" si="12"/>
        <v>4.2519999999999953</v>
      </c>
      <c r="K41" s="122" t="str">
        <f t="shared" ca="1" si="6"/>
        <v/>
      </c>
      <c r="L41" s="130" t="str">
        <f t="shared" ca="1" si="7"/>
        <v/>
      </c>
      <c r="M41" s="126">
        <f t="shared" ca="1" si="8"/>
        <v>995</v>
      </c>
      <c r="N41" s="58">
        <f ca="1">Tables!U37/1000</f>
        <v>0.23699999999999999</v>
      </c>
      <c r="O41" s="160">
        <f ca="1">Tables!V37/1000</f>
        <v>0.22573214215082441</v>
      </c>
    </row>
    <row r="42" spans="1:15" x14ac:dyDescent="0.25">
      <c r="A42" s="55" t="e">
        <f t="shared" ca="1" si="9"/>
        <v>#N/A</v>
      </c>
      <c r="B42" s="55" t="e">
        <f t="shared" ca="1" si="0"/>
        <v>#N/A</v>
      </c>
      <c r="C42" s="55" t="e">
        <f t="shared" ca="1" si="1"/>
        <v>#N/A</v>
      </c>
      <c r="D42" s="55" t="e">
        <f t="shared" ca="1" si="2"/>
        <v>#N/A</v>
      </c>
      <c r="E42" s="120">
        <f t="shared" ca="1" si="10"/>
        <v>998</v>
      </c>
      <c r="F42" s="56">
        <f t="shared" ca="1" si="11"/>
        <v>236</v>
      </c>
      <c r="G42" s="56">
        <f t="shared" ca="1" si="3"/>
        <v>23.700000000000003</v>
      </c>
      <c r="H42" s="116">
        <f t="shared" ca="1" si="4"/>
        <v>23.937000000000001</v>
      </c>
      <c r="I42" s="57" t="str">
        <f t="shared" ca="1" si="5"/>
        <v>0.237 + 23.700</v>
      </c>
      <c r="J42" s="131">
        <f t="shared" ca="1" si="12"/>
        <v>4.2519999999999953</v>
      </c>
      <c r="K42" s="122" t="str">
        <f t="shared" ca="1" si="6"/>
        <v/>
      </c>
      <c r="L42" s="130" t="str">
        <f t="shared" ca="1" si="7"/>
        <v/>
      </c>
      <c r="M42" s="126">
        <f t="shared" ca="1" si="8"/>
        <v>995</v>
      </c>
      <c r="N42" s="58">
        <f ca="1">Tables!U38/1000</f>
        <v>0.23699999999999999</v>
      </c>
      <c r="O42" s="160">
        <f ca="1">Tables!V38/1000</f>
        <v>0.22573214215082441</v>
      </c>
    </row>
    <row r="43" spans="1:15" x14ac:dyDescent="0.25">
      <c r="A43" s="55" t="e">
        <f t="shared" ca="1" si="9"/>
        <v>#N/A</v>
      </c>
      <c r="B43" s="55" t="e">
        <f t="shared" ca="1" si="0"/>
        <v>#N/A</v>
      </c>
      <c r="C43" s="55" t="e">
        <f t="shared" ca="1" si="1"/>
        <v>#N/A</v>
      </c>
      <c r="D43" s="55" t="e">
        <f t="shared" ca="1" si="2"/>
        <v>#N/A</v>
      </c>
      <c r="E43" s="120">
        <f t="shared" ca="1" si="10"/>
        <v>998</v>
      </c>
      <c r="F43" s="56">
        <f t="shared" ca="1" si="11"/>
        <v>236</v>
      </c>
      <c r="G43" s="56">
        <f t="shared" ca="1" si="3"/>
        <v>23.700000000000003</v>
      </c>
      <c r="H43" s="116">
        <f t="shared" ca="1" si="4"/>
        <v>23.937000000000001</v>
      </c>
      <c r="I43" s="57" t="str">
        <f t="shared" ca="1" si="5"/>
        <v>0.237 + 23.700</v>
      </c>
      <c r="J43" s="131">
        <f t="shared" ca="1" si="12"/>
        <v>4.2519999999999953</v>
      </c>
      <c r="K43" s="122" t="str">
        <f t="shared" ca="1" si="6"/>
        <v/>
      </c>
      <c r="L43" s="130" t="str">
        <f t="shared" ca="1" si="7"/>
        <v/>
      </c>
      <c r="M43" s="126">
        <f t="shared" ca="1" si="8"/>
        <v>995</v>
      </c>
      <c r="N43" s="58">
        <f ca="1">Tables!U39/1000</f>
        <v>0.23699999999999999</v>
      </c>
      <c r="O43" s="160">
        <f ca="1">Tables!V39/1000</f>
        <v>0.22573214215082441</v>
      </c>
    </row>
    <row r="44" spans="1:15" x14ac:dyDescent="0.25">
      <c r="A44" s="55" t="e">
        <f t="shared" ca="1" si="9"/>
        <v>#N/A</v>
      </c>
      <c r="B44" s="55" t="e">
        <f t="shared" ca="1" si="0"/>
        <v>#N/A</v>
      </c>
      <c r="C44" s="55" t="e">
        <f t="shared" ca="1" si="1"/>
        <v>#N/A</v>
      </c>
      <c r="D44" s="55" t="e">
        <f t="shared" ca="1" si="2"/>
        <v>#N/A</v>
      </c>
      <c r="E44" s="120">
        <f t="shared" ca="1" si="10"/>
        <v>998</v>
      </c>
      <c r="F44" s="56">
        <f t="shared" ca="1" si="11"/>
        <v>236</v>
      </c>
      <c r="G44" s="56">
        <f t="shared" ca="1" si="3"/>
        <v>23.700000000000003</v>
      </c>
      <c r="H44" s="116">
        <f t="shared" ca="1" si="4"/>
        <v>23.937000000000001</v>
      </c>
      <c r="I44" s="57" t="str">
        <f t="shared" ca="1" si="5"/>
        <v>0.237 + 23.700</v>
      </c>
      <c r="J44" s="131">
        <f t="shared" ca="1" si="12"/>
        <v>4.2519999999999953</v>
      </c>
      <c r="K44" s="122" t="str">
        <f t="shared" ca="1" si="6"/>
        <v/>
      </c>
      <c r="L44" s="130" t="str">
        <f t="shared" ca="1" si="7"/>
        <v/>
      </c>
      <c r="M44" s="126">
        <f t="shared" ca="1" si="8"/>
        <v>995</v>
      </c>
      <c r="N44" s="58">
        <f ca="1">Tables!U40/1000</f>
        <v>0.23699999999999999</v>
      </c>
      <c r="O44" s="160">
        <f ca="1">Tables!V40/1000</f>
        <v>0.22573214215082441</v>
      </c>
    </row>
    <row r="45" spans="1:15" x14ac:dyDescent="0.25">
      <c r="A45" s="55" t="e">
        <f t="shared" ca="1" si="9"/>
        <v>#N/A</v>
      </c>
      <c r="B45" s="55" t="e">
        <f t="shared" ca="1" si="0"/>
        <v>#N/A</v>
      </c>
      <c r="C45" s="55" t="e">
        <f t="shared" ca="1" si="1"/>
        <v>#N/A</v>
      </c>
      <c r="D45" s="55" t="e">
        <f t="shared" ca="1" si="2"/>
        <v>#N/A</v>
      </c>
      <c r="E45" s="120">
        <f t="shared" ca="1" si="10"/>
        <v>998</v>
      </c>
      <c r="F45" s="56">
        <f t="shared" ca="1" si="11"/>
        <v>236</v>
      </c>
      <c r="G45" s="56">
        <f t="shared" ca="1" si="3"/>
        <v>23.700000000000003</v>
      </c>
      <c r="H45" s="116">
        <f t="shared" ca="1" si="4"/>
        <v>23.961000000000002</v>
      </c>
      <c r="I45" s="57" t="str">
        <f t="shared" ca="1" si="5"/>
        <v>0.261 + 23.700</v>
      </c>
      <c r="J45" s="131">
        <f t="shared" ca="1" si="12"/>
        <v>4.1559999999999917</v>
      </c>
      <c r="K45" s="122" t="str">
        <f t="shared" ca="1" si="6"/>
        <v/>
      </c>
      <c r="L45" s="130" t="str">
        <f t="shared" ca="1" si="7"/>
        <v/>
      </c>
      <c r="M45" s="126">
        <f t="shared" ca="1" si="8"/>
        <v>995</v>
      </c>
      <c r="N45" s="58">
        <f ca="1">Tables!U41/1000</f>
        <v>0.26100000000000001</v>
      </c>
      <c r="O45" s="160">
        <f ca="1">Tables!V41/1000</f>
        <v>0.24871067528355112</v>
      </c>
    </row>
    <row r="46" spans="1:15" x14ac:dyDescent="0.25">
      <c r="A46" s="55" t="e">
        <f t="shared" ca="1" si="9"/>
        <v>#N/A</v>
      </c>
      <c r="B46" s="55" t="e">
        <f t="shared" ca="1" si="0"/>
        <v>#N/A</v>
      </c>
      <c r="C46" s="55" t="e">
        <f t="shared" ca="1" si="1"/>
        <v>#N/A</v>
      </c>
      <c r="D46" s="55" t="e">
        <f t="shared" ca="1" si="2"/>
        <v>#N/A</v>
      </c>
      <c r="E46" s="120">
        <f t="shared" ca="1" si="10"/>
        <v>998</v>
      </c>
      <c r="F46" s="56">
        <f t="shared" ca="1" si="11"/>
        <v>236</v>
      </c>
      <c r="G46" s="56">
        <f t="shared" ca="1" si="3"/>
        <v>23.700000000000003</v>
      </c>
      <c r="H46" s="116">
        <f t="shared" ca="1" si="4"/>
        <v>23.961000000000002</v>
      </c>
      <c r="I46" s="57" t="str">
        <f t="shared" ca="1" si="5"/>
        <v>0.261 + 23.700</v>
      </c>
      <c r="J46" s="131">
        <f t="shared" ca="1" si="12"/>
        <v>4.1559999999999917</v>
      </c>
      <c r="K46" s="122" t="str">
        <f t="shared" ca="1" si="6"/>
        <v/>
      </c>
      <c r="L46" s="130" t="str">
        <f t="shared" ca="1" si="7"/>
        <v/>
      </c>
      <c r="M46" s="126">
        <f t="shared" ca="1" si="8"/>
        <v>995</v>
      </c>
      <c r="N46" s="58">
        <f ca="1">Tables!U42/1000</f>
        <v>0.26100000000000001</v>
      </c>
      <c r="O46" s="160">
        <f ca="1">Tables!V42/1000</f>
        <v>0.24871067528355112</v>
      </c>
    </row>
    <row r="47" spans="1:15" x14ac:dyDescent="0.25">
      <c r="A47" s="55" t="e">
        <f t="shared" ca="1" si="9"/>
        <v>#N/A</v>
      </c>
      <c r="B47" s="55" t="e">
        <f t="shared" ca="1" si="0"/>
        <v>#N/A</v>
      </c>
      <c r="C47" s="55" t="e">
        <f t="shared" ca="1" si="1"/>
        <v>#N/A</v>
      </c>
      <c r="D47" s="55" t="e">
        <f t="shared" ca="1" si="2"/>
        <v>#N/A</v>
      </c>
      <c r="E47" s="120">
        <f t="shared" ca="1" si="10"/>
        <v>998</v>
      </c>
      <c r="F47" s="56">
        <f t="shared" ca="1" si="11"/>
        <v>236</v>
      </c>
      <c r="G47" s="56">
        <f t="shared" ca="1" si="3"/>
        <v>23.700000000000003</v>
      </c>
      <c r="H47" s="116">
        <f t="shared" ca="1" si="4"/>
        <v>23.961000000000002</v>
      </c>
      <c r="I47" s="57" t="str">
        <f t="shared" ca="1" si="5"/>
        <v>0.261 + 23.700</v>
      </c>
      <c r="J47" s="131">
        <f t="shared" ca="1" si="12"/>
        <v>4.1559999999999917</v>
      </c>
      <c r="K47" s="122" t="str">
        <f t="shared" ca="1" si="6"/>
        <v/>
      </c>
      <c r="L47" s="130" t="str">
        <f t="shared" ca="1" si="7"/>
        <v/>
      </c>
      <c r="M47" s="126">
        <f t="shared" ca="1" si="8"/>
        <v>995</v>
      </c>
      <c r="N47" s="58">
        <f ca="1">Tables!U43/1000</f>
        <v>0.26100000000000001</v>
      </c>
      <c r="O47" s="160">
        <f ca="1">Tables!V43/1000</f>
        <v>0.24871067528355112</v>
      </c>
    </row>
    <row r="48" spans="1:15" x14ac:dyDescent="0.25">
      <c r="A48" s="55" t="e">
        <f t="shared" ca="1" si="9"/>
        <v>#N/A</v>
      </c>
      <c r="B48" s="55" t="e">
        <f t="shared" ca="1" si="0"/>
        <v>#N/A</v>
      </c>
      <c r="C48" s="55" t="e">
        <f t="shared" ca="1" si="1"/>
        <v>#N/A</v>
      </c>
      <c r="D48" s="55" t="e">
        <f t="shared" ca="1" si="2"/>
        <v>#N/A</v>
      </c>
      <c r="E48" s="120">
        <f t="shared" ca="1" si="10"/>
        <v>998</v>
      </c>
      <c r="F48" s="56">
        <f t="shared" ca="1" si="11"/>
        <v>236</v>
      </c>
      <c r="G48" s="56">
        <f t="shared" ca="1" si="3"/>
        <v>23.700000000000003</v>
      </c>
      <c r="H48" s="116">
        <f t="shared" ca="1" si="4"/>
        <v>23.961000000000002</v>
      </c>
      <c r="I48" s="57" t="str">
        <f t="shared" ca="1" si="5"/>
        <v>0.261 + 23.700</v>
      </c>
      <c r="J48" s="131">
        <f t="shared" ca="1" si="12"/>
        <v>4.1559999999999917</v>
      </c>
      <c r="K48" s="122" t="str">
        <f t="shared" ca="1" si="6"/>
        <v/>
      </c>
      <c r="L48" s="130" t="str">
        <f t="shared" ca="1" si="7"/>
        <v/>
      </c>
      <c r="M48" s="126">
        <f t="shared" ca="1" si="8"/>
        <v>995</v>
      </c>
      <c r="N48" s="58">
        <f ca="1">Tables!U44/1000</f>
        <v>0.26100000000000001</v>
      </c>
      <c r="O48" s="160">
        <f ca="1">Tables!V44/1000</f>
        <v>0.24871067528355112</v>
      </c>
    </row>
    <row r="49" spans="1:15" x14ac:dyDescent="0.25">
      <c r="A49" s="55" t="e">
        <f t="shared" ca="1" si="9"/>
        <v>#N/A</v>
      </c>
      <c r="B49" s="55" t="e">
        <f t="shared" ca="1" si="0"/>
        <v>#N/A</v>
      </c>
      <c r="C49" s="55" t="e">
        <f t="shared" ca="1" si="1"/>
        <v>#N/A</v>
      </c>
      <c r="D49" s="55" t="e">
        <f t="shared" ca="1" si="2"/>
        <v>#N/A</v>
      </c>
      <c r="E49" s="120">
        <f t="shared" ca="1" si="10"/>
        <v>998</v>
      </c>
      <c r="F49" s="56">
        <f t="shared" ca="1" si="11"/>
        <v>236</v>
      </c>
      <c r="G49" s="56">
        <f t="shared" ca="1" si="3"/>
        <v>23.700000000000003</v>
      </c>
      <c r="H49" s="116">
        <f t="shared" ca="1" si="4"/>
        <v>23.987000000000002</v>
      </c>
      <c r="I49" s="57" t="str">
        <f t="shared" ca="1" si="5"/>
        <v>0.287 + 23.700</v>
      </c>
      <c r="J49" s="131">
        <f t="shared" ca="1" si="12"/>
        <v>4.0519999999999925</v>
      </c>
      <c r="K49" s="122" t="str">
        <f t="shared" ca="1" si="6"/>
        <v/>
      </c>
      <c r="L49" s="130" t="str">
        <f t="shared" ca="1" si="7"/>
        <v/>
      </c>
      <c r="M49" s="126">
        <f t="shared" ca="1" si="8"/>
        <v>995</v>
      </c>
      <c r="N49" s="58">
        <f ca="1">Tables!U45/1000</f>
        <v>0.28699999999999998</v>
      </c>
      <c r="O49" s="160">
        <f ca="1">Tables!V45/1000</f>
        <v>0.27369143209095892</v>
      </c>
    </row>
    <row r="50" spans="1:15" x14ac:dyDescent="0.25">
      <c r="A50" s="55" t="e">
        <f t="shared" ca="1" si="9"/>
        <v>#N/A</v>
      </c>
      <c r="B50" s="55" t="e">
        <f t="shared" ca="1" si="0"/>
        <v>#N/A</v>
      </c>
      <c r="C50" s="55" t="e">
        <f t="shared" ca="1" si="1"/>
        <v>#N/A</v>
      </c>
      <c r="D50" s="55" t="e">
        <f t="shared" ca="1" si="2"/>
        <v>#N/A</v>
      </c>
      <c r="E50" s="120">
        <f t="shared" ca="1" si="10"/>
        <v>998</v>
      </c>
      <c r="F50" s="56">
        <f t="shared" ca="1" si="11"/>
        <v>236</v>
      </c>
      <c r="G50" s="56">
        <f t="shared" ca="1" si="3"/>
        <v>23.700000000000003</v>
      </c>
      <c r="H50" s="116">
        <f t="shared" ca="1" si="4"/>
        <v>23.987000000000002</v>
      </c>
      <c r="I50" s="57" t="str">
        <f t="shared" ca="1" si="5"/>
        <v>0.287 + 23.700</v>
      </c>
      <c r="J50" s="131">
        <f t="shared" ca="1" si="12"/>
        <v>4.0519999999999925</v>
      </c>
      <c r="K50" s="122" t="str">
        <f t="shared" ca="1" si="6"/>
        <v/>
      </c>
      <c r="L50" s="130" t="str">
        <f t="shared" ca="1" si="7"/>
        <v/>
      </c>
      <c r="M50" s="126">
        <f t="shared" ca="1" si="8"/>
        <v>995</v>
      </c>
      <c r="N50" s="58">
        <f ca="1">Tables!U46/1000</f>
        <v>0.28699999999999998</v>
      </c>
      <c r="O50" s="160">
        <f ca="1">Tables!V46/1000</f>
        <v>0.27369143209095892</v>
      </c>
    </row>
    <row r="51" spans="1:15" x14ac:dyDescent="0.25">
      <c r="A51" s="55" t="e">
        <f t="shared" ca="1" si="9"/>
        <v>#N/A</v>
      </c>
      <c r="B51" s="55" t="e">
        <f t="shared" ca="1" si="0"/>
        <v>#N/A</v>
      </c>
      <c r="C51" s="55" t="e">
        <f t="shared" ca="1" si="1"/>
        <v>#N/A</v>
      </c>
      <c r="D51" s="55" t="e">
        <f t="shared" ca="1" si="2"/>
        <v>#N/A</v>
      </c>
      <c r="E51" s="120">
        <f t="shared" ca="1" si="10"/>
        <v>998</v>
      </c>
      <c r="F51" s="56">
        <f t="shared" ca="1" si="11"/>
        <v>236</v>
      </c>
      <c r="G51" s="56">
        <f t="shared" ca="1" si="3"/>
        <v>23.700000000000003</v>
      </c>
      <c r="H51" s="116">
        <f t="shared" ca="1" si="4"/>
        <v>23.987000000000002</v>
      </c>
      <c r="I51" s="57" t="str">
        <f t="shared" ca="1" si="5"/>
        <v>0.287 + 23.700</v>
      </c>
      <c r="J51" s="131">
        <f t="shared" ca="1" si="12"/>
        <v>4.0519999999999925</v>
      </c>
      <c r="K51" s="122" t="str">
        <f t="shared" ca="1" si="6"/>
        <v/>
      </c>
      <c r="L51" s="130" t="str">
        <f t="shared" ca="1" si="7"/>
        <v/>
      </c>
      <c r="M51" s="126">
        <f t="shared" ca="1" si="8"/>
        <v>995</v>
      </c>
      <c r="N51" s="58">
        <f ca="1">Tables!U47/1000</f>
        <v>0.28699999999999998</v>
      </c>
      <c r="O51" s="160">
        <f ca="1">Tables!V47/1000</f>
        <v>0.27369143209095892</v>
      </c>
    </row>
    <row r="52" spans="1:15" x14ac:dyDescent="0.25">
      <c r="A52" s="55" t="e">
        <f t="shared" ca="1" si="9"/>
        <v>#N/A</v>
      </c>
      <c r="B52" s="55" t="e">
        <f t="shared" ca="1" si="0"/>
        <v>#N/A</v>
      </c>
      <c r="C52" s="55" t="e">
        <f t="shared" ca="1" si="1"/>
        <v>#N/A</v>
      </c>
      <c r="D52" s="55" t="e">
        <f t="shared" ca="1" si="2"/>
        <v>#N/A</v>
      </c>
      <c r="E52" s="120">
        <f t="shared" ca="1" si="10"/>
        <v>998</v>
      </c>
      <c r="F52" s="56">
        <f t="shared" ca="1" si="11"/>
        <v>236</v>
      </c>
      <c r="G52" s="56">
        <f t="shared" ca="1" si="3"/>
        <v>23.700000000000003</v>
      </c>
      <c r="H52" s="116">
        <f t="shared" ca="1" si="4"/>
        <v>23.987000000000002</v>
      </c>
      <c r="I52" s="57" t="str">
        <f t="shared" ca="1" si="5"/>
        <v>0.287 + 23.700</v>
      </c>
      <c r="J52" s="131">
        <f t="shared" ca="1" si="12"/>
        <v>4.0519999999999925</v>
      </c>
      <c r="K52" s="122" t="str">
        <f t="shared" ca="1" si="6"/>
        <v/>
      </c>
      <c r="L52" s="130" t="str">
        <f t="shared" ca="1" si="7"/>
        <v/>
      </c>
      <c r="M52" s="126">
        <f t="shared" ca="1" si="8"/>
        <v>995</v>
      </c>
      <c r="N52" s="58">
        <f ca="1">Tables!U48/1000</f>
        <v>0.28699999999999998</v>
      </c>
      <c r="O52" s="160">
        <f ca="1">Tables!V48/1000</f>
        <v>0.27369143209095892</v>
      </c>
    </row>
    <row r="53" spans="1:15" x14ac:dyDescent="0.25">
      <c r="A53" s="55" t="e">
        <f t="shared" ca="1" si="9"/>
        <v>#N/A</v>
      </c>
      <c r="B53" s="55" t="e">
        <f t="shared" ca="1" si="0"/>
        <v>#N/A</v>
      </c>
      <c r="C53" s="55" t="e">
        <f t="shared" ca="1" si="1"/>
        <v>#N/A</v>
      </c>
      <c r="D53" s="55" t="e">
        <f t="shared" ca="1" si="2"/>
        <v>#N/A</v>
      </c>
      <c r="E53" s="120">
        <f t="shared" ca="1" si="10"/>
        <v>998</v>
      </c>
      <c r="F53" s="56">
        <f t="shared" ca="1" si="11"/>
        <v>236</v>
      </c>
      <c r="G53" s="56">
        <f t="shared" ca="1" si="3"/>
        <v>23.700000000000003</v>
      </c>
      <c r="H53" s="116">
        <f t="shared" ca="1" si="4"/>
        <v>24.016000000000002</v>
      </c>
      <c r="I53" s="57" t="str">
        <f t="shared" ca="1" si="5"/>
        <v>0.316 + 23.700</v>
      </c>
      <c r="J53" s="131">
        <f t="shared" ca="1" si="12"/>
        <v>3.9359999999999928</v>
      </c>
      <c r="K53" s="122" t="str">
        <f t="shared" ca="1" si="6"/>
        <v/>
      </c>
      <c r="L53" s="130" t="str">
        <f t="shared" ca="1" si="7"/>
        <v/>
      </c>
      <c r="M53" s="126">
        <f t="shared" ca="1" si="8"/>
        <v>995</v>
      </c>
      <c r="N53" s="58">
        <f ca="1">Tables!U49/1000</f>
        <v>0.316</v>
      </c>
      <c r="O53" s="160">
        <f ca="1">Tables!V49/1000</f>
        <v>0.3011511248526228</v>
      </c>
    </row>
    <row r="54" spans="1:15" x14ac:dyDescent="0.25">
      <c r="A54" s="55" t="e">
        <f t="shared" ca="1" si="9"/>
        <v>#N/A</v>
      </c>
      <c r="B54" s="55" t="e">
        <f t="shared" ca="1" si="0"/>
        <v>#N/A</v>
      </c>
      <c r="C54" s="55" t="e">
        <f t="shared" ca="1" si="1"/>
        <v>#N/A</v>
      </c>
      <c r="D54" s="55" t="e">
        <f t="shared" ca="1" si="2"/>
        <v>#N/A</v>
      </c>
      <c r="E54" s="120">
        <f t="shared" ca="1" si="10"/>
        <v>998</v>
      </c>
      <c r="F54" s="56">
        <f t="shared" ca="1" si="11"/>
        <v>236</v>
      </c>
      <c r="G54" s="56">
        <f t="shared" ca="1" si="3"/>
        <v>23.700000000000003</v>
      </c>
      <c r="H54" s="116">
        <f t="shared" ca="1" si="4"/>
        <v>24.016000000000002</v>
      </c>
      <c r="I54" s="57" t="str">
        <f t="shared" ca="1" si="5"/>
        <v>0.316 + 23.700</v>
      </c>
      <c r="J54" s="131">
        <f t="shared" ca="1" si="12"/>
        <v>3.9359999999999928</v>
      </c>
      <c r="K54" s="122" t="str">
        <f t="shared" ca="1" si="6"/>
        <v/>
      </c>
      <c r="L54" s="130" t="str">
        <f t="shared" ca="1" si="7"/>
        <v/>
      </c>
      <c r="M54" s="126">
        <f t="shared" ca="1" si="8"/>
        <v>995</v>
      </c>
      <c r="N54" s="58">
        <f ca="1">Tables!U50/1000</f>
        <v>0.316</v>
      </c>
      <c r="O54" s="160">
        <f ca="1">Tables!V50/1000</f>
        <v>0.3011511248526228</v>
      </c>
    </row>
    <row r="55" spans="1:15" x14ac:dyDescent="0.25">
      <c r="A55" s="55" t="e">
        <f t="shared" ca="1" si="9"/>
        <v>#N/A</v>
      </c>
      <c r="B55" s="55" t="e">
        <f t="shared" ca="1" si="0"/>
        <v>#N/A</v>
      </c>
      <c r="C55" s="55" t="e">
        <f t="shared" ca="1" si="1"/>
        <v>#N/A</v>
      </c>
      <c r="D55" s="55" t="e">
        <f t="shared" ca="1" si="2"/>
        <v>#N/A</v>
      </c>
      <c r="E55" s="120">
        <f t="shared" ca="1" si="10"/>
        <v>998</v>
      </c>
      <c r="F55" s="56">
        <f t="shared" ca="1" si="11"/>
        <v>236</v>
      </c>
      <c r="G55" s="56">
        <f t="shared" ca="1" si="3"/>
        <v>23.700000000000003</v>
      </c>
      <c r="H55" s="116">
        <f t="shared" ca="1" si="4"/>
        <v>24.016000000000002</v>
      </c>
      <c r="I55" s="57" t="str">
        <f t="shared" ca="1" si="5"/>
        <v>0.316 + 23.700</v>
      </c>
      <c r="J55" s="131">
        <f t="shared" ca="1" si="12"/>
        <v>3.9359999999999928</v>
      </c>
      <c r="K55" s="122" t="str">
        <f t="shared" ca="1" si="6"/>
        <v/>
      </c>
      <c r="L55" s="130" t="str">
        <f t="shared" ca="1" si="7"/>
        <v/>
      </c>
      <c r="M55" s="126">
        <f t="shared" ca="1" si="8"/>
        <v>995</v>
      </c>
      <c r="N55" s="58">
        <f ca="1">Tables!U51/1000</f>
        <v>0.316</v>
      </c>
      <c r="O55" s="160">
        <f ca="1">Tables!V51/1000</f>
        <v>0.3011511248526228</v>
      </c>
    </row>
    <row r="56" spans="1:15" x14ac:dyDescent="0.25">
      <c r="A56" s="55" t="e">
        <f t="shared" ca="1" si="9"/>
        <v>#N/A</v>
      </c>
      <c r="B56" s="55" t="e">
        <f t="shared" ca="1" si="0"/>
        <v>#N/A</v>
      </c>
      <c r="C56" s="55" t="e">
        <f t="shared" ca="1" si="1"/>
        <v>#N/A</v>
      </c>
      <c r="D56" s="55" t="e">
        <f t="shared" ca="1" si="2"/>
        <v>#N/A</v>
      </c>
      <c r="E56" s="120">
        <f t="shared" ca="1" si="10"/>
        <v>998</v>
      </c>
      <c r="F56" s="56">
        <f t="shared" ca="1" si="11"/>
        <v>236</v>
      </c>
      <c r="G56" s="56">
        <f t="shared" ca="1" si="3"/>
        <v>23.700000000000003</v>
      </c>
      <c r="H56" s="116">
        <f t="shared" ca="1" si="4"/>
        <v>24.016000000000002</v>
      </c>
      <c r="I56" s="57" t="str">
        <f t="shared" ca="1" si="5"/>
        <v>0.316 + 23.700</v>
      </c>
      <c r="J56" s="131">
        <f t="shared" ca="1" si="12"/>
        <v>3.9359999999999928</v>
      </c>
      <c r="K56" s="122" t="str">
        <f t="shared" ca="1" si="6"/>
        <v/>
      </c>
      <c r="L56" s="130" t="str">
        <f t="shared" ca="1" si="7"/>
        <v/>
      </c>
      <c r="M56" s="126">
        <f t="shared" ca="1" si="8"/>
        <v>995</v>
      </c>
      <c r="N56" s="58">
        <f ca="1">Tables!U52/1000</f>
        <v>0.316</v>
      </c>
      <c r="O56" s="160">
        <f ca="1">Tables!V52/1000</f>
        <v>0.3011511248526228</v>
      </c>
    </row>
    <row r="57" spans="1:15" x14ac:dyDescent="0.25">
      <c r="A57" s="55" t="e">
        <f t="shared" ca="1" si="9"/>
        <v>#N/A</v>
      </c>
      <c r="B57" s="55" t="e">
        <f t="shared" ca="1" si="0"/>
        <v>#N/A</v>
      </c>
      <c r="C57" s="55" t="e">
        <f t="shared" ca="1" si="1"/>
        <v>#N/A</v>
      </c>
      <c r="D57" s="55" t="e">
        <f t="shared" ca="1" si="2"/>
        <v>#N/A</v>
      </c>
      <c r="E57" s="120">
        <f t="shared" ca="1" si="10"/>
        <v>998</v>
      </c>
      <c r="F57" s="56">
        <f t="shared" ca="1" si="11"/>
        <v>236</v>
      </c>
      <c r="G57" s="56">
        <f t="shared" ca="1" si="3"/>
        <v>23.700000000000003</v>
      </c>
      <c r="H57" s="116">
        <f t="shared" ca="1" si="4"/>
        <v>24.048000000000002</v>
      </c>
      <c r="I57" s="57" t="str">
        <f t="shared" ca="1" si="5"/>
        <v>0.348 + 23.700</v>
      </c>
      <c r="J57" s="131">
        <f t="shared" ca="1" si="12"/>
        <v>3.8079999999999927</v>
      </c>
      <c r="K57" s="122" t="str">
        <f t="shared" ca="1" si="6"/>
        <v/>
      </c>
      <c r="L57" s="130" t="str">
        <f t="shared" ca="1" si="7"/>
        <v/>
      </c>
      <c r="M57" s="126">
        <f t="shared" ca="1" si="8"/>
        <v>995</v>
      </c>
      <c r="N57" s="58">
        <f ca="1">Tables!U53/1000</f>
        <v>0.34799999999999998</v>
      </c>
      <c r="O57" s="160">
        <f ca="1">Tables!V53/1000</f>
        <v>0.33161423371140147</v>
      </c>
    </row>
    <row r="58" spans="1:15" x14ac:dyDescent="0.25">
      <c r="A58" s="55" t="e">
        <f t="shared" ca="1" si="9"/>
        <v>#N/A</v>
      </c>
      <c r="B58" s="55" t="e">
        <f t="shared" ca="1" si="0"/>
        <v>#N/A</v>
      </c>
      <c r="C58" s="55" t="e">
        <f t="shared" ca="1" si="1"/>
        <v>#N/A</v>
      </c>
      <c r="D58" s="55" t="e">
        <f t="shared" ca="1" si="2"/>
        <v>#N/A</v>
      </c>
      <c r="E58" s="120">
        <f t="shared" ca="1" si="10"/>
        <v>998</v>
      </c>
      <c r="F58" s="56">
        <f t="shared" ca="1" si="11"/>
        <v>236</v>
      </c>
      <c r="G58" s="56">
        <f t="shared" ca="1" si="3"/>
        <v>23.700000000000003</v>
      </c>
      <c r="H58" s="116">
        <f t="shared" ca="1" si="4"/>
        <v>24.048000000000002</v>
      </c>
      <c r="I58" s="57" t="str">
        <f t="shared" ca="1" si="5"/>
        <v>0.348 + 23.700</v>
      </c>
      <c r="J58" s="131">
        <f t="shared" ca="1" si="12"/>
        <v>3.8079999999999927</v>
      </c>
      <c r="K58" s="122" t="str">
        <f t="shared" ca="1" si="6"/>
        <v/>
      </c>
      <c r="L58" s="130" t="str">
        <f t="shared" ca="1" si="7"/>
        <v/>
      </c>
      <c r="M58" s="126">
        <f t="shared" ca="1" si="8"/>
        <v>995</v>
      </c>
      <c r="N58" s="58">
        <f ca="1">Tables!U54/1000</f>
        <v>0.34799999999999998</v>
      </c>
      <c r="O58" s="160">
        <f ca="1">Tables!V54/1000</f>
        <v>0.33161423371140147</v>
      </c>
    </row>
    <row r="59" spans="1:15" x14ac:dyDescent="0.25">
      <c r="A59" s="55" t="e">
        <f t="shared" ca="1" si="9"/>
        <v>#N/A</v>
      </c>
      <c r="B59" s="55" t="e">
        <f t="shared" ca="1" si="0"/>
        <v>#N/A</v>
      </c>
      <c r="C59" s="55" t="e">
        <f t="shared" ca="1" si="1"/>
        <v>#N/A</v>
      </c>
      <c r="D59" s="55" t="e">
        <f t="shared" ca="1" si="2"/>
        <v>#N/A</v>
      </c>
      <c r="E59" s="120">
        <f t="shared" ca="1" si="10"/>
        <v>998</v>
      </c>
      <c r="F59" s="56">
        <f t="shared" ca="1" si="11"/>
        <v>236</v>
      </c>
      <c r="G59" s="56">
        <f t="shared" ca="1" si="3"/>
        <v>23.700000000000003</v>
      </c>
      <c r="H59" s="116">
        <f t="shared" ca="1" si="4"/>
        <v>24.048000000000002</v>
      </c>
      <c r="I59" s="57" t="str">
        <f t="shared" ca="1" si="5"/>
        <v>0.348 + 23.700</v>
      </c>
      <c r="J59" s="131">
        <f t="shared" ca="1" si="12"/>
        <v>3.8079999999999927</v>
      </c>
      <c r="K59" s="122" t="str">
        <f t="shared" ca="1" si="6"/>
        <v/>
      </c>
      <c r="L59" s="130" t="str">
        <f t="shared" ca="1" si="7"/>
        <v/>
      </c>
      <c r="M59" s="126">
        <f t="shared" ca="1" si="8"/>
        <v>995</v>
      </c>
      <c r="N59" s="58">
        <f ca="1">Tables!U55/1000</f>
        <v>0.34799999999999998</v>
      </c>
      <c r="O59" s="160">
        <f ca="1">Tables!V55/1000</f>
        <v>0.33161423371140147</v>
      </c>
    </row>
    <row r="60" spans="1:15" x14ac:dyDescent="0.25">
      <c r="A60" s="55" t="e">
        <f t="shared" ca="1" si="9"/>
        <v>#N/A</v>
      </c>
      <c r="B60" s="55" t="e">
        <f t="shared" ca="1" si="0"/>
        <v>#N/A</v>
      </c>
      <c r="C60" s="55" t="e">
        <f t="shared" ca="1" si="1"/>
        <v>#N/A</v>
      </c>
      <c r="D60" s="55" t="e">
        <f t="shared" ca="1" si="2"/>
        <v>#N/A</v>
      </c>
      <c r="E60" s="120">
        <f t="shared" ca="1" si="10"/>
        <v>998</v>
      </c>
      <c r="F60" s="56">
        <f t="shared" ca="1" si="11"/>
        <v>236</v>
      </c>
      <c r="G60" s="56">
        <f t="shared" ca="1" si="3"/>
        <v>23.700000000000003</v>
      </c>
      <c r="H60" s="116">
        <f t="shared" ca="1" si="4"/>
        <v>24.048000000000002</v>
      </c>
      <c r="I60" s="57" t="str">
        <f t="shared" ca="1" si="5"/>
        <v>0.348 + 23.700</v>
      </c>
      <c r="J60" s="131">
        <f t="shared" ca="1" si="12"/>
        <v>3.8079999999999927</v>
      </c>
      <c r="K60" s="122" t="str">
        <f t="shared" ca="1" si="6"/>
        <v/>
      </c>
      <c r="L60" s="130" t="str">
        <f t="shared" ca="1" si="7"/>
        <v/>
      </c>
      <c r="M60" s="126">
        <f t="shared" ca="1" si="8"/>
        <v>995</v>
      </c>
      <c r="N60" s="58">
        <f ca="1">Tables!U56/1000</f>
        <v>0.34799999999999998</v>
      </c>
      <c r="O60" s="160">
        <f ca="1">Tables!V56/1000</f>
        <v>0.33161423371140147</v>
      </c>
    </row>
    <row r="61" spans="1:15" x14ac:dyDescent="0.25">
      <c r="A61" s="55" t="e">
        <f t="shared" ca="1" si="9"/>
        <v>#N/A</v>
      </c>
      <c r="B61" s="55" t="e">
        <f t="shared" ca="1" si="0"/>
        <v>#N/A</v>
      </c>
      <c r="C61" s="55" t="e">
        <f t="shared" ca="1" si="1"/>
        <v>#N/A</v>
      </c>
      <c r="D61" s="55" t="e">
        <f t="shared" ca="1" si="2"/>
        <v>#N/A</v>
      </c>
      <c r="E61" s="120">
        <f t="shared" ca="1" si="10"/>
        <v>998</v>
      </c>
      <c r="F61" s="56">
        <f t="shared" ca="1" si="11"/>
        <v>236</v>
      </c>
      <c r="G61" s="56">
        <f t="shared" ca="1" si="3"/>
        <v>23.700000000000003</v>
      </c>
      <c r="H61" s="116">
        <f t="shared" ca="1" si="4"/>
        <v>24.083000000000002</v>
      </c>
      <c r="I61" s="57" t="str">
        <f t="shared" ca="1" si="5"/>
        <v>0.383 + 23.700</v>
      </c>
      <c r="J61" s="131">
        <f t="shared" ca="1" si="12"/>
        <v>3.6679999999999922</v>
      </c>
      <c r="K61" s="122" t="str">
        <f t="shared" ca="1" si="6"/>
        <v/>
      </c>
      <c r="L61" s="130" t="str">
        <f t="shared" ca="1" si="7"/>
        <v/>
      </c>
      <c r="M61" s="126">
        <f t="shared" ca="1" si="8"/>
        <v>995</v>
      </c>
      <c r="N61" s="58">
        <f ca="1">Tables!U57/1000</f>
        <v>0.38300000000000001</v>
      </c>
      <c r="O61" s="160">
        <f ca="1">Tables!V57/1000</f>
        <v>0.36508081297159395</v>
      </c>
    </row>
    <row r="62" spans="1:15" x14ac:dyDescent="0.25">
      <c r="A62" s="55" t="e">
        <f t="shared" ca="1" si="9"/>
        <v>#N/A</v>
      </c>
      <c r="B62" s="55" t="e">
        <f t="shared" ca="1" si="0"/>
        <v>#N/A</v>
      </c>
      <c r="C62" s="55" t="e">
        <f t="shared" ca="1" si="1"/>
        <v>#N/A</v>
      </c>
      <c r="D62" s="55" t="e">
        <f t="shared" ca="1" si="2"/>
        <v>#N/A</v>
      </c>
      <c r="E62" s="120">
        <f t="shared" ca="1" si="10"/>
        <v>998</v>
      </c>
      <c r="F62" s="56">
        <f t="shared" ca="1" si="11"/>
        <v>236</v>
      </c>
      <c r="G62" s="56">
        <f t="shared" ca="1" si="3"/>
        <v>23.700000000000003</v>
      </c>
      <c r="H62" s="116">
        <f t="shared" ca="1" si="4"/>
        <v>24.083000000000002</v>
      </c>
      <c r="I62" s="57" t="str">
        <f t="shared" ca="1" si="5"/>
        <v>0.383 + 23.700</v>
      </c>
      <c r="J62" s="131">
        <f t="shared" ca="1" si="12"/>
        <v>3.6679999999999922</v>
      </c>
      <c r="K62" s="122" t="str">
        <f t="shared" ca="1" si="6"/>
        <v/>
      </c>
      <c r="L62" s="130" t="str">
        <f t="shared" ca="1" si="7"/>
        <v/>
      </c>
      <c r="M62" s="126">
        <f t="shared" ca="1" si="8"/>
        <v>995</v>
      </c>
      <c r="N62" s="58">
        <f ca="1">Tables!U58/1000</f>
        <v>0.38300000000000001</v>
      </c>
      <c r="O62" s="160">
        <f ca="1">Tables!V58/1000</f>
        <v>0.36508081297159395</v>
      </c>
    </row>
    <row r="63" spans="1:15" x14ac:dyDescent="0.25">
      <c r="A63" s="55" t="e">
        <f t="shared" ca="1" si="9"/>
        <v>#N/A</v>
      </c>
      <c r="B63" s="55" t="e">
        <f t="shared" ca="1" si="0"/>
        <v>#N/A</v>
      </c>
      <c r="C63" s="55" t="e">
        <f t="shared" ca="1" si="1"/>
        <v>#N/A</v>
      </c>
      <c r="D63" s="55" t="e">
        <f t="shared" ca="1" si="2"/>
        <v>#N/A</v>
      </c>
      <c r="E63" s="120">
        <f t="shared" ca="1" si="10"/>
        <v>998</v>
      </c>
      <c r="F63" s="56">
        <f t="shared" ca="1" si="11"/>
        <v>236</v>
      </c>
      <c r="G63" s="56">
        <f t="shared" ca="1" si="3"/>
        <v>23.700000000000003</v>
      </c>
      <c r="H63" s="116">
        <f t="shared" ca="1" si="4"/>
        <v>24.083000000000002</v>
      </c>
      <c r="I63" s="57" t="str">
        <f t="shared" ca="1" si="5"/>
        <v>0.383 + 23.700</v>
      </c>
      <c r="J63" s="131">
        <f t="shared" ca="1" si="12"/>
        <v>3.6679999999999922</v>
      </c>
      <c r="K63" s="122" t="str">
        <f t="shared" ca="1" si="6"/>
        <v/>
      </c>
      <c r="L63" s="130" t="str">
        <f t="shared" ca="1" si="7"/>
        <v/>
      </c>
      <c r="M63" s="126">
        <f t="shared" ca="1" si="8"/>
        <v>995</v>
      </c>
      <c r="N63" s="58">
        <f ca="1">Tables!U59/1000</f>
        <v>0.38300000000000001</v>
      </c>
      <c r="O63" s="160">
        <f ca="1">Tables!V59/1000</f>
        <v>0.36508081297159395</v>
      </c>
    </row>
    <row r="64" spans="1:15" x14ac:dyDescent="0.25">
      <c r="A64" s="55" t="e">
        <f t="shared" ca="1" si="9"/>
        <v>#N/A</v>
      </c>
      <c r="B64" s="55" t="e">
        <f t="shared" ca="1" si="0"/>
        <v>#N/A</v>
      </c>
      <c r="C64" s="55" t="e">
        <f t="shared" ca="1" si="1"/>
        <v>#N/A</v>
      </c>
      <c r="D64" s="55" t="e">
        <f t="shared" ca="1" si="2"/>
        <v>#N/A</v>
      </c>
      <c r="E64" s="120">
        <f t="shared" ca="1" si="10"/>
        <v>998</v>
      </c>
      <c r="F64" s="56">
        <f t="shared" ca="1" si="11"/>
        <v>236</v>
      </c>
      <c r="G64" s="56">
        <f t="shared" ca="1" si="3"/>
        <v>23.700000000000003</v>
      </c>
      <c r="H64" s="116">
        <f t="shared" ca="1" si="4"/>
        <v>24.083000000000002</v>
      </c>
      <c r="I64" s="57" t="str">
        <f t="shared" ca="1" si="5"/>
        <v>0.383 + 23.700</v>
      </c>
      <c r="J64" s="131">
        <f t="shared" ca="1" si="12"/>
        <v>3.6679999999999922</v>
      </c>
      <c r="K64" s="122" t="str">
        <f t="shared" ca="1" si="6"/>
        <v/>
      </c>
      <c r="L64" s="130" t="str">
        <f t="shared" ca="1" si="7"/>
        <v/>
      </c>
      <c r="M64" s="126">
        <f t="shared" ca="1" si="8"/>
        <v>995</v>
      </c>
      <c r="N64" s="58">
        <f ca="1">Tables!U60/1000</f>
        <v>0.38300000000000001</v>
      </c>
      <c r="O64" s="160">
        <f ca="1">Tables!V60/1000</f>
        <v>0.36508081297159395</v>
      </c>
    </row>
    <row r="65" spans="1:15" x14ac:dyDescent="0.25">
      <c r="A65" s="55" t="e">
        <f t="shared" ca="1" si="9"/>
        <v>#N/A</v>
      </c>
      <c r="B65" s="55" t="e">
        <f t="shared" ca="1" si="0"/>
        <v>#N/A</v>
      </c>
      <c r="C65" s="55" t="e">
        <f t="shared" ca="1" si="1"/>
        <v>#N/A</v>
      </c>
      <c r="D65" s="55" t="e">
        <f t="shared" ca="1" si="2"/>
        <v>#N/A</v>
      </c>
      <c r="E65" s="120">
        <f t="shared" ca="1" si="10"/>
        <v>998</v>
      </c>
      <c r="F65" s="56">
        <f t="shared" ca="1" si="11"/>
        <v>236</v>
      </c>
      <c r="G65" s="56">
        <f t="shared" ca="1" si="3"/>
        <v>23.700000000000003</v>
      </c>
      <c r="H65" s="116">
        <f t="shared" ca="1" si="4"/>
        <v>24.122000000000003</v>
      </c>
      <c r="I65" s="57" t="str">
        <f t="shared" ca="1" si="5"/>
        <v>0.422 + 23.700</v>
      </c>
      <c r="J65" s="131">
        <f t="shared" ca="1" si="12"/>
        <v>3.5119999999999862</v>
      </c>
      <c r="K65" s="122" t="str">
        <f t="shared" ca="1" si="6"/>
        <v/>
      </c>
      <c r="L65" s="130" t="str">
        <f t="shared" ca="1" si="7"/>
        <v/>
      </c>
      <c r="M65" s="126">
        <f t="shared" ca="1" si="8"/>
        <v>995</v>
      </c>
      <c r="N65" s="58">
        <f ca="1">Tables!U61/1000</f>
        <v>0.42199999999999999</v>
      </c>
      <c r="O65" s="160">
        <f ca="1">Tables!V61/1000</f>
        <v>0.4020273622528695</v>
      </c>
    </row>
    <row r="66" spans="1:15" x14ac:dyDescent="0.25">
      <c r="A66" s="55" t="e">
        <f t="shared" ca="1" si="9"/>
        <v>#N/A</v>
      </c>
      <c r="B66" s="55" t="e">
        <f t="shared" ca="1" si="0"/>
        <v>#N/A</v>
      </c>
      <c r="C66" s="55" t="e">
        <f t="shared" ca="1" si="1"/>
        <v>#N/A</v>
      </c>
      <c r="D66" s="55" t="e">
        <f t="shared" ca="1" si="2"/>
        <v>#N/A</v>
      </c>
      <c r="E66" s="120">
        <f t="shared" ca="1" si="10"/>
        <v>998</v>
      </c>
      <c r="F66" s="56">
        <f t="shared" ca="1" si="11"/>
        <v>236</v>
      </c>
      <c r="G66" s="56">
        <f t="shared" ca="1" si="3"/>
        <v>23.700000000000003</v>
      </c>
      <c r="H66" s="116">
        <f t="shared" ca="1" si="4"/>
        <v>24.122000000000003</v>
      </c>
      <c r="I66" s="57" t="str">
        <f t="shared" ca="1" si="5"/>
        <v>0.422 + 23.700</v>
      </c>
      <c r="J66" s="131">
        <f t="shared" ca="1" si="12"/>
        <v>3.5119999999999862</v>
      </c>
      <c r="K66" s="122" t="str">
        <f t="shared" ca="1" si="6"/>
        <v/>
      </c>
      <c r="L66" s="130" t="str">
        <f t="shared" ca="1" si="7"/>
        <v/>
      </c>
      <c r="M66" s="126">
        <f t="shared" ca="1" si="8"/>
        <v>995</v>
      </c>
      <c r="N66" s="58">
        <f ca="1">Tables!U62/1000</f>
        <v>0.42199999999999999</v>
      </c>
      <c r="O66" s="160">
        <f ca="1">Tables!V62/1000</f>
        <v>0.4020273622528695</v>
      </c>
    </row>
    <row r="67" spans="1:15" x14ac:dyDescent="0.25">
      <c r="A67" s="55" t="e">
        <f t="shared" ca="1" si="9"/>
        <v>#N/A</v>
      </c>
      <c r="B67" s="55" t="e">
        <f t="shared" ca="1" si="0"/>
        <v>#N/A</v>
      </c>
      <c r="C67" s="55" t="e">
        <f t="shared" ca="1" si="1"/>
        <v>#N/A</v>
      </c>
      <c r="D67" s="55" t="e">
        <f t="shared" ca="1" si="2"/>
        <v>#N/A</v>
      </c>
      <c r="E67" s="120">
        <f t="shared" ca="1" si="10"/>
        <v>998</v>
      </c>
      <c r="F67" s="56">
        <f t="shared" ca="1" si="11"/>
        <v>236</v>
      </c>
      <c r="G67" s="56">
        <f t="shared" ca="1" si="3"/>
        <v>23.700000000000003</v>
      </c>
      <c r="H67" s="116">
        <f t="shared" ca="1" si="4"/>
        <v>24.122000000000003</v>
      </c>
      <c r="I67" s="57" t="str">
        <f t="shared" ca="1" si="5"/>
        <v>0.422 + 23.700</v>
      </c>
      <c r="J67" s="131">
        <f t="shared" ca="1" si="12"/>
        <v>3.5119999999999862</v>
      </c>
      <c r="K67" s="122" t="str">
        <f t="shared" ca="1" si="6"/>
        <v/>
      </c>
      <c r="L67" s="130" t="str">
        <f t="shared" ca="1" si="7"/>
        <v/>
      </c>
      <c r="M67" s="126">
        <f t="shared" ca="1" si="8"/>
        <v>995</v>
      </c>
      <c r="N67" s="58">
        <f ca="1">Tables!U63/1000</f>
        <v>0.42199999999999999</v>
      </c>
      <c r="O67" s="160">
        <f ca="1">Tables!V63/1000</f>
        <v>0.4020273622528695</v>
      </c>
    </row>
    <row r="68" spans="1:15" x14ac:dyDescent="0.25">
      <c r="A68" s="55" t="e">
        <f t="shared" ca="1" si="9"/>
        <v>#N/A</v>
      </c>
      <c r="B68" s="55" t="e">
        <f t="shared" ca="1" si="0"/>
        <v>#N/A</v>
      </c>
      <c r="C68" s="55" t="e">
        <f t="shared" ca="1" si="1"/>
        <v>#N/A</v>
      </c>
      <c r="D68" s="55" t="e">
        <f t="shared" ca="1" si="2"/>
        <v>#N/A</v>
      </c>
      <c r="E68" s="120">
        <f t="shared" ca="1" si="10"/>
        <v>998</v>
      </c>
      <c r="F68" s="56">
        <f t="shared" ca="1" si="11"/>
        <v>236</v>
      </c>
      <c r="G68" s="56">
        <f t="shared" ca="1" si="3"/>
        <v>23.700000000000003</v>
      </c>
      <c r="H68" s="116">
        <f t="shared" ca="1" si="4"/>
        <v>24.122000000000003</v>
      </c>
      <c r="I68" s="57" t="str">
        <f t="shared" ca="1" si="5"/>
        <v>0.422 + 23.700</v>
      </c>
      <c r="J68" s="131">
        <f t="shared" ca="1" si="12"/>
        <v>3.5119999999999862</v>
      </c>
      <c r="K68" s="122" t="str">
        <f t="shared" ca="1" si="6"/>
        <v/>
      </c>
      <c r="L68" s="130" t="str">
        <f t="shared" ca="1" si="7"/>
        <v/>
      </c>
      <c r="M68" s="126">
        <f t="shared" ca="1" si="8"/>
        <v>995</v>
      </c>
      <c r="N68" s="58">
        <f ca="1">Tables!U64/1000</f>
        <v>0.42199999999999999</v>
      </c>
      <c r="O68" s="160">
        <f ca="1">Tables!V64/1000</f>
        <v>0.4020273622528695</v>
      </c>
    </row>
    <row r="69" spans="1:15" x14ac:dyDescent="0.25">
      <c r="A69" s="55" t="e">
        <f t="shared" ca="1" si="9"/>
        <v>#N/A</v>
      </c>
      <c r="B69" s="55" t="e">
        <f t="shared" ca="1" si="0"/>
        <v>#N/A</v>
      </c>
      <c r="C69" s="55" t="e">
        <f t="shared" ca="1" si="1"/>
        <v>#N/A</v>
      </c>
      <c r="D69" s="55" t="e">
        <f t="shared" ca="1" si="2"/>
        <v>#N/A</v>
      </c>
      <c r="E69" s="120">
        <f t="shared" ca="1" si="10"/>
        <v>998</v>
      </c>
      <c r="F69" s="56">
        <f t="shared" ca="1" si="11"/>
        <v>236</v>
      </c>
      <c r="G69" s="56">
        <f t="shared" ca="1" si="3"/>
        <v>23.700000000000003</v>
      </c>
      <c r="H69" s="116">
        <f t="shared" ca="1" si="4"/>
        <v>24.164000000000001</v>
      </c>
      <c r="I69" s="57" t="str">
        <f t="shared" ca="1" si="5"/>
        <v>0.464 + 23.700</v>
      </c>
      <c r="J69" s="131">
        <f t="shared" ca="1" si="12"/>
        <v>3.3439999999999941</v>
      </c>
      <c r="K69" s="122" t="str">
        <f t="shared" ca="1" si="6"/>
        <v/>
      </c>
      <c r="L69" s="130" t="str">
        <f t="shared" ca="1" si="7"/>
        <v/>
      </c>
      <c r="M69" s="126">
        <f t="shared" ca="1" si="8"/>
        <v>995</v>
      </c>
      <c r="N69" s="58">
        <f ca="1">Tables!U65/1000</f>
        <v>0.46400000000000002</v>
      </c>
      <c r="O69" s="160">
        <f ca="1">Tables!V65/1000</f>
        <v>0.44250197739671177</v>
      </c>
    </row>
    <row r="70" spans="1:15" x14ac:dyDescent="0.25">
      <c r="A70" s="55" t="e">
        <f t="shared" ca="1" si="9"/>
        <v>#N/A</v>
      </c>
      <c r="B70" s="55" t="e">
        <f t="shared" ref="B70:B133" ca="1" si="13">INDEX($N$1:$N$774,A70)</f>
        <v>#N/A</v>
      </c>
      <c r="C70" s="55" t="e">
        <f t="shared" ref="C70:C133" ca="1" si="14">1/(1/B70+1/N70)</f>
        <v>#N/A</v>
      </c>
      <c r="D70" s="55" t="e">
        <f t="shared" ref="D70:D133" ca="1" si="15">CONCATENATE(TEXT(MIN(B70,N70),"#0.000#")," || ",TEXT(MAX(B70,N70),"#0.000#"))</f>
        <v>#N/A</v>
      </c>
      <c r="E70" s="120">
        <f t="shared" ca="1" si="10"/>
        <v>998</v>
      </c>
      <c r="F70" s="56">
        <f t="shared" ca="1" si="11"/>
        <v>236</v>
      </c>
      <c r="G70" s="56">
        <f t="shared" ref="G70:G133" ca="1" si="16">INDEX($N$1:$N$774,F70)</f>
        <v>23.700000000000003</v>
      </c>
      <c r="H70" s="116">
        <f t="shared" ref="H70:H133" ca="1" si="17">G70+N70</f>
        <v>24.164000000000001</v>
      </c>
      <c r="I70" s="57" t="str">
        <f t="shared" ref="I70:I133" ca="1" si="18">CONCATENATE(TEXT(MIN(G70,N70),"#0.000#")," + ",TEXT(MAX(G70,N70),"#0.000#"))</f>
        <v>0.464 + 23.700</v>
      </c>
      <c r="J70" s="131">
        <f t="shared" ca="1" si="12"/>
        <v>3.3439999999999941</v>
      </c>
      <c r="K70" s="122" t="str">
        <f t="shared" ref="K70:K133" ca="1" si="19">IF(E70&lt;$C$4,D70,IF(J70&lt;$C$4,I70,""))</f>
        <v/>
      </c>
      <c r="L70" s="130" t="str">
        <f t="shared" ref="L70:L133" ca="1" si="20">IF(E70&lt;$C$4,C70,IF(J70&lt;$C$4,H70,""))</f>
        <v/>
      </c>
      <c r="M70" s="126">
        <f t="shared" ref="M70:M133" ca="1" si="21">IF(E70&lt;=$C$4,E70,IF(J70&lt;=$C$4,J70,995))</f>
        <v>995</v>
      </c>
      <c r="N70" s="58">
        <f ca="1">Tables!U66/1000</f>
        <v>0.46400000000000002</v>
      </c>
      <c r="O70" s="160">
        <f ca="1">Tables!V66/1000</f>
        <v>0.44250197739671177</v>
      </c>
    </row>
    <row r="71" spans="1:15" x14ac:dyDescent="0.25">
      <c r="A71" s="55" t="e">
        <f t="shared" ref="A71:A134" ca="1" si="22">MATCH(1/($A$5-(1/N71)),$O$1:$O$775,1)</f>
        <v>#N/A</v>
      </c>
      <c r="B71" s="55" t="e">
        <f t="shared" ca="1" si="13"/>
        <v>#N/A</v>
      </c>
      <c r="C71" s="55" t="e">
        <f t="shared" ca="1" si="14"/>
        <v>#N/A</v>
      </c>
      <c r="D71" s="55" t="e">
        <f t="shared" ca="1" si="15"/>
        <v>#N/A</v>
      </c>
      <c r="E71" s="120">
        <f t="shared" ref="E71:E134" ca="1" si="23">IFERROR(IF(OR(B71=0,AND(B71&lt;&gt;$A$4,N71&lt;&gt;$A$4)),ABS($A$4-C71)/$E$5,999),998)</f>
        <v>998</v>
      </c>
      <c r="F71" s="56">
        <f t="shared" ref="F71:F134" ca="1" si="24">MATCH($A$4-N71,$O$1:$O$774,1)</f>
        <v>236</v>
      </c>
      <c r="G71" s="56">
        <f t="shared" ca="1" si="16"/>
        <v>23.700000000000003</v>
      </c>
      <c r="H71" s="116">
        <f t="shared" ca="1" si="17"/>
        <v>24.164000000000001</v>
      </c>
      <c r="I71" s="57" t="str">
        <f t="shared" ca="1" si="18"/>
        <v>0.464 + 23.700</v>
      </c>
      <c r="J71" s="131">
        <f t="shared" ref="J71:J134" ca="1" si="25">IFERROR(IF(OR(G71=0,AND(G71&lt;&gt;$A$4,N71&lt;&gt;$A$4)),ABS($A$4-H71)/$E$5,997),996)</f>
        <v>3.3439999999999941</v>
      </c>
      <c r="K71" s="122" t="str">
        <f t="shared" ca="1" si="19"/>
        <v/>
      </c>
      <c r="L71" s="130" t="str">
        <f t="shared" ca="1" si="20"/>
        <v/>
      </c>
      <c r="M71" s="126">
        <f t="shared" ca="1" si="21"/>
        <v>995</v>
      </c>
      <c r="N71" s="58">
        <f ca="1">Tables!U67/1000</f>
        <v>0.46400000000000002</v>
      </c>
      <c r="O71" s="160">
        <f ca="1">Tables!V67/1000</f>
        <v>0.44250197739671177</v>
      </c>
    </row>
    <row r="72" spans="1:15" x14ac:dyDescent="0.25">
      <c r="A72" s="55" t="e">
        <f t="shared" ca="1" si="22"/>
        <v>#N/A</v>
      </c>
      <c r="B72" s="55" t="e">
        <f t="shared" ca="1" si="13"/>
        <v>#N/A</v>
      </c>
      <c r="C72" s="55" t="e">
        <f t="shared" ca="1" si="14"/>
        <v>#N/A</v>
      </c>
      <c r="D72" s="55" t="e">
        <f t="shared" ca="1" si="15"/>
        <v>#N/A</v>
      </c>
      <c r="E72" s="120">
        <f t="shared" ca="1" si="23"/>
        <v>998</v>
      </c>
      <c r="F72" s="56">
        <f t="shared" ca="1" si="24"/>
        <v>236</v>
      </c>
      <c r="G72" s="56">
        <f t="shared" ca="1" si="16"/>
        <v>23.700000000000003</v>
      </c>
      <c r="H72" s="116">
        <f t="shared" ca="1" si="17"/>
        <v>24.164000000000001</v>
      </c>
      <c r="I72" s="57" t="str">
        <f t="shared" ca="1" si="18"/>
        <v>0.464 + 23.700</v>
      </c>
      <c r="J72" s="131">
        <f t="shared" ca="1" si="25"/>
        <v>3.3439999999999941</v>
      </c>
      <c r="K72" s="122" t="str">
        <f t="shared" ca="1" si="19"/>
        <v/>
      </c>
      <c r="L72" s="130" t="str">
        <f t="shared" ca="1" si="20"/>
        <v/>
      </c>
      <c r="M72" s="126">
        <f t="shared" ca="1" si="21"/>
        <v>995</v>
      </c>
      <c r="N72" s="58">
        <f ca="1">Tables!U68/1000</f>
        <v>0.46400000000000002</v>
      </c>
      <c r="O72" s="160">
        <f ca="1">Tables!V68/1000</f>
        <v>0.44250197739671177</v>
      </c>
    </row>
    <row r="73" spans="1:15" x14ac:dyDescent="0.25">
      <c r="A73" s="55" t="e">
        <f t="shared" ca="1" si="22"/>
        <v>#N/A</v>
      </c>
      <c r="B73" s="55" t="e">
        <f t="shared" ca="1" si="13"/>
        <v>#N/A</v>
      </c>
      <c r="C73" s="55" t="e">
        <f t="shared" ca="1" si="14"/>
        <v>#N/A</v>
      </c>
      <c r="D73" s="55" t="e">
        <f t="shared" ca="1" si="15"/>
        <v>#N/A</v>
      </c>
      <c r="E73" s="120">
        <f t="shared" ca="1" si="23"/>
        <v>998</v>
      </c>
      <c r="F73" s="56">
        <f t="shared" ca="1" si="24"/>
        <v>236</v>
      </c>
      <c r="G73" s="56">
        <f t="shared" ca="1" si="16"/>
        <v>23.700000000000003</v>
      </c>
      <c r="H73" s="116">
        <f t="shared" ca="1" si="17"/>
        <v>24.211000000000002</v>
      </c>
      <c r="I73" s="57" t="str">
        <f t="shared" ca="1" si="18"/>
        <v>0.511 + 23.700</v>
      </c>
      <c r="J73" s="131">
        <f t="shared" ca="1" si="25"/>
        <v>3.1559999999999917</v>
      </c>
      <c r="K73" s="122" t="str">
        <f t="shared" ca="1" si="19"/>
        <v/>
      </c>
      <c r="L73" s="130" t="str">
        <f t="shared" ca="1" si="20"/>
        <v/>
      </c>
      <c r="M73" s="126">
        <f t="shared" ca="1" si="21"/>
        <v>995</v>
      </c>
      <c r="N73" s="58">
        <f ca="1">Tables!U69/1000</f>
        <v>0.51100000000000001</v>
      </c>
      <c r="O73" s="160">
        <f ca="1">Tables!V69/1000</f>
        <v>0.48693326031397771</v>
      </c>
    </row>
    <row r="74" spans="1:15" x14ac:dyDescent="0.25">
      <c r="A74" s="55" t="e">
        <f t="shared" ca="1" si="22"/>
        <v>#N/A</v>
      </c>
      <c r="B74" s="55" t="e">
        <f t="shared" ca="1" si="13"/>
        <v>#N/A</v>
      </c>
      <c r="C74" s="55" t="e">
        <f t="shared" ca="1" si="14"/>
        <v>#N/A</v>
      </c>
      <c r="D74" s="55" t="e">
        <f t="shared" ca="1" si="15"/>
        <v>#N/A</v>
      </c>
      <c r="E74" s="120">
        <f t="shared" ca="1" si="23"/>
        <v>998</v>
      </c>
      <c r="F74" s="56">
        <f t="shared" ca="1" si="24"/>
        <v>236</v>
      </c>
      <c r="G74" s="56">
        <f t="shared" ca="1" si="16"/>
        <v>23.700000000000003</v>
      </c>
      <c r="H74" s="116">
        <f t="shared" ca="1" si="17"/>
        <v>24.211000000000002</v>
      </c>
      <c r="I74" s="57" t="str">
        <f t="shared" ca="1" si="18"/>
        <v>0.511 + 23.700</v>
      </c>
      <c r="J74" s="131">
        <f t="shared" ca="1" si="25"/>
        <v>3.1559999999999917</v>
      </c>
      <c r="K74" s="122" t="str">
        <f t="shared" ca="1" si="19"/>
        <v/>
      </c>
      <c r="L74" s="130" t="str">
        <f t="shared" ca="1" si="20"/>
        <v/>
      </c>
      <c r="M74" s="126">
        <f t="shared" ca="1" si="21"/>
        <v>995</v>
      </c>
      <c r="N74" s="58">
        <f ca="1">Tables!U70/1000</f>
        <v>0.51100000000000001</v>
      </c>
      <c r="O74" s="160">
        <f ca="1">Tables!V70/1000</f>
        <v>0.48693326031397771</v>
      </c>
    </row>
    <row r="75" spans="1:15" x14ac:dyDescent="0.25">
      <c r="A75" s="55" t="e">
        <f t="shared" ca="1" si="22"/>
        <v>#N/A</v>
      </c>
      <c r="B75" s="55" t="e">
        <f t="shared" ca="1" si="13"/>
        <v>#N/A</v>
      </c>
      <c r="C75" s="55" t="e">
        <f t="shared" ca="1" si="14"/>
        <v>#N/A</v>
      </c>
      <c r="D75" s="55" t="e">
        <f t="shared" ca="1" si="15"/>
        <v>#N/A</v>
      </c>
      <c r="E75" s="120">
        <f t="shared" ca="1" si="23"/>
        <v>998</v>
      </c>
      <c r="F75" s="56">
        <f t="shared" ca="1" si="24"/>
        <v>236</v>
      </c>
      <c r="G75" s="56">
        <f t="shared" ca="1" si="16"/>
        <v>23.700000000000003</v>
      </c>
      <c r="H75" s="116">
        <f t="shared" ca="1" si="17"/>
        <v>24.211000000000002</v>
      </c>
      <c r="I75" s="57" t="str">
        <f t="shared" ca="1" si="18"/>
        <v>0.511 + 23.700</v>
      </c>
      <c r="J75" s="131">
        <f t="shared" ca="1" si="25"/>
        <v>3.1559999999999917</v>
      </c>
      <c r="K75" s="122" t="str">
        <f t="shared" ca="1" si="19"/>
        <v/>
      </c>
      <c r="L75" s="130" t="str">
        <f t="shared" ca="1" si="20"/>
        <v/>
      </c>
      <c r="M75" s="126">
        <f t="shared" ca="1" si="21"/>
        <v>995</v>
      </c>
      <c r="N75" s="58">
        <f ca="1">Tables!U71/1000</f>
        <v>0.51100000000000001</v>
      </c>
      <c r="O75" s="160">
        <f ca="1">Tables!V71/1000</f>
        <v>0.48693326031397771</v>
      </c>
    </row>
    <row r="76" spans="1:15" x14ac:dyDescent="0.25">
      <c r="A76" s="55" t="e">
        <f t="shared" ca="1" si="22"/>
        <v>#N/A</v>
      </c>
      <c r="B76" s="55" t="e">
        <f t="shared" ca="1" si="13"/>
        <v>#N/A</v>
      </c>
      <c r="C76" s="55" t="e">
        <f t="shared" ca="1" si="14"/>
        <v>#N/A</v>
      </c>
      <c r="D76" s="55" t="e">
        <f t="shared" ca="1" si="15"/>
        <v>#N/A</v>
      </c>
      <c r="E76" s="120">
        <f t="shared" ca="1" si="23"/>
        <v>998</v>
      </c>
      <c r="F76" s="56">
        <f t="shared" ca="1" si="24"/>
        <v>236</v>
      </c>
      <c r="G76" s="56">
        <f t="shared" ca="1" si="16"/>
        <v>23.700000000000003</v>
      </c>
      <c r="H76" s="116">
        <f t="shared" ca="1" si="17"/>
        <v>24.211000000000002</v>
      </c>
      <c r="I76" s="57" t="str">
        <f t="shared" ca="1" si="18"/>
        <v>0.511 + 23.700</v>
      </c>
      <c r="J76" s="131">
        <f t="shared" ca="1" si="25"/>
        <v>3.1559999999999917</v>
      </c>
      <c r="K76" s="122" t="str">
        <f t="shared" ca="1" si="19"/>
        <v/>
      </c>
      <c r="L76" s="130" t="str">
        <f t="shared" ca="1" si="20"/>
        <v/>
      </c>
      <c r="M76" s="126">
        <f t="shared" ca="1" si="21"/>
        <v>995</v>
      </c>
      <c r="N76" s="58">
        <f ca="1">Tables!U72/1000</f>
        <v>0.51100000000000001</v>
      </c>
      <c r="O76" s="160">
        <f ca="1">Tables!V72/1000</f>
        <v>0.48693326031397771</v>
      </c>
    </row>
    <row r="77" spans="1:15" x14ac:dyDescent="0.25">
      <c r="A77" s="55" t="e">
        <f t="shared" ca="1" si="22"/>
        <v>#N/A</v>
      </c>
      <c r="B77" s="55" t="e">
        <f t="shared" ca="1" si="13"/>
        <v>#N/A</v>
      </c>
      <c r="C77" s="55" t="e">
        <f t="shared" ca="1" si="14"/>
        <v>#N/A</v>
      </c>
      <c r="D77" s="55" t="e">
        <f t="shared" ca="1" si="15"/>
        <v>#N/A</v>
      </c>
      <c r="E77" s="120">
        <f t="shared" ca="1" si="23"/>
        <v>998</v>
      </c>
      <c r="F77" s="56">
        <f t="shared" ca="1" si="24"/>
        <v>236</v>
      </c>
      <c r="G77" s="56">
        <f t="shared" ca="1" si="16"/>
        <v>23.700000000000003</v>
      </c>
      <c r="H77" s="116">
        <f t="shared" ca="1" si="17"/>
        <v>24.262000000000004</v>
      </c>
      <c r="I77" s="57" t="str">
        <f t="shared" ca="1" si="18"/>
        <v>0.562 + 23.700</v>
      </c>
      <c r="J77" s="131">
        <f t="shared" ca="1" si="25"/>
        <v>2.951999999999984</v>
      </c>
      <c r="K77" s="122" t="str">
        <f t="shared" ca="1" si="19"/>
        <v/>
      </c>
      <c r="L77" s="130" t="str">
        <f t="shared" ca="1" si="20"/>
        <v/>
      </c>
      <c r="M77" s="126">
        <f t="shared" ca="1" si="21"/>
        <v>995</v>
      </c>
      <c r="N77" s="58">
        <f ca="1">Tables!U73/1000</f>
        <v>0.56200000000000006</v>
      </c>
      <c r="O77" s="160">
        <f ca="1">Tables!V73/1000</f>
        <v>0.53589364616498303</v>
      </c>
    </row>
    <row r="78" spans="1:15" x14ac:dyDescent="0.25">
      <c r="A78" s="55" t="e">
        <f t="shared" ca="1" si="22"/>
        <v>#N/A</v>
      </c>
      <c r="B78" s="55" t="e">
        <f t="shared" ca="1" si="13"/>
        <v>#N/A</v>
      </c>
      <c r="C78" s="55" t="e">
        <f t="shared" ca="1" si="14"/>
        <v>#N/A</v>
      </c>
      <c r="D78" s="55" t="e">
        <f t="shared" ca="1" si="15"/>
        <v>#N/A</v>
      </c>
      <c r="E78" s="120">
        <f t="shared" ca="1" si="23"/>
        <v>998</v>
      </c>
      <c r="F78" s="56">
        <f t="shared" ca="1" si="24"/>
        <v>236</v>
      </c>
      <c r="G78" s="56">
        <f t="shared" ca="1" si="16"/>
        <v>23.700000000000003</v>
      </c>
      <c r="H78" s="116">
        <f t="shared" ca="1" si="17"/>
        <v>24.262000000000004</v>
      </c>
      <c r="I78" s="57" t="str">
        <f t="shared" ca="1" si="18"/>
        <v>0.562 + 23.700</v>
      </c>
      <c r="J78" s="131">
        <f t="shared" ca="1" si="25"/>
        <v>2.951999999999984</v>
      </c>
      <c r="K78" s="122" t="str">
        <f t="shared" ca="1" si="19"/>
        <v/>
      </c>
      <c r="L78" s="130" t="str">
        <f t="shared" ca="1" si="20"/>
        <v/>
      </c>
      <c r="M78" s="126">
        <f t="shared" ca="1" si="21"/>
        <v>995</v>
      </c>
      <c r="N78" s="58">
        <f ca="1">Tables!U74/1000</f>
        <v>0.56200000000000006</v>
      </c>
      <c r="O78" s="160">
        <f ca="1">Tables!V74/1000</f>
        <v>0.53589364616498303</v>
      </c>
    </row>
    <row r="79" spans="1:15" x14ac:dyDescent="0.25">
      <c r="A79" s="55" t="e">
        <f t="shared" ca="1" si="22"/>
        <v>#N/A</v>
      </c>
      <c r="B79" s="55" t="e">
        <f t="shared" ca="1" si="13"/>
        <v>#N/A</v>
      </c>
      <c r="C79" s="55" t="e">
        <f t="shared" ca="1" si="14"/>
        <v>#N/A</v>
      </c>
      <c r="D79" s="55" t="e">
        <f t="shared" ca="1" si="15"/>
        <v>#N/A</v>
      </c>
      <c r="E79" s="120">
        <f t="shared" ca="1" si="23"/>
        <v>998</v>
      </c>
      <c r="F79" s="56">
        <f t="shared" ca="1" si="24"/>
        <v>236</v>
      </c>
      <c r="G79" s="56">
        <f t="shared" ca="1" si="16"/>
        <v>23.700000000000003</v>
      </c>
      <c r="H79" s="116">
        <f t="shared" ca="1" si="17"/>
        <v>24.262000000000004</v>
      </c>
      <c r="I79" s="57" t="str">
        <f t="shared" ca="1" si="18"/>
        <v>0.562 + 23.700</v>
      </c>
      <c r="J79" s="131">
        <f t="shared" ca="1" si="25"/>
        <v>2.951999999999984</v>
      </c>
      <c r="K79" s="122" t="str">
        <f t="shared" ca="1" si="19"/>
        <v/>
      </c>
      <c r="L79" s="130" t="str">
        <f t="shared" ca="1" si="20"/>
        <v/>
      </c>
      <c r="M79" s="126">
        <f t="shared" ca="1" si="21"/>
        <v>995</v>
      </c>
      <c r="N79" s="58">
        <f ca="1">Tables!U75/1000</f>
        <v>0.56200000000000006</v>
      </c>
      <c r="O79" s="160">
        <f ca="1">Tables!V75/1000</f>
        <v>0.53589364616498303</v>
      </c>
    </row>
    <row r="80" spans="1:15" x14ac:dyDescent="0.25">
      <c r="A80" s="55" t="e">
        <f t="shared" ca="1" si="22"/>
        <v>#N/A</v>
      </c>
      <c r="B80" s="55" t="e">
        <f t="shared" ca="1" si="13"/>
        <v>#N/A</v>
      </c>
      <c r="C80" s="55" t="e">
        <f t="shared" ca="1" si="14"/>
        <v>#N/A</v>
      </c>
      <c r="D80" s="55" t="e">
        <f t="shared" ca="1" si="15"/>
        <v>#N/A</v>
      </c>
      <c r="E80" s="120">
        <f t="shared" ca="1" si="23"/>
        <v>998</v>
      </c>
      <c r="F80" s="56">
        <f t="shared" ca="1" si="24"/>
        <v>236</v>
      </c>
      <c r="G80" s="56">
        <f t="shared" ca="1" si="16"/>
        <v>23.700000000000003</v>
      </c>
      <c r="H80" s="116">
        <f t="shared" ca="1" si="17"/>
        <v>24.262000000000004</v>
      </c>
      <c r="I80" s="57" t="str">
        <f t="shared" ca="1" si="18"/>
        <v>0.562 + 23.700</v>
      </c>
      <c r="J80" s="131">
        <f t="shared" ca="1" si="25"/>
        <v>2.951999999999984</v>
      </c>
      <c r="K80" s="122" t="str">
        <f t="shared" ca="1" si="19"/>
        <v/>
      </c>
      <c r="L80" s="130" t="str">
        <f t="shared" ca="1" si="20"/>
        <v/>
      </c>
      <c r="M80" s="126">
        <f t="shared" ca="1" si="21"/>
        <v>995</v>
      </c>
      <c r="N80" s="58">
        <f ca="1">Tables!U76/1000</f>
        <v>0.56200000000000006</v>
      </c>
      <c r="O80" s="160">
        <f ca="1">Tables!V76/1000</f>
        <v>0.53589364616498303</v>
      </c>
    </row>
    <row r="81" spans="1:15" x14ac:dyDescent="0.25">
      <c r="A81" s="55" t="e">
        <f t="shared" ca="1" si="22"/>
        <v>#N/A</v>
      </c>
      <c r="B81" s="55" t="e">
        <f t="shared" ca="1" si="13"/>
        <v>#N/A</v>
      </c>
      <c r="C81" s="55" t="e">
        <f t="shared" ca="1" si="14"/>
        <v>#N/A</v>
      </c>
      <c r="D81" s="55" t="e">
        <f t="shared" ca="1" si="15"/>
        <v>#N/A</v>
      </c>
      <c r="E81" s="120">
        <f t="shared" ca="1" si="23"/>
        <v>998</v>
      </c>
      <c r="F81" s="56">
        <f t="shared" ca="1" si="24"/>
        <v>236</v>
      </c>
      <c r="G81" s="56">
        <f t="shared" ca="1" si="16"/>
        <v>23.700000000000003</v>
      </c>
      <c r="H81" s="116">
        <f t="shared" ca="1" si="17"/>
        <v>24.319000000000003</v>
      </c>
      <c r="I81" s="57" t="str">
        <f t="shared" ca="1" si="18"/>
        <v>0.619 + 23.700</v>
      </c>
      <c r="J81" s="131">
        <f t="shared" ca="1" si="25"/>
        <v>2.7239999999999895</v>
      </c>
      <c r="K81" s="122" t="str">
        <f t="shared" ca="1" si="19"/>
        <v/>
      </c>
      <c r="L81" s="130" t="str">
        <f t="shared" ca="1" si="20"/>
        <v/>
      </c>
      <c r="M81" s="126">
        <f t="shared" ca="1" si="21"/>
        <v>995</v>
      </c>
      <c r="N81" s="58">
        <f ca="1">Tables!U77/1000</f>
        <v>0.61899999999999999</v>
      </c>
      <c r="O81" s="160">
        <f ca="1">Tables!V77/1000</f>
        <v>0.58981183440144691</v>
      </c>
    </row>
    <row r="82" spans="1:15" x14ac:dyDescent="0.25">
      <c r="A82" s="55" t="e">
        <f t="shared" ca="1" si="22"/>
        <v>#N/A</v>
      </c>
      <c r="B82" s="55" t="e">
        <f t="shared" ca="1" si="13"/>
        <v>#N/A</v>
      </c>
      <c r="C82" s="55" t="e">
        <f t="shared" ca="1" si="14"/>
        <v>#N/A</v>
      </c>
      <c r="D82" s="55" t="e">
        <f t="shared" ca="1" si="15"/>
        <v>#N/A</v>
      </c>
      <c r="E82" s="120">
        <f t="shared" ca="1" si="23"/>
        <v>998</v>
      </c>
      <c r="F82" s="56">
        <f t="shared" ca="1" si="24"/>
        <v>236</v>
      </c>
      <c r="G82" s="56">
        <f t="shared" ca="1" si="16"/>
        <v>23.700000000000003</v>
      </c>
      <c r="H82" s="116">
        <f t="shared" ca="1" si="17"/>
        <v>24.319000000000003</v>
      </c>
      <c r="I82" s="57" t="str">
        <f t="shared" ca="1" si="18"/>
        <v>0.619 + 23.700</v>
      </c>
      <c r="J82" s="131">
        <f t="shared" ca="1" si="25"/>
        <v>2.7239999999999895</v>
      </c>
      <c r="K82" s="122" t="str">
        <f t="shared" ca="1" si="19"/>
        <v/>
      </c>
      <c r="L82" s="130" t="str">
        <f t="shared" ca="1" si="20"/>
        <v/>
      </c>
      <c r="M82" s="126">
        <f t="shared" ca="1" si="21"/>
        <v>995</v>
      </c>
      <c r="N82" s="58">
        <f ca="1">Tables!U78/1000</f>
        <v>0.61899999999999999</v>
      </c>
      <c r="O82" s="160">
        <f ca="1">Tables!V78/1000</f>
        <v>0.58981183440144691</v>
      </c>
    </row>
    <row r="83" spans="1:15" x14ac:dyDescent="0.25">
      <c r="A83" s="55" t="e">
        <f t="shared" ca="1" si="22"/>
        <v>#N/A</v>
      </c>
      <c r="B83" s="55" t="e">
        <f t="shared" ca="1" si="13"/>
        <v>#N/A</v>
      </c>
      <c r="C83" s="55" t="e">
        <f t="shared" ca="1" si="14"/>
        <v>#N/A</v>
      </c>
      <c r="D83" s="55" t="e">
        <f t="shared" ca="1" si="15"/>
        <v>#N/A</v>
      </c>
      <c r="E83" s="120">
        <f t="shared" ca="1" si="23"/>
        <v>998</v>
      </c>
      <c r="F83" s="56">
        <f t="shared" ca="1" si="24"/>
        <v>236</v>
      </c>
      <c r="G83" s="56">
        <f t="shared" ca="1" si="16"/>
        <v>23.700000000000003</v>
      </c>
      <c r="H83" s="116">
        <f t="shared" ca="1" si="17"/>
        <v>24.319000000000003</v>
      </c>
      <c r="I83" s="57" t="str">
        <f t="shared" ca="1" si="18"/>
        <v>0.619 + 23.700</v>
      </c>
      <c r="J83" s="131">
        <f t="shared" ca="1" si="25"/>
        <v>2.7239999999999895</v>
      </c>
      <c r="K83" s="122" t="str">
        <f t="shared" ca="1" si="19"/>
        <v/>
      </c>
      <c r="L83" s="130" t="str">
        <f t="shared" ca="1" si="20"/>
        <v/>
      </c>
      <c r="M83" s="126">
        <f t="shared" ca="1" si="21"/>
        <v>995</v>
      </c>
      <c r="N83" s="58">
        <f ca="1">Tables!U79/1000</f>
        <v>0.61899999999999999</v>
      </c>
      <c r="O83" s="160">
        <f ca="1">Tables!V79/1000</f>
        <v>0.58981183440144691</v>
      </c>
    </row>
    <row r="84" spans="1:15" x14ac:dyDescent="0.25">
      <c r="A84" s="55" t="e">
        <f t="shared" ca="1" si="22"/>
        <v>#N/A</v>
      </c>
      <c r="B84" s="55" t="e">
        <f t="shared" ca="1" si="13"/>
        <v>#N/A</v>
      </c>
      <c r="C84" s="55" t="e">
        <f t="shared" ca="1" si="14"/>
        <v>#N/A</v>
      </c>
      <c r="D84" s="55" t="e">
        <f t="shared" ca="1" si="15"/>
        <v>#N/A</v>
      </c>
      <c r="E84" s="120">
        <f t="shared" ca="1" si="23"/>
        <v>998</v>
      </c>
      <c r="F84" s="56">
        <f t="shared" ca="1" si="24"/>
        <v>236</v>
      </c>
      <c r="G84" s="56">
        <f t="shared" ca="1" si="16"/>
        <v>23.700000000000003</v>
      </c>
      <c r="H84" s="116">
        <f t="shared" ca="1" si="17"/>
        <v>24.319000000000003</v>
      </c>
      <c r="I84" s="57" t="str">
        <f t="shared" ca="1" si="18"/>
        <v>0.619 + 23.700</v>
      </c>
      <c r="J84" s="131">
        <f t="shared" ca="1" si="25"/>
        <v>2.7239999999999895</v>
      </c>
      <c r="K84" s="122" t="str">
        <f t="shared" ca="1" si="19"/>
        <v/>
      </c>
      <c r="L84" s="130" t="str">
        <f t="shared" ca="1" si="20"/>
        <v/>
      </c>
      <c r="M84" s="126">
        <f t="shared" ca="1" si="21"/>
        <v>995</v>
      </c>
      <c r="N84" s="58">
        <f ca="1">Tables!U80/1000</f>
        <v>0.61899999999999999</v>
      </c>
      <c r="O84" s="160">
        <f ca="1">Tables!V80/1000</f>
        <v>0.58981183440144691</v>
      </c>
    </row>
    <row r="85" spans="1:15" x14ac:dyDescent="0.25">
      <c r="A85" s="55" t="e">
        <f t="shared" ca="1" si="22"/>
        <v>#N/A</v>
      </c>
      <c r="B85" s="55" t="e">
        <f t="shared" ca="1" si="13"/>
        <v>#N/A</v>
      </c>
      <c r="C85" s="55" t="e">
        <f t="shared" ca="1" si="14"/>
        <v>#N/A</v>
      </c>
      <c r="D85" s="55" t="e">
        <f t="shared" ca="1" si="15"/>
        <v>#N/A</v>
      </c>
      <c r="E85" s="120">
        <f t="shared" ca="1" si="23"/>
        <v>998</v>
      </c>
      <c r="F85" s="56">
        <f t="shared" ca="1" si="24"/>
        <v>236</v>
      </c>
      <c r="G85" s="56">
        <f t="shared" ca="1" si="16"/>
        <v>23.700000000000003</v>
      </c>
      <c r="H85" s="116">
        <f t="shared" ca="1" si="17"/>
        <v>24.381000000000004</v>
      </c>
      <c r="I85" s="57" t="str">
        <f t="shared" ca="1" si="18"/>
        <v>0.681 + 23.700</v>
      </c>
      <c r="J85" s="131">
        <f t="shared" ca="1" si="25"/>
        <v>2.4759999999999849</v>
      </c>
      <c r="K85" s="122" t="str">
        <f t="shared" ca="1" si="19"/>
        <v/>
      </c>
      <c r="L85" s="130" t="str">
        <f t="shared" ca="1" si="20"/>
        <v/>
      </c>
      <c r="M85" s="126">
        <f t="shared" ca="1" si="21"/>
        <v>995</v>
      </c>
      <c r="N85" s="58">
        <f ca="1">Tables!U81/1000</f>
        <v>0.68100000000000005</v>
      </c>
      <c r="O85" s="160">
        <f ca="1">Tables!V81/1000</f>
        <v>0.64926034839654279</v>
      </c>
    </row>
    <row r="86" spans="1:15" x14ac:dyDescent="0.25">
      <c r="A86" s="55" t="e">
        <f t="shared" ca="1" si="22"/>
        <v>#N/A</v>
      </c>
      <c r="B86" s="55" t="e">
        <f t="shared" ca="1" si="13"/>
        <v>#N/A</v>
      </c>
      <c r="C86" s="55" t="e">
        <f t="shared" ca="1" si="14"/>
        <v>#N/A</v>
      </c>
      <c r="D86" s="55" t="e">
        <f t="shared" ca="1" si="15"/>
        <v>#N/A</v>
      </c>
      <c r="E86" s="120">
        <f t="shared" ca="1" si="23"/>
        <v>998</v>
      </c>
      <c r="F86" s="56">
        <f t="shared" ca="1" si="24"/>
        <v>236</v>
      </c>
      <c r="G86" s="56">
        <f t="shared" ca="1" si="16"/>
        <v>23.700000000000003</v>
      </c>
      <c r="H86" s="116">
        <f t="shared" ca="1" si="17"/>
        <v>24.381000000000004</v>
      </c>
      <c r="I86" s="57" t="str">
        <f t="shared" ca="1" si="18"/>
        <v>0.681 + 23.700</v>
      </c>
      <c r="J86" s="131">
        <f t="shared" ca="1" si="25"/>
        <v>2.4759999999999849</v>
      </c>
      <c r="K86" s="122" t="str">
        <f t="shared" ca="1" si="19"/>
        <v/>
      </c>
      <c r="L86" s="130" t="str">
        <f t="shared" ca="1" si="20"/>
        <v/>
      </c>
      <c r="M86" s="126">
        <f t="shared" ca="1" si="21"/>
        <v>995</v>
      </c>
      <c r="N86" s="58">
        <f ca="1">Tables!U82/1000</f>
        <v>0.68100000000000005</v>
      </c>
      <c r="O86" s="160">
        <f ca="1">Tables!V82/1000</f>
        <v>0.64926034839654279</v>
      </c>
    </row>
    <row r="87" spans="1:15" x14ac:dyDescent="0.25">
      <c r="A87" s="55" t="e">
        <f t="shared" ca="1" si="22"/>
        <v>#N/A</v>
      </c>
      <c r="B87" s="55" t="e">
        <f t="shared" ca="1" si="13"/>
        <v>#N/A</v>
      </c>
      <c r="C87" s="55" t="e">
        <f t="shared" ca="1" si="14"/>
        <v>#N/A</v>
      </c>
      <c r="D87" s="55" t="e">
        <f t="shared" ca="1" si="15"/>
        <v>#N/A</v>
      </c>
      <c r="E87" s="120">
        <f t="shared" ca="1" si="23"/>
        <v>998</v>
      </c>
      <c r="F87" s="56">
        <f t="shared" ca="1" si="24"/>
        <v>236</v>
      </c>
      <c r="G87" s="56">
        <f t="shared" ca="1" si="16"/>
        <v>23.700000000000003</v>
      </c>
      <c r="H87" s="116">
        <f t="shared" ca="1" si="17"/>
        <v>24.381000000000004</v>
      </c>
      <c r="I87" s="57" t="str">
        <f t="shared" ca="1" si="18"/>
        <v>0.681 + 23.700</v>
      </c>
      <c r="J87" s="131">
        <f t="shared" ca="1" si="25"/>
        <v>2.4759999999999849</v>
      </c>
      <c r="K87" s="122" t="str">
        <f t="shared" ca="1" si="19"/>
        <v/>
      </c>
      <c r="L87" s="130" t="str">
        <f t="shared" ca="1" si="20"/>
        <v/>
      </c>
      <c r="M87" s="126">
        <f t="shared" ca="1" si="21"/>
        <v>995</v>
      </c>
      <c r="N87" s="58">
        <f ca="1">Tables!U83/1000</f>
        <v>0.68100000000000005</v>
      </c>
      <c r="O87" s="160">
        <f ca="1">Tables!V83/1000</f>
        <v>0.64926034839654279</v>
      </c>
    </row>
    <row r="88" spans="1:15" x14ac:dyDescent="0.25">
      <c r="A88" s="55" t="e">
        <f t="shared" ca="1" si="22"/>
        <v>#N/A</v>
      </c>
      <c r="B88" s="55" t="e">
        <f t="shared" ca="1" si="13"/>
        <v>#N/A</v>
      </c>
      <c r="C88" s="55" t="e">
        <f t="shared" ca="1" si="14"/>
        <v>#N/A</v>
      </c>
      <c r="D88" s="55" t="e">
        <f t="shared" ca="1" si="15"/>
        <v>#N/A</v>
      </c>
      <c r="E88" s="120">
        <f t="shared" ca="1" si="23"/>
        <v>998</v>
      </c>
      <c r="F88" s="56">
        <f t="shared" ca="1" si="24"/>
        <v>236</v>
      </c>
      <c r="G88" s="56">
        <f t="shared" ca="1" si="16"/>
        <v>23.700000000000003</v>
      </c>
      <c r="H88" s="116">
        <f t="shared" ca="1" si="17"/>
        <v>24.381000000000004</v>
      </c>
      <c r="I88" s="57" t="str">
        <f t="shared" ca="1" si="18"/>
        <v>0.681 + 23.700</v>
      </c>
      <c r="J88" s="131">
        <f t="shared" ca="1" si="25"/>
        <v>2.4759999999999849</v>
      </c>
      <c r="K88" s="122" t="str">
        <f t="shared" ca="1" si="19"/>
        <v/>
      </c>
      <c r="L88" s="130" t="str">
        <f t="shared" ca="1" si="20"/>
        <v/>
      </c>
      <c r="M88" s="126">
        <f t="shared" ca="1" si="21"/>
        <v>995</v>
      </c>
      <c r="N88" s="58">
        <f ca="1">Tables!U84/1000</f>
        <v>0.68100000000000005</v>
      </c>
      <c r="O88" s="160">
        <f ca="1">Tables!V84/1000</f>
        <v>0.64926034839654279</v>
      </c>
    </row>
    <row r="89" spans="1:15" x14ac:dyDescent="0.25">
      <c r="A89" s="55" t="e">
        <f t="shared" ca="1" si="22"/>
        <v>#N/A</v>
      </c>
      <c r="B89" s="55" t="e">
        <f t="shared" ca="1" si="13"/>
        <v>#N/A</v>
      </c>
      <c r="C89" s="55" t="e">
        <f t="shared" ca="1" si="14"/>
        <v>#N/A</v>
      </c>
      <c r="D89" s="55" t="e">
        <f t="shared" ca="1" si="15"/>
        <v>#N/A</v>
      </c>
      <c r="E89" s="120">
        <f t="shared" ca="1" si="23"/>
        <v>998</v>
      </c>
      <c r="F89" s="56">
        <f t="shared" ca="1" si="24"/>
        <v>236</v>
      </c>
      <c r="G89" s="56">
        <f t="shared" ca="1" si="16"/>
        <v>23.700000000000003</v>
      </c>
      <c r="H89" s="116">
        <f t="shared" ca="1" si="17"/>
        <v>24.450000000000003</v>
      </c>
      <c r="I89" s="57" t="str">
        <f t="shared" ca="1" si="18"/>
        <v>0.750 + 23.700</v>
      </c>
      <c r="J89" s="131">
        <f t="shared" ca="1" si="25"/>
        <v>2.1999999999999886</v>
      </c>
      <c r="K89" s="122" t="str">
        <f t="shared" ca="1" si="19"/>
        <v/>
      </c>
      <c r="L89" s="130" t="str">
        <f t="shared" ca="1" si="20"/>
        <v/>
      </c>
      <c r="M89" s="126">
        <f t="shared" ca="1" si="21"/>
        <v>995</v>
      </c>
      <c r="N89" s="58">
        <f ca="1">Tables!U85/1000</f>
        <v>0.75</v>
      </c>
      <c r="O89" s="160">
        <f ca="1">Tables!V85/1000</f>
        <v>0.71466775497429569</v>
      </c>
    </row>
    <row r="90" spans="1:15" x14ac:dyDescent="0.25">
      <c r="A90" s="55" t="e">
        <f t="shared" ca="1" si="22"/>
        <v>#N/A</v>
      </c>
      <c r="B90" s="55" t="e">
        <f t="shared" ca="1" si="13"/>
        <v>#N/A</v>
      </c>
      <c r="C90" s="55" t="e">
        <f t="shared" ca="1" si="14"/>
        <v>#N/A</v>
      </c>
      <c r="D90" s="55" t="e">
        <f t="shared" ca="1" si="15"/>
        <v>#N/A</v>
      </c>
      <c r="E90" s="120">
        <f t="shared" ca="1" si="23"/>
        <v>998</v>
      </c>
      <c r="F90" s="56">
        <f t="shared" ca="1" si="24"/>
        <v>236</v>
      </c>
      <c r="G90" s="56">
        <f t="shared" ca="1" si="16"/>
        <v>23.700000000000003</v>
      </c>
      <c r="H90" s="116">
        <f t="shared" ca="1" si="17"/>
        <v>24.450000000000003</v>
      </c>
      <c r="I90" s="57" t="str">
        <f t="shared" ca="1" si="18"/>
        <v>0.750 + 23.700</v>
      </c>
      <c r="J90" s="131">
        <f t="shared" ca="1" si="25"/>
        <v>2.1999999999999886</v>
      </c>
      <c r="K90" s="122" t="str">
        <f t="shared" ca="1" si="19"/>
        <v/>
      </c>
      <c r="L90" s="130" t="str">
        <f t="shared" ca="1" si="20"/>
        <v/>
      </c>
      <c r="M90" s="126">
        <f t="shared" ca="1" si="21"/>
        <v>995</v>
      </c>
      <c r="N90" s="58">
        <f ca="1">Tables!U86/1000</f>
        <v>0.75</v>
      </c>
      <c r="O90" s="160">
        <f ca="1">Tables!V86/1000</f>
        <v>0.71466775497429569</v>
      </c>
    </row>
    <row r="91" spans="1:15" x14ac:dyDescent="0.25">
      <c r="A91" s="55" t="e">
        <f t="shared" ca="1" si="22"/>
        <v>#N/A</v>
      </c>
      <c r="B91" s="55" t="e">
        <f t="shared" ca="1" si="13"/>
        <v>#N/A</v>
      </c>
      <c r="C91" s="55" t="e">
        <f t="shared" ca="1" si="14"/>
        <v>#N/A</v>
      </c>
      <c r="D91" s="55" t="e">
        <f t="shared" ca="1" si="15"/>
        <v>#N/A</v>
      </c>
      <c r="E91" s="120">
        <f t="shared" ca="1" si="23"/>
        <v>998</v>
      </c>
      <c r="F91" s="56">
        <f t="shared" ca="1" si="24"/>
        <v>236</v>
      </c>
      <c r="G91" s="56">
        <f t="shared" ca="1" si="16"/>
        <v>23.700000000000003</v>
      </c>
      <c r="H91" s="116">
        <f t="shared" ca="1" si="17"/>
        <v>24.450000000000003</v>
      </c>
      <c r="I91" s="57" t="str">
        <f t="shared" ca="1" si="18"/>
        <v>0.750 + 23.700</v>
      </c>
      <c r="J91" s="131">
        <f t="shared" ca="1" si="25"/>
        <v>2.1999999999999886</v>
      </c>
      <c r="K91" s="122" t="str">
        <f t="shared" ca="1" si="19"/>
        <v/>
      </c>
      <c r="L91" s="130" t="str">
        <f t="shared" ca="1" si="20"/>
        <v/>
      </c>
      <c r="M91" s="126">
        <f t="shared" ca="1" si="21"/>
        <v>995</v>
      </c>
      <c r="N91" s="58">
        <f ca="1">Tables!U87/1000</f>
        <v>0.75</v>
      </c>
      <c r="O91" s="160">
        <f ca="1">Tables!V87/1000</f>
        <v>0.71466775497429569</v>
      </c>
    </row>
    <row r="92" spans="1:15" x14ac:dyDescent="0.25">
      <c r="A92" s="55" t="e">
        <f t="shared" ca="1" si="22"/>
        <v>#N/A</v>
      </c>
      <c r="B92" s="55" t="e">
        <f t="shared" ca="1" si="13"/>
        <v>#N/A</v>
      </c>
      <c r="C92" s="55" t="e">
        <f t="shared" ca="1" si="14"/>
        <v>#N/A</v>
      </c>
      <c r="D92" s="55" t="e">
        <f t="shared" ca="1" si="15"/>
        <v>#N/A</v>
      </c>
      <c r="E92" s="120">
        <f t="shared" ca="1" si="23"/>
        <v>998</v>
      </c>
      <c r="F92" s="56">
        <f t="shared" ca="1" si="24"/>
        <v>236</v>
      </c>
      <c r="G92" s="56">
        <f t="shared" ca="1" si="16"/>
        <v>23.700000000000003</v>
      </c>
      <c r="H92" s="116">
        <f t="shared" ca="1" si="17"/>
        <v>24.450000000000003</v>
      </c>
      <c r="I92" s="57" t="str">
        <f t="shared" ca="1" si="18"/>
        <v>0.750 + 23.700</v>
      </c>
      <c r="J92" s="131">
        <f t="shared" ca="1" si="25"/>
        <v>2.1999999999999886</v>
      </c>
      <c r="K92" s="122" t="str">
        <f t="shared" ca="1" si="19"/>
        <v/>
      </c>
      <c r="L92" s="130" t="str">
        <f t="shared" ca="1" si="20"/>
        <v/>
      </c>
      <c r="M92" s="126">
        <f t="shared" ca="1" si="21"/>
        <v>995</v>
      </c>
      <c r="N92" s="58">
        <f ca="1">Tables!U88/1000</f>
        <v>0.75</v>
      </c>
      <c r="O92" s="160">
        <f ca="1">Tables!V88/1000</f>
        <v>0.71466775497429569</v>
      </c>
    </row>
    <row r="93" spans="1:15" x14ac:dyDescent="0.25">
      <c r="A93" s="55" t="e">
        <f t="shared" ca="1" si="22"/>
        <v>#N/A</v>
      </c>
      <c r="B93" s="55" t="e">
        <f t="shared" ca="1" si="13"/>
        <v>#N/A</v>
      </c>
      <c r="C93" s="55" t="e">
        <f t="shared" ca="1" si="14"/>
        <v>#N/A</v>
      </c>
      <c r="D93" s="55" t="e">
        <f t="shared" ca="1" si="15"/>
        <v>#N/A</v>
      </c>
      <c r="E93" s="120">
        <f t="shared" ca="1" si="23"/>
        <v>998</v>
      </c>
      <c r="F93" s="56">
        <f t="shared" ca="1" si="24"/>
        <v>236</v>
      </c>
      <c r="G93" s="56">
        <f t="shared" ca="1" si="16"/>
        <v>23.700000000000003</v>
      </c>
      <c r="H93" s="116">
        <f t="shared" ca="1" si="17"/>
        <v>24.525000000000002</v>
      </c>
      <c r="I93" s="57" t="str">
        <f t="shared" ca="1" si="18"/>
        <v>0.825 + 23.700</v>
      </c>
      <c r="J93" s="131">
        <f t="shared" ca="1" si="25"/>
        <v>1.8999999999999915</v>
      </c>
      <c r="K93" s="122" t="str">
        <f t="shared" ca="1" si="19"/>
        <v/>
      </c>
      <c r="L93" s="130" t="str">
        <f t="shared" ca="1" si="20"/>
        <v/>
      </c>
      <c r="M93" s="126">
        <f t="shared" ca="1" si="21"/>
        <v>995</v>
      </c>
      <c r="N93" s="58">
        <f ca="1">Tables!U89/1000</f>
        <v>0.82499999999999996</v>
      </c>
      <c r="O93" s="160">
        <f ca="1">Tables!V89/1000</f>
        <v>0.78660663612761372</v>
      </c>
    </row>
    <row r="94" spans="1:15" x14ac:dyDescent="0.25">
      <c r="A94" s="55" t="e">
        <f t="shared" ca="1" si="22"/>
        <v>#N/A</v>
      </c>
      <c r="B94" s="55" t="e">
        <f t="shared" ca="1" si="13"/>
        <v>#N/A</v>
      </c>
      <c r="C94" s="55" t="e">
        <f t="shared" ca="1" si="14"/>
        <v>#N/A</v>
      </c>
      <c r="D94" s="55" t="e">
        <f t="shared" ca="1" si="15"/>
        <v>#N/A</v>
      </c>
      <c r="E94" s="120">
        <f t="shared" ca="1" si="23"/>
        <v>998</v>
      </c>
      <c r="F94" s="56">
        <f t="shared" ca="1" si="24"/>
        <v>236</v>
      </c>
      <c r="G94" s="56">
        <f t="shared" ca="1" si="16"/>
        <v>23.700000000000003</v>
      </c>
      <c r="H94" s="116">
        <f t="shared" ca="1" si="17"/>
        <v>24.525000000000002</v>
      </c>
      <c r="I94" s="57" t="str">
        <f t="shared" ca="1" si="18"/>
        <v>0.825 + 23.700</v>
      </c>
      <c r="J94" s="131">
        <f t="shared" ca="1" si="25"/>
        <v>1.8999999999999915</v>
      </c>
      <c r="K94" s="122" t="str">
        <f t="shared" ca="1" si="19"/>
        <v/>
      </c>
      <c r="L94" s="130" t="str">
        <f t="shared" ca="1" si="20"/>
        <v/>
      </c>
      <c r="M94" s="126">
        <f t="shared" ca="1" si="21"/>
        <v>995</v>
      </c>
      <c r="N94" s="58">
        <f ca="1">Tables!U90/1000</f>
        <v>0.82499999999999996</v>
      </c>
      <c r="O94" s="160">
        <f ca="1">Tables!V90/1000</f>
        <v>0.78660663612761372</v>
      </c>
    </row>
    <row r="95" spans="1:15" x14ac:dyDescent="0.25">
      <c r="A95" s="55" t="e">
        <f t="shared" ca="1" si="22"/>
        <v>#N/A</v>
      </c>
      <c r="B95" s="55" t="e">
        <f t="shared" ca="1" si="13"/>
        <v>#N/A</v>
      </c>
      <c r="C95" s="55" t="e">
        <f t="shared" ca="1" si="14"/>
        <v>#N/A</v>
      </c>
      <c r="D95" s="55" t="e">
        <f t="shared" ca="1" si="15"/>
        <v>#N/A</v>
      </c>
      <c r="E95" s="120">
        <f t="shared" ca="1" si="23"/>
        <v>998</v>
      </c>
      <c r="F95" s="56">
        <f t="shared" ca="1" si="24"/>
        <v>236</v>
      </c>
      <c r="G95" s="56">
        <f t="shared" ca="1" si="16"/>
        <v>23.700000000000003</v>
      </c>
      <c r="H95" s="116">
        <f t="shared" ca="1" si="17"/>
        <v>24.525000000000002</v>
      </c>
      <c r="I95" s="57" t="str">
        <f t="shared" ca="1" si="18"/>
        <v>0.825 + 23.700</v>
      </c>
      <c r="J95" s="131">
        <f t="shared" ca="1" si="25"/>
        <v>1.8999999999999915</v>
      </c>
      <c r="K95" s="122" t="str">
        <f t="shared" ca="1" si="19"/>
        <v/>
      </c>
      <c r="L95" s="130" t="str">
        <f t="shared" ca="1" si="20"/>
        <v/>
      </c>
      <c r="M95" s="126">
        <f t="shared" ca="1" si="21"/>
        <v>995</v>
      </c>
      <c r="N95" s="58">
        <f ca="1">Tables!U91/1000</f>
        <v>0.82499999999999996</v>
      </c>
      <c r="O95" s="160">
        <f ca="1">Tables!V91/1000</f>
        <v>0.78660663612761372</v>
      </c>
    </row>
    <row r="96" spans="1:15" x14ac:dyDescent="0.25">
      <c r="A96" s="55" t="e">
        <f t="shared" ca="1" si="22"/>
        <v>#N/A</v>
      </c>
      <c r="B96" s="55" t="e">
        <f t="shared" ca="1" si="13"/>
        <v>#N/A</v>
      </c>
      <c r="C96" s="55" t="e">
        <f t="shared" ca="1" si="14"/>
        <v>#N/A</v>
      </c>
      <c r="D96" s="55" t="e">
        <f t="shared" ca="1" si="15"/>
        <v>#N/A</v>
      </c>
      <c r="E96" s="120">
        <f t="shared" ca="1" si="23"/>
        <v>998</v>
      </c>
      <c r="F96" s="56">
        <f t="shared" ca="1" si="24"/>
        <v>236</v>
      </c>
      <c r="G96" s="56">
        <f t="shared" ca="1" si="16"/>
        <v>23.700000000000003</v>
      </c>
      <c r="H96" s="116">
        <f t="shared" ca="1" si="17"/>
        <v>24.525000000000002</v>
      </c>
      <c r="I96" s="57" t="str">
        <f t="shared" ca="1" si="18"/>
        <v>0.825 + 23.700</v>
      </c>
      <c r="J96" s="131">
        <f t="shared" ca="1" si="25"/>
        <v>1.8999999999999915</v>
      </c>
      <c r="K96" s="122" t="str">
        <f t="shared" ca="1" si="19"/>
        <v/>
      </c>
      <c r="L96" s="130" t="str">
        <f t="shared" ca="1" si="20"/>
        <v/>
      </c>
      <c r="M96" s="126">
        <f t="shared" ca="1" si="21"/>
        <v>995</v>
      </c>
      <c r="N96" s="58">
        <f ca="1">Tables!U92/1000</f>
        <v>0.82499999999999996</v>
      </c>
      <c r="O96" s="160">
        <f ca="1">Tables!V92/1000</f>
        <v>0.78660663612761372</v>
      </c>
    </row>
    <row r="97" spans="1:15" x14ac:dyDescent="0.25">
      <c r="A97" s="55" t="e">
        <f t="shared" ca="1" si="22"/>
        <v>#N/A</v>
      </c>
      <c r="B97" s="55" t="e">
        <f t="shared" ca="1" si="13"/>
        <v>#N/A</v>
      </c>
      <c r="C97" s="55" t="e">
        <f t="shared" ca="1" si="14"/>
        <v>#N/A</v>
      </c>
      <c r="D97" s="55" t="e">
        <f t="shared" ca="1" si="15"/>
        <v>#N/A</v>
      </c>
      <c r="E97" s="120">
        <f t="shared" ca="1" si="23"/>
        <v>998</v>
      </c>
      <c r="F97" s="56">
        <f t="shared" ca="1" si="24"/>
        <v>236</v>
      </c>
      <c r="G97" s="56">
        <f t="shared" ca="1" si="16"/>
        <v>23.700000000000003</v>
      </c>
      <c r="H97" s="116">
        <f t="shared" ca="1" si="17"/>
        <v>24.609000000000002</v>
      </c>
      <c r="I97" s="57" t="str">
        <f t="shared" ca="1" si="18"/>
        <v>0.909 + 23.700</v>
      </c>
      <c r="J97" s="131">
        <f t="shared" ca="1" si="25"/>
        <v>1.563999999999993</v>
      </c>
      <c r="K97" s="122" t="str">
        <f t="shared" ca="1" si="19"/>
        <v/>
      </c>
      <c r="L97" s="130" t="str">
        <f t="shared" ca="1" si="20"/>
        <v/>
      </c>
      <c r="M97" s="126">
        <f t="shared" ca="1" si="21"/>
        <v>995</v>
      </c>
      <c r="N97" s="58">
        <f ca="1">Tables!U93/1000</f>
        <v>0.90900000000000003</v>
      </c>
      <c r="O97" s="160">
        <f ca="1">Tables!V93/1000</f>
        <v>0.86598210143166365</v>
      </c>
    </row>
    <row r="98" spans="1:15" x14ac:dyDescent="0.25">
      <c r="A98" s="55" t="e">
        <f t="shared" ca="1" si="22"/>
        <v>#N/A</v>
      </c>
      <c r="B98" s="55" t="e">
        <f t="shared" ca="1" si="13"/>
        <v>#N/A</v>
      </c>
      <c r="C98" s="55" t="e">
        <f t="shared" ca="1" si="14"/>
        <v>#N/A</v>
      </c>
      <c r="D98" s="55" t="e">
        <f t="shared" ca="1" si="15"/>
        <v>#N/A</v>
      </c>
      <c r="E98" s="120">
        <f t="shared" ca="1" si="23"/>
        <v>998</v>
      </c>
      <c r="F98" s="56">
        <f t="shared" ca="1" si="24"/>
        <v>236</v>
      </c>
      <c r="G98" s="56">
        <f t="shared" ca="1" si="16"/>
        <v>23.700000000000003</v>
      </c>
      <c r="H98" s="116">
        <f t="shared" ca="1" si="17"/>
        <v>24.609000000000002</v>
      </c>
      <c r="I98" s="57" t="str">
        <f t="shared" ca="1" si="18"/>
        <v>0.909 + 23.700</v>
      </c>
      <c r="J98" s="131">
        <f t="shared" ca="1" si="25"/>
        <v>1.563999999999993</v>
      </c>
      <c r="K98" s="122" t="str">
        <f t="shared" ca="1" si="19"/>
        <v/>
      </c>
      <c r="L98" s="130" t="str">
        <f t="shared" ca="1" si="20"/>
        <v/>
      </c>
      <c r="M98" s="126">
        <f t="shared" ca="1" si="21"/>
        <v>995</v>
      </c>
      <c r="N98" s="58">
        <f ca="1">Tables!U94/1000</f>
        <v>0.90900000000000003</v>
      </c>
      <c r="O98" s="160">
        <f ca="1">Tables!V94/1000</f>
        <v>0.86598210143166365</v>
      </c>
    </row>
    <row r="99" spans="1:15" x14ac:dyDescent="0.25">
      <c r="A99" s="55" t="e">
        <f t="shared" ca="1" si="22"/>
        <v>#N/A</v>
      </c>
      <c r="B99" s="55" t="e">
        <f t="shared" ca="1" si="13"/>
        <v>#N/A</v>
      </c>
      <c r="C99" s="55" t="e">
        <f t="shared" ca="1" si="14"/>
        <v>#N/A</v>
      </c>
      <c r="D99" s="55" t="e">
        <f t="shared" ca="1" si="15"/>
        <v>#N/A</v>
      </c>
      <c r="E99" s="120">
        <f t="shared" ca="1" si="23"/>
        <v>998</v>
      </c>
      <c r="F99" s="56">
        <f t="shared" ca="1" si="24"/>
        <v>236</v>
      </c>
      <c r="G99" s="56">
        <f t="shared" ca="1" si="16"/>
        <v>23.700000000000003</v>
      </c>
      <c r="H99" s="116">
        <f t="shared" ca="1" si="17"/>
        <v>24.609000000000002</v>
      </c>
      <c r="I99" s="57" t="str">
        <f t="shared" ca="1" si="18"/>
        <v>0.909 + 23.700</v>
      </c>
      <c r="J99" s="131">
        <f t="shared" ca="1" si="25"/>
        <v>1.563999999999993</v>
      </c>
      <c r="K99" s="122" t="str">
        <f t="shared" ca="1" si="19"/>
        <v/>
      </c>
      <c r="L99" s="130" t="str">
        <f t="shared" ca="1" si="20"/>
        <v/>
      </c>
      <c r="M99" s="126">
        <f t="shared" ca="1" si="21"/>
        <v>995</v>
      </c>
      <c r="N99" s="58">
        <f ca="1">Tables!U95/1000</f>
        <v>0.90900000000000003</v>
      </c>
      <c r="O99" s="160">
        <f ca="1">Tables!V95/1000</f>
        <v>0.86598210143166365</v>
      </c>
    </row>
    <row r="100" spans="1:15" x14ac:dyDescent="0.25">
      <c r="A100" s="55" t="e">
        <f t="shared" ca="1" si="22"/>
        <v>#N/A</v>
      </c>
      <c r="B100" s="55" t="e">
        <f t="shared" ca="1" si="13"/>
        <v>#N/A</v>
      </c>
      <c r="C100" s="55" t="e">
        <f t="shared" ca="1" si="14"/>
        <v>#N/A</v>
      </c>
      <c r="D100" s="55" t="e">
        <f t="shared" ca="1" si="15"/>
        <v>#N/A</v>
      </c>
      <c r="E100" s="120">
        <f t="shared" ca="1" si="23"/>
        <v>998</v>
      </c>
      <c r="F100" s="56">
        <f t="shared" ca="1" si="24"/>
        <v>236</v>
      </c>
      <c r="G100" s="56">
        <f t="shared" ca="1" si="16"/>
        <v>23.700000000000003</v>
      </c>
      <c r="H100" s="116">
        <f t="shared" ca="1" si="17"/>
        <v>24.609000000000002</v>
      </c>
      <c r="I100" s="57" t="str">
        <f t="shared" ca="1" si="18"/>
        <v>0.909 + 23.700</v>
      </c>
      <c r="J100" s="131">
        <f t="shared" ca="1" si="25"/>
        <v>1.563999999999993</v>
      </c>
      <c r="K100" s="122" t="str">
        <f t="shared" ca="1" si="19"/>
        <v/>
      </c>
      <c r="L100" s="130" t="str">
        <f t="shared" ca="1" si="20"/>
        <v/>
      </c>
      <c r="M100" s="126">
        <f t="shared" ca="1" si="21"/>
        <v>995</v>
      </c>
      <c r="N100" s="58">
        <f ca="1">Tables!U96/1000</f>
        <v>0.90900000000000003</v>
      </c>
      <c r="O100" s="160">
        <f ca="1">Tables!V96/1000</f>
        <v>0.86598210143166365</v>
      </c>
    </row>
    <row r="101" spans="1:15" ht="15.75" thickBot="1" x14ac:dyDescent="0.3">
      <c r="A101" s="55" t="e">
        <f t="shared" ca="1" si="22"/>
        <v>#N/A</v>
      </c>
      <c r="B101" s="55" t="e">
        <f t="shared" ca="1" si="13"/>
        <v>#N/A</v>
      </c>
      <c r="C101" s="55" t="e">
        <f t="shared" ca="1" si="14"/>
        <v>#N/A</v>
      </c>
      <c r="D101" s="55" t="e">
        <f t="shared" ca="1" si="15"/>
        <v>#N/A</v>
      </c>
      <c r="E101" s="120">
        <f t="shared" ca="1" si="23"/>
        <v>998</v>
      </c>
      <c r="F101" s="56">
        <f t="shared" ca="1" si="24"/>
        <v>236</v>
      </c>
      <c r="G101" s="56">
        <f t="shared" ca="1" si="16"/>
        <v>23.700000000000003</v>
      </c>
      <c r="H101" s="116">
        <f t="shared" ca="1" si="17"/>
        <v>24.700000000000003</v>
      </c>
      <c r="I101" s="57" t="str">
        <f t="shared" ca="1" si="18"/>
        <v>1.000 + 23.700</v>
      </c>
      <c r="J101" s="131">
        <f t="shared" ca="1" si="25"/>
        <v>1.1999999999999886</v>
      </c>
      <c r="K101" s="122" t="str">
        <f t="shared" ca="1" si="19"/>
        <v/>
      </c>
      <c r="L101" s="130" t="str">
        <f t="shared" ca="1" si="20"/>
        <v/>
      </c>
      <c r="M101" s="126">
        <f t="shared" ca="1" si="21"/>
        <v>995</v>
      </c>
      <c r="N101" s="62">
        <f ca="1">Tables!U97/1000</f>
        <v>1</v>
      </c>
      <c r="O101" s="162">
        <f ca="1">Tables!V97/1000</f>
        <v>0.95341491492424224</v>
      </c>
    </row>
    <row r="102" spans="1:15" ht="15.75" thickTop="1" x14ac:dyDescent="0.25">
      <c r="A102" s="55" t="e">
        <f t="shared" ca="1" si="22"/>
        <v>#N/A</v>
      </c>
      <c r="B102" s="55" t="e">
        <f t="shared" ca="1" si="13"/>
        <v>#N/A</v>
      </c>
      <c r="C102" s="55" t="e">
        <f t="shared" ca="1" si="14"/>
        <v>#N/A</v>
      </c>
      <c r="D102" s="55" t="e">
        <f t="shared" ca="1" si="15"/>
        <v>#N/A</v>
      </c>
      <c r="E102" s="120">
        <f t="shared" ca="1" si="23"/>
        <v>998</v>
      </c>
      <c r="F102" s="56">
        <f t="shared" ca="1" si="24"/>
        <v>236</v>
      </c>
      <c r="G102" s="56">
        <f t="shared" ca="1" si="16"/>
        <v>23.700000000000003</v>
      </c>
      <c r="H102" s="116">
        <f t="shared" ca="1" si="17"/>
        <v>24.700000000000003</v>
      </c>
      <c r="I102" s="57" t="str">
        <f t="shared" ca="1" si="18"/>
        <v>1.000 + 23.700</v>
      </c>
      <c r="J102" s="131">
        <f t="shared" ca="1" si="25"/>
        <v>1.1999999999999886</v>
      </c>
      <c r="K102" s="122" t="str">
        <f t="shared" ca="1" si="19"/>
        <v/>
      </c>
      <c r="L102" s="130" t="str">
        <f t="shared" ca="1" si="20"/>
        <v/>
      </c>
      <c r="M102" s="126">
        <f t="shared" ca="1" si="21"/>
        <v>995</v>
      </c>
      <c r="N102" s="58">
        <f ca="1">N6*10</f>
        <v>1</v>
      </c>
      <c r="O102" s="160">
        <f ca="1">O6*10</f>
        <v>0.95341491492424213</v>
      </c>
    </row>
    <row r="103" spans="1:15" x14ac:dyDescent="0.25">
      <c r="A103" s="55" t="e">
        <f t="shared" ca="1" si="22"/>
        <v>#N/A</v>
      </c>
      <c r="B103" s="55" t="e">
        <f t="shared" ca="1" si="13"/>
        <v>#N/A</v>
      </c>
      <c r="C103" s="55" t="e">
        <f t="shared" ca="1" si="14"/>
        <v>#N/A</v>
      </c>
      <c r="D103" s="55" t="e">
        <f t="shared" ca="1" si="15"/>
        <v>#N/A</v>
      </c>
      <c r="E103" s="120">
        <f t="shared" ca="1" si="23"/>
        <v>998</v>
      </c>
      <c r="F103" s="56">
        <f t="shared" ca="1" si="24"/>
        <v>236</v>
      </c>
      <c r="G103" s="56">
        <f t="shared" ca="1" si="16"/>
        <v>23.700000000000003</v>
      </c>
      <c r="H103" s="116">
        <f t="shared" ca="1" si="17"/>
        <v>24.700000000000003</v>
      </c>
      <c r="I103" s="57" t="str">
        <f t="shared" ca="1" si="18"/>
        <v>1.000 + 23.700</v>
      </c>
      <c r="J103" s="131">
        <f t="shared" ca="1" si="25"/>
        <v>1.1999999999999886</v>
      </c>
      <c r="K103" s="122" t="str">
        <f t="shared" ca="1" si="19"/>
        <v/>
      </c>
      <c r="L103" s="130" t="str">
        <f t="shared" ca="1" si="20"/>
        <v/>
      </c>
      <c r="M103" s="126">
        <f t="shared" ca="1" si="21"/>
        <v>995</v>
      </c>
      <c r="N103" s="58">
        <f ca="1">N7*10</f>
        <v>1</v>
      </c>
      <c r="O103" s="160">
        <f ca="1">O7*10</f>
        <v>0.95341491492424213</v>
      </c>
    </row>
    <row r="104" spans="1:15" x14ac:dyDescent="0.25">
      <c r="A104" s="55" t="e">
        <f t="shared" ca="1" si="22"/>
        <v>#N/A</v>
      </c>
      <c r="B104" s="55" t="e">
        <f t="shared" ca="1" si="13"/>
        <v>#N/A</v>
      </c>
      <c r="C104" s="55" t="e">
        <f t="shared" ca="1" si="14"/>
        <v>#N/A</v>
      </c>
      <c r="D104" s="55" t="e">
        <f t="shared" ca="1" si="15"/>
        <v>#N/A</v>
      </c>
      <c r="E104" s="120">
        <f t="shared" ca="1" si="23"/>
        <v>998</v>
      </c>
      <c r="F104" s="56">
        <f t="shared" ca="1" si="24"/>
        <v>236</v>
      </c>
      <c r="G104" s="56">
        <f t="shared" ca="1" si="16"/>
        <v>23.700000000000003</v>
      </c>
      <c r="H104" s="116">
        <f t="shared" ca="1" si="17"/>
        <v>24.700000000000003</v>
      </c>
      <c r="I104" s="57" t="str">
        <f t="shared" ca="1" si="18"/>
        <v>1.000 + 23.700</v>
      </c>
      <c r="J104" s="131">
        <f t="shared" ca="1" si="25"/>
        <v>1.1999999999999886</v>
      </c>
      <c r="K104" s="122" t="str">
        <f t="shared" ca="1" si="19"/>
        <v/>
      </c>
      <c r="L104" s="130" t="str">
        <f t="shared" ca="1" si="20"/>
        <v/>
      </c>
      <c r="M104" s="126">
        <f t="shared" ca="1" si="21"/>
        <v>995</v>
      </c>
      <c r="N104" s="58">
        <f t="shared" ref="N104:O167" ca="1" si="26">N8*10</f>
        <v>1</v>
      </c>
      <c r="O104" s="160">
        <f t="shared" ca="1" si="26"/>
        <v>0.95341491492424213</v>
      </c>
    </row>
    <row r="105" spans="1:15" x14ac:dyDescent="0.25">
      <c r="A105" s="55" t="e">
        <f t="shared" ca="1" si="22"/>
        <v>#N/A</v>
      </c>
      <c r="B105" s="55" t="e">
        <f t="shared" ca="1" si="13"/>
        <v>#N/A</v>
      </c>
      <c r="C105" s="55" t="e">
        <f t="shared" ca="1" si="14"/>
        <v>#N/A</v>
      </c>
      <c r="D105" s="55" t="e">
        <f t="shared" ca="1" si="15"/>
        <v>#N/A</v>
      </c>
      <c r="E105" s="120">
        <f t="shared" ca="1" si="23"/>
        <v>998</v>
      </c>
      <c r="F105" s="56">
        <f t="shared" ca="1" si="24"/>
        <v>236</v>
      </c>
      <c r="G105" s="56">
        <f t="shared" ca="1" si="16"/>
        <v>23.700000000000003</v>
      </c>
      <c r="H105" s="116">
        <f t="shared" ca="1" si="17"/>
        <v>24.800000000000004</v>
      </c>
      <c r="I105" s="57" t="str">
        <f t="shared" ca="1" si="18"/>
        <v>1.100 + 23.700</v>
      </c>
      <c r="J105" s="131">
        <f t="shared" ca="1" si="25"/>
        <v>0.79999999999998295</v>
      </c>
      <c r="K105" s="122" t="str">
        <f t="shared" ca="1" si="19"/>
        <v>1.100 + 23.700</v>
      </c>
      <c r="L105" s="130">
        <f t="shared" ca="1" si="20"/>
        <v>24.800000000000004</v>
      </c>
      <c r="M105" s="126">
        <f t="shared" ca="1" si="21"/>
        <v>0.79999999999998295</v>
      </c>
      <c r="N105" s="58">
        <f t="shared" ca="1" si="26"/>
        <v>1.1000000000000001</v>
      </c>
      <c r="O105" s="160">
        <f t="shared" ca="1" si="26"/>
        <v>1.0488088481701516</v>
      </c>
    </row>
    <row r="106" spans="1:15" x14ac:dyDescent="0.25">
      <c r="A106" s="55" t="e">
        <f t="shared" ca="1" si="22"/>
        <v>#N/A</v>
      </c>
      <c r="B106" s="55" t="e">
        <f t="shared" ca="1" si="13"/>
        <v>#N/A</v>
      </c>
      <c r="C106" s="55" t="e">
        <f t="shared" ca="1" si="14"/>
        <v>#N/A</v>
      </c>
      <c r="D106" s="55" t="e">
        <f t="shared" ca="1" si="15"/>
        <v>#N/A</v>
      </c>
      <c r="E106" s="120">
        <f t="shared" ca="1" si="23"/>
        <v>998</v>
      </c>
      <c r="F106" s="56">
        <f t="shared" ca="1" si="24"/>
        <v>236</v>
      </c>
      <c r="G106" s="56">
        <f t="shared" ca="1" si="16"/>
        <v>23.700000000000003</v>
      </c>
      <c r="H106" s="116">
        <f t="shared" ca="1" si="17"/>
        <v>24.800000000000004</v>
      </c>
      <c r="I106" s="57" t="str">
        <f t="shared" ca="1" si="18"/>
        <v>1.100 + 23.700</v>
      </c>
      <c r="J106" s="131">
        <f t="shared" ca="1" si="25"/>
        <v>0.79999999999998295</v>
      </c>
      <c r="K106" s="122" t="str">
        <f t="shared" ca="1" si="19"/>
        <v>1.100 + 23.700</v>
      </c>
      <c r="L106" s="130">
        <f t="shared" ca="1" si="20"/>
        <v>24.800000000000004</v>
      </c>
      <c r="M106" s="126">
        <f t="shared" ca="1" si="21"/>
        <v>0.79999999999998295</v>
      </c>
      <c r="N106" s="58">
        <f t="shared" ca="1" si="26"/>
        <v>1.1000000000000001</v>
      </c>
      <c r="O106" s="160">
        <f t="shared" ca="1" si="26"/>
        <v>1.0488088481701516</v>
      </c>
    </row>
    <row r="107" spans="1:15" x14ac:dyDescent="0.25">
      <c r="A107" s="55" t="e">
        <f t="shared" ca="1" si="22"/>
        <v>#N/A</v>
      </c>
      <c r="B107" s="55" t="e">
        <f t="shared" ca="1" si="13"/>
        <v>#N/A</v>
      </c>
      <c r="C107" s="55" t="e">
        <f t="shared" ca="1" si="14"/>
        <v>#N/A</v>
      </c>
      <c r="D107" s="55" t="e">
        <f t="shared" ca="1" si="15"/>
        <v>#N/A</v>
      </c>
      <c r="E107" s="120">
        <f t="shared" ca="1" si="23"/>
        <v>998</v>
      </c>
      <c r="F107" s="56">
        <f t="shared" ca="1" si="24"/>
        <v>236</v>
      </c>
      <c r="G107" s="56">
        <f t="shared" ca="1" si="16"/>
        <v>23.700000000000003</v>
      </c>
      <c r="H107" s="116">
        <f t="shared" ca="1" si="17"/>
        <v>24.800000000000004</v>
      </c>
      <c r="I107" s="57" t="str">
        <f t="shared" ca="1" si="18"/>
        <v>1.100 + 23.700</v>
      </c>
      <c r="J107" s="131">
        <f t="shared" ca="1" si="25"/>
        <v>0.79999999999998295</v>
      </c>
      <c r="K107" s="122" t="str">
        <f t="shared" ca="1" si="19"/>
        <v>1.100 + 23.700</v>
      </c>
      <c r="L107" s="130">
        <f t="shared" ca="1" si="20"/>
        <v>24.800000000000004</v>
      </c>
      <c r="M107" s="126">
        <f t="shared" ca="1" si="21"/>
        <v>0.79999999999998295</v>
      </c>
      <c r="N107" s="58">
        <f t="shared" ca="1" si="26"/>
        <v>1.1000000000000001</v>
      </c>
      <c r="O107" s="160">
        <f t="shared" ca="1" si="26"/>
        <v>1.0488088481701516</v>
      </c>
    </row>
    <row r="108" spans="1:15" x14ac:dyDescent="0.25">
      <c r="A108" s="55" t="e">
        <f t="shared" ca="1" si="22"/>
        <v>#N/A</v>
      </c>
      <c r="B108" s="55" t="e">
        <f t="shared" ca="1" si="13"/>
        <v>#N/A</v>
      </c>
      <c r="C108" s="55" t="e">
        <f t="shared" ca="1" si="14"/>
        <v>#N/A</v>
      </c>
      <c r="D108" s="55" t="e">
        <f t="shared" ca="1" si="15"/>
        <v>#N/A</v>
      </c>
      <c r="E108" s="120">
        <f t="shared" ca="1" si="23"/>
        <v>998</v>
      </c>
      <c r="F108" s="56">
        <f t="shared" ca="1" si="24"/>
        <v>236</v>
      </c>
      <c r="G108" s="56">
        <f t="shared" ca="1" si="16"/>
        <v>23.700000000000003</v>
      </c>
      <c r="H108" s="116">
        <f t="shared" ca="1" si="17"/>
        <v>24.800000000000004</v>
      </c>
      <c r="I108" s="57" t="str">
        <f t="shared" ca="1" si="18"/>
        <v>1.100 + 23.700</v>
      </c>
      <c r="J108" s="131">
        <f t="shared" ca="1" si="25"/>
        <v>0.79999999999998295</v>
      </c>
      <c r="K108" s="122" t="str">
        <f t="shared" ca="1" si="19"/>
        <v>1.100 + 23.700</v>
      </c>
      <c r="L108" s="130">
        <f t="shared" ca="1" si="20"/>
        <v>24.800000000000004</v>
      </c>
      <c r="M108" s="126">
        <f t="shared" ca="1" si="21"/>
        <v>0.79999999999998295</v>
      </c>
      <c r="N108" s="58">
        <f t="shared" ca="1" si="26"/>
        <v>1.1000000000000001</v>
      </c>
      <c r="O108" s="160">
        <f t="shared" ca="1" si="26"/>
        <v>1.0488088481701516</v>
      </c>
    </row>
    <row r="109" spans="1:15" x14ac:dyDescent="0.25">
      <c r="A109" s="55" t="e">
        <f t="shared" ca="1" si="22"/>
        <v>#N/A</v>
      </c>
      <c r="B109" s="55" t="e">
        <f t="shared" ca="1" si="13"/>
        <v>#N/A</v>
      </c>
      <c r="C109" s="55" t="e">
        <f t="shared" ca="1" si="14"/>
        <v>#N/A</v>
      </c>
      <c r="D109" s="55" t="e">
        <f t="shared" ca="1" si="15"/>
        <v>#N/A</v>
      </c>
      <c r="E109" s="120">
        <f t="shared" ca="1" si="23"/>
        <v>998</v>
      </c>
      <c r="F109" s="56">
        <f t="shared" ca="1" si="24"/>
        <v>236</v>
      </c>
      <c r="G109" s="56">
        <f t="shared" ca="1" si="16"/>
        <v>23.700000000000003</v>
      </c>
      <c r="H109" s="116">
        <f t="shared" ca="1" si="17"/>
        <v>24.910000000000004</v>
      </c>
      <c r="I109" s="57" t="str">
        <f t="shared" ca="1" si="18"/>
        <v>1.210 + 23.700</v>
      </c>
      <c r="J109" s="131">
        <f t="shared" ca="1" si="25"/>
        <v>0.35999999999998522</v>
      </c>
      <c r="K109" s="122" t="str">
        <f t="shared" ca="1" si="19"/>
        <v>1.210 + 23.700</v>
      </c>
      <c r="L109" s="130">
        <f t="shared" ca="1" si="20"/>
        <v>24.910000000000004</v>
      </c>
      <c r="M109" s="126">
        <f t="shared" ca="1" si="21"/>
        <v>0.35999999999998522</v>
      </c>
      <c r="N109" s="58">
        <f t="shared" ca="1" si="26"/>
        <v>1.21</v>
      </c>
      <c r="O109" s="160">
        <f t="shared" ca="1" si="26"/>
        <v>1.1536897329871667</v>
      </c>
    </row>
    <row r="110" spans="1:15" x14ac:dyDescent="0.25">
      <c r="A110" s="55" t="e">
        <f t="shared" ca="1" si="22"/>
        <v>#N/A</v>
      </c>
      <c r="B110" s="55" t="e">
        <f t="shared" ca="1" si="13"/>
        <v>#N/A</v>
      </c>
      <c r="C110" s="55" t="e">
        <f t="shared" ca="1" si="14"/>
        <v>#N/A</v>
      </c>
      <c r="D110" s="55" t="e">
        <f t="shared" ca="1" si="15"/>
        <v>#N/A</v>
      </c>
      <c r="E110" s="120">
        <f t="shared" ca="1" si="23"/>
        <v>998</v>
      </c>
      <c r="F110" s="56">
        <f t="shared" ca="1" si="24"/>
        <v>236</v>
      </c>
      <c r="G110" s="56">
        <f t="shared" ca="1" si="16"/>
        <v>23.700000000000003</v>
      </c>
      <c r="H110" s="116">
        <f t="shared" ca="1" si="17"/>
        <v>24.910000000000004</v>
      </c>
      <c r="I110" s="57" t="str">
        <f t="shared" ca="1" si="18"/>
        <v>1.210 + 23.700</v>
      </c>
      <c r="J110" s="131">
        <f t="shared" ca="1" si="25"/>
        <v>0.35999999999998522</v>
      </c>
      <c r="K110" s="122" t="str">
        <f t="shared" ca="1" si="19"/>
        <v>1.210 + 23.700</v>
      </c>
      <c r="L110" s="130">
        <f t="shared" ca="1" si="20"/>
        <v>24.910000000000004</v>
      </c>
      <c r="M110" s="126">
        <f t="shared" ca="1" si="21"/>
        <v>0.35999999999998522</v>
      </c>
      <c r="N110" s="58">
        <f t="shared" ca="1" si="26"/>
        <v>1.21</v>
      </c>
      <c r="O110" s="160">
        <f t="shared" ca="1" si="26"/>
        <v>1.1536897329871667</v>
      </c>
    </row>
    <row r="111" spans="1:15" x14ac:dyDescent="0.25">
      <c r="A111" s="55" t="e">
        <f t="shared" ca="1" si="22"/>
        <v>#N/A</v>
      </c>
      <c r="B111" s="55" t="e">
        <f t="shared" ca="1" si="13"/>
        <v>#N/A</v>
      </c>
      <c r="C111" s="55" t="e">
        <f t="shared" ca="1" si="14"/>
        <v>#N/A</v>
      </c>
      <c r="D111" s="55" t="e">
        <f t="shared" ca="1" si="15"/>
        <v>#N/A</v>
      </c>
      <c r="E111" s="120">
        <f t="shared" ca="1" si="23"/>
        <v>998</v>
      </c>
      <c r="F111" s="56">
        <f t="shared" ca="1" si="24"/>
        <v>236</v>
      </c>
      <c r="G111" s="56">
        <f t="shared" ca="1" si="16"/>
        <v>23.700000000000003</v>
      </c>
      <c r="H111" s="116">
        <f t="shared" ca="1" si="17"/>
        <v>24.910000000000004</v>
      </c>
      <c r="I111" s="57" t="str">
        <f t="shared" ca="1" si="18"/>
        <v>1.210 + 23.700</v>
      </c>
      <c r="J111" s="131">
        <f t="shared" ca="1" si="25"/>
        <v>0.35999999999998522</v>
      </c>
      <c r="K111" s="122" t="str">
        <f t="shared" ca="1" si="19"/>
        <v>1.210 + 23.700</v>
      </c>
      <c r="L111" s="130">
        <f t="shared" ca="1" si="20"/>
        <v>24.910000000000004</v>
      </c>
      <c r="M111" s="126">
        <f t="shared" ca="1" si="21"/>
        <v>0.35999999999998522</v>
      </c>
      <c r="N111" s="58">
        <f t="shared" ca="1" si="26"/>
        <v>1.21</v>
      </c>
      <c r="O111" s="160">
        <f t="shared" ca="1" si="26"/>
        <v>1.1536897329871667</v>
      </c>
    </row>
    <row r="112" spans="1:15" x14ac:dyDescent="0.25">
      <c r="A112" s="55" t="e">
        <f t="shared" ca="1" si="22"/>
        <v>#N/A</v>
      </c>
      <c r="B112" s="55" t="e">
        <f t="shared" ca="1" si="13"/>
        <v>#N/A</v>
      </c>
      <c r="C112" s="55" t="e">
        <f t="shared" ca="1" si="14"/>
        <v>#N/A</v>
      </c>
      <c r="D112" s="55" t="e">
        <f t="shared" ca="1" si="15"/>
        <v>#N/A</v>
      </c>
      <c r="E112" s="120">
        <f t="shared" ca="1" si="23"/>
        <v>998</v>
      </c>
      <c r="F112" s="56">
        <f t="shared" ca="1" si="24"/>
        <v>236</v>
      </c>
      <c r="G112" s="56">
        <f t="shared" ca="1" si="16"/>
        <v>23.700000000000003</v>
      </c>
      <c r="H112" s="116">
        <f t="shared" ca="1" si="17"/>
        <v>24.910000000000004</v>
      </c>
      <c r="I112" s="57" t="str">
        <f t="shared" ca="1" si="18"/>
        <v>1.210 + 23.700</v>
      </c>
      <c r="J112" s="131">
        <f t="shared" ca="1" si="25"/>
        <v>0.35999999999998522</v>
      </c>
      <c r="K112" s="122" t="str">
        <f t="shared" ca="1" si="19"/>
        <v>1.210 + 23.700</v>
      </c>
      <c r="L112" s="130">
        <f t="shared" ca="1" si="20"/>
        <v>24.910000000000004</v>
      </c>
      <c r="M112" s="126">
        <f t="shared" ca="1" si="21"/>
        <v>0.35999999999998522</v>
      </c>
      <c r="N112" s="58">
        <f t="shared" ca="1" si="26"/>
        <v>1.21</v>
      </c>
      <c r="O112" s="160">
        <f t="shared" ca="1" si="26"/>
        <v>1.1536897329871667</v>
      </c>
    </row>
    <row r="113" spans="1:15" x14ac:dyDescent="0.25">
      <c r="A113" s="55" t="e">
        <f t="shared" ca="1" si="22"/>
        <v>#N/A</v>
      </c>
      <c r="B113" s="55" t="e">
        <f t="shared" ca="1" si="13"/>
        <v>#N/A</v>
      </c>
      <c r="C113" s="55" t="e">
        <f t="shared" ca="1" si="14"/>
        <v>#N/A</v>
      </c>
      <c r="D113" s="55" t="e">
        <f t="shared" ca="1" si="15"/>
        <v>#N/A</v>
      </c>
      <c r="E113" s="120">
        <f t="shared" ca="1" si="23"/>
        <v>998</v>
      </c>
      <c r="F113" s="56">
        <f t="shared" ca="1" si="24"/>
        <v>236</v>
      </c>
      <c r="G113" s="56">
        <f t="shared" ca="1" si="16"/>
        <v>23.700000000000003</v>
      </c>
      <c r="H113" s="116">
        <f t="shared" ca="1" si="17"/>
        <v>25.03</v>
      </c>
      <c r="I113" s="57" t="str">
        <f t="shared" ca="1" si="18"/>
        <v>1.330 + 23.700</v>
      </c>
      <c r="J113" s="131">
        <f t="shared" ca="1" si="25"/>
        <v>0.12000000000000455</v>
      </c>
      <c r="K113" s="122" t="str">
        <f t="shared" ca="1" si="19"/>
        <v>1.330 + 23.700</v>
      </c>
      <c r="L113" s="130">
        <f t="shared" ca="1" si="20"/>
        <v>25.03</v>
      </c>
      <c r="M113" s="126">
        <f t="shared" ca="1" si="21"/>
        <v>0.12000000000000455</v>
      </c>
      <c r="N113" s="58">
        <f t="shared" ca="1" si="26"/>
        <v>1.33</v>
      </c>
      <c r="O113" s="160">
        <f t="shared" ca="1" si="26"/>
        <v>1.2685818854137874</v>
      </c>
    </row>
    <row r="114" spans="1:15" x14ac:dyDescent="0.25">
      <c r="A114" s="55" t="e">
        <f t="shared" ca="1" si="22"/>
        <v>#N/A</v>
      </c>
      <c r="B114" s="55" t="e">
        <f t="shared" ca="1" si="13"/>
        <v>#N/A</v>
      </c>
      <c r="C114" s="55" t="e">
        <f t="shared" ca="1" si="14"/>
        <v>#N/A</v>
      </c>
      <c r="D114" s="55" t="e">
        <f t="shared" ca="1" si="15"/>
        <v>#N/A</v>
      </c>
      <c r="E114" s="120">
        <f t="shared" ca="1" si="23"/>
        <v>998</v>
      </c>
      <c r="F114" s="56">
        <f t="shared" ca="1" si="24"/>
        <v>236</v>
      </c>
      <c r="G114" s="56">
        <f t="shared" ca="1" si="16"/>
        <v>23.700000000000003</v>
      </c>
      <c r="H114" s="116">
        <f t="shared" ca="1" si="17"/>
        <v>25.03</v>
      </c>
      <c r="I114" s="57" t="str">
        <f t="shared" ca="1" si="18"/>
        <v>1.330 + 23.700</v>
      </c>
      <c r="J114" s="131">
        <f t="shared" ca="1" si="25"/>
        <v>0.12000000000000455</v>
      </c>
      <c r="K114" s="122" t="str">
        <f t="shared" ca="1" si="19"/>
        <v>1.330 + 23.700</v>
      </c>
      <c r="L114" s="130">
        <f t="shared" ca="1" si="20"/>
        <v>25.03</v>
      </c>
      <c r="M114" s="126">
        <f t="shared" ca="1" si="21"/>
        <v>0.12000000000000455</v>
      </c>
      <c r="N114" s="58">
        <f t="shared" ca="1" si="26"/>
        <v>1.33</v>
      </c>
      <c r="O114" s="160">
        <f t="shared" ca="1" si="26"/>
        <v>1.2685818854137874</v>
      </c>
    </row>
    <row r="115" spans="1:15" x14ac:dyDescent="0.25">
      <c r="A115" s="55" t="e">
        <f t="shared" ca="1" si="22"/>
        <v>#N/A</v>
      </c>
      <c r="B115" s="55" t="e">
        <f t="shared" ca="1" si="13"/>
        <v>#N/A</v>
      </c>
      <c r="C115" s="55" t="e">
        <f t="shared" ca="1" si="14"/>
        <v>#N/A</v>
      </c>
      <c r="D115" s="55" t="e">
        <f t="shared" ca="1" si="15"/>
        <v>#N/A</v>
      </c>
      <c r="E115" s="120">
        <f t="shared" ca="1" si="23"/>
        <v>998</v>
      </c>
      <c r="F115" s="56">
        <f t="shared" ca="1" si="24"/>
        <v>236</v>
      </c>
      <c r="G115" s="56">
        <f t="shared" ca="1" si="16"/>
        <v>23.700000000000003</v>
      </c>
      <c r="H115" s="116">
        <f t="shared" ca="1" si="17"/>
        <v>25.03</v>
      </c>
      <c r="I115" s="57" t="str">
        <f t="shared" ca="1" si="18"/>
        <v>1.330 + 23.700</v>
      </c>
      <c r="J115" s="131">
        <f t="shared" ca="1" si="25"/>
        <v>0.12000000000000455</v>
      </c>
      <c r="K115" s="122" t="str">
        <f t="shared" ca="1" si="19"/>
        <v>1.330 + 23.700</v>
      </c>
      <c r="L115" s="130">
        <f t="shared" ca="1" si="20"/>
        <v>25.03</v>
      </c>
      <c r="M115" s="126">
        <f t="shared" ca="1" si="21"/>
        <v>0.12000000000000455</v>
      </c>
      <c r="N115" s="58">
        <f t="shared" ca="1" si="26"/>
        <v>1.33</v>
      </c>
      <c r="O115" s="160">
        <f t="shared" ca="1" si="26"/>
        <v>1.2685818854137874</v>
      </c>
    </row>
    <row r="116" spans="1:15" x14ac:dyDescent="0.25">
      <c r="A116" s="55" t="e">
        <f t="shared" ca="1" si="22"/>
        <v>#N/A</v>
      </c>
      <c r="B116" s="55" t="e">
        <f t="shared" ca="1" si="13"/>
        <v>#N/A</v>
      </c>
      <c r="C116" s="55" t="e">
        <f t="shared" ca="1" si="14"/>
        <v>#N/A</v>
      </c>
      <c r="D116" s="55" t="e">
        <f t="shared" ca="1" si="15"/>
        <v>#N/A</v>
      </c>
      <c r="E116" s="120">
        <f t="shared" ca="1" si="23"/>
        <v>998</v>
      </c>
      <c r="F116" s="56">
        <f t="shared" ca="1" si="24"/>
        <v>236</v>
      </c>
      <c r="G116" s="56">
        <f t="shared" ca="1" si="16"/>
        <v>23.700000000000003</v>
      </c>
      <c r="H116" s="116">
        <f t="shared" ca="1" si="17"/>
        <v>25.03</v>
      </c>
      <c r="I116" s="57" t="str">
        <f t="shared" ca="1" si="18"/>
        <v>1.330 + 23.700</v>
      </c>
      <c r="J116" s="131">
        <f t="shared" ca="1" si="25"/>
        <v>0.12000000000000455</v>
      </c>
      <c r="K116" s="122" t="str">
        <f t="shared" ca="1" si="19"/>
        <v>1.330 + 23.700</v>
      </c>
      <c r="L116" s="130">
        <f t="shared" ca="1" si="20"/>
        <v>25.03</v>
      </c>
      <c r="M116" s="126">
        <f t="shared" ca="1" si="21"/>
        <v>0.12000000000000455</v>
      </c>
      <c r="N116" s="58">
        <f t="shared" ca="1" si="26"/>
        <v>1.33</v>
      </c>
      <c r="O116" s="160">
        <f t="shared" ca="1" si="26"/>
        <v>1.2685818854137874</v>
      </c>
    </row>
    <row r="117" spans="1:15" x14ac:dyDescent="0.25">
      <c r="A117" s="55" t="e">
        <f t="shared" ca="1" si="22"/>
        <v>#N/A</v>
      </c>
      <c r="B117" s="55" t="e">
        <f t="shared" ca="1" si="13"/>
        <v>#N/A</v>
      </c>
      <c r="C117" s="55" t="e">
        <f t="shared" ca="1" si="14"/>
        <v>#N/A</v>
      </c>
      <c r="D117" s="55" t="e">
        <f t="shared" ca="1" si="15"/>
        <v>#N/A</v>
      </c>
      <c r="E117" s="120">
        <f t="shared" ca="1" si="23"/>
        <v>998</v>
      </c>
      <c r="F117" s="56">
        <f t="shared" ca="1" si="24"/>
        <v>236</v>
      </c>
      <c r="G117" s="56">
        <f t="shared" ca="1" si="16"/>
        <v>23.700000000000003</v>
      </c>
      <c r="H117" s="116">
        <f t="shared" ca="1" si="17"/>
        <v>25.17</v>
      </c>
      <c r="I117" s="57" t="str">
        <f t="shared" ca="1" si="18"/>
        <v>1.470 + 23.700</v>
      </c>
      <c r="J117" s="131">
        <f t="shared" ca="1" si="25"/>
        <v>0.68000000000000682</v>
      </c>
      <c r="K117" s="122" t="str">
        <f t="shared" ca="1" si="19"/>
        <v>1.470 + 23.700</v>
      </c>
      <c r="L117" s="130">
        <f t="shared" ca="1" si="20"/>
        <v>25.17</v>
      </c>
      <c r="M117" s="126">
        <f t="shared" ca="1" si="21"/>
        <v>0.68000000000000682</v>
      </c>
      <c r="N117" s="58">
        <f t="shared" ca="1" si="26"/>
        <v>1.47</v>
      </c>
      <c r="O117" s="160">
        <f t="shared" ca="1" si="26"/>
        <v>1.3982489048806725</v>
      </c>
    </row>
    <row r="118" spans="1:15" x14ac:dyDescent="0.25">
      <c r="A118" s="55" t="e">
        <f t="shared" ca="1" si="22"/>
        <v>#N/A</v>
      </c>
      <c r="B118" s="55" t="e">
        <f t="shared" ca="1" si="13"/>
        <v>#N/A</v>
      </c>
      <c r="C118" s="55" t="e">
        <f t="shared" ca="1" si="14"/>
        <v>#N/A</v>
      </c>
      <c r="D118" s="55" t="e">
        <f t="shared" ca="1" si="15"/>
        <v>#N/A</v>
      </c>
      <c r="E118" s="120">
        <f t="shared" ca="1" si="23"/>
        <v>998</v>
      </c>
      <c r="F118" s="56">
        <f t="shared" ca="1" si="24"/>
        <v>236</v>
      </c>
      <c r="G118" s="56">
        <f t="shared" ca="1" si="16"/>
        <v>23.700000000000003</v>
      </c>
      <c r="H118" s="116">
        <f t="shared" ca="1" si="17"/>
        <v>25.17</v>
      </c>
      <c r="I118" s="57" t="str">
        <f t="shared" ca="1" si="18"/>
        <v>1.470 + 23.700</v>
      </c>
      <c r="J118" s="131">
        <f t="shared" ca="1" si="25"/>
        <v>0.68000000000000682</v>
      </c>
      <c r="K118" s="122" t="str">
        <f t="shared" ca="1" si="19"/>
        <v>1.470 + 23.700</v>
      </c>
      <c r="L118" s="130">
        <f t="shared" ca="1" si="20"/>
        <v>25.17</v>
      </c>
      <c r="M118" s="126">
        <f t="shared" ca="1" si="21"/>
        <v>0.68000000000000682</v>
      </c>
      <c r="N118" s="58">
        <f t="shared" ca="1" si="26"/>
        <v>1.47</v>
      </c>
      <c r="O118" s="160">
        <f t="shared" ca="1" si="26"/>
        <v>1.3982489048806725</v>
      </c>
    </row>
    <row r="119" spans="1:15" x14ac:dyDescent="0.25">
      <c r="A119" s="55" t="e">
        <f t="shared" ca="1" si="22"/>
        <v>#N/A</v>
      </c>
      <c r="B119" s="55" t="e">
        <f t="shared" ca="1" si="13"/>
        <v>#N/A</v>
      </c>
      <c r="C119" s="55" t="e">
        <f t="shared" ca="1" si="14"/>
        <v>#N/A</v>
      </c>
      <c r="D119" s="55" t="e">
        <f t="shared" ca="1" si="15"/>
        <v>#N/A</v>
      </c>
      <c r="E119" s="120">
        <f t="shared" ca="1" si="23"/>
        <v>998</v>
      </c>
      <c r="F119" s="56">
        <f t="shared" ca="1" si="24"/>
        <v>236</v>
      </c>
      <c r="G119" s="56">
        <f t="shared" ca="1" si="16"/>
        <v>23.700000000000003</v>
      </c>
      <c r="H119" s="116">
        <f t="shared" ca="1" si="17"/>
        <v>25.17</v>
      </c>
      <c r="I119" s="57" t="str">
        <f t="shared" ca="1" si="18"/>
        <v>1.470 + 23.700</v>
      </c>
      <c r="J119" s="131">
        <f t="shared" ca="1" si="25"/>
        <v>0.68000000000000682</v>
      </c>
      <c r="K119" s="122" t="str">
        <f t="shared" ca="1" si="19"/>
        <v>1.470 + 23.700</v>
      </c>
      <c r="L119" s="130">
        <f t="shared" ca="1" si="20"/>
        <v>25.17</v>
      </c>
      <c r="M119" s="126">
        <f t="shared" ca="1" si="21"/>
        <v>0.68000000000000682</v>
      </c>
      <c r="N119" s="58">
        <f t="shared" ca="1" si="26"/>
        <v>1.47</v>
      </c>
      <c r="O119" s="160">
        <f t="shared" ca="1" si="26"/>
        <v>1.3982489048806725</v>
      </c>
    </row>
    <row r="120" spans="1:15" x14ac:dyDescent="0.25">
      <c r="A120" s="55" t="e">
        <f t="shared" ca="1" si="22"/>
        <v>#N/A</v>
      </c>
      <c r="B120" s="55" t="e">
        <f t="shared" ca="1" si="13"/>
        <v>#N/A</v>
      </c>
      <c r="C120" s="55" t="e">
        <f t="shared" ca="1" si="14"/>
        <v>#N/A</v>
      </c>
      <c r="D120" s="55" t="e">
        <f t="shared" ca="1" si="15"/>
        <v>#N/A</v>
      </c>
      <c r="E120" s="120">
        <f t="shared" ca="1" si="23"/>
        <v>998</v>
      </c>
      <c r="F120" s="56">
        <f t="shared" ca="1" si="24"/>
        <v>236</v>
      </c>
      <c r="G120" s="56">
        <f t="shared" ca="1" si="16"/>
        <v>23.700000000000003</v>
      </c>
      <c r="H120" s="116">
        <f t="shared" ca="1" si="17"/>
        <v>25.17</v>
      </c>
      <c r="I120" s="57" t="str">
        <f t="shared" ca="1" si="18"/>
        <v>1.470 + 23.700</v>
      </c>
      <c r="J120" s="131">
        <f t="shared" ca="1" si="25"/>
        <v>0.68000000000000682</v>
      </c>
      <c r="K120" s="122" t="str">
        <f t="shared" ca="1" si="19"/>
        <v>1.470 + 23.700</v>
      </c>
      <c r="L120" s="130">
        <f t="shared" ca="1" si="20"/>
        <v>25.17</v>
      </c>
      <c r="M120" s="126">
        <f t="shared" ca="1" si="21"/>
        <v>0.68000000000000682</v>
      </c>
      <c r="N120" s="58">
        <f t="shared" ca="1" si="26"/>
        <v>1.47</v>
      </c>
      <c r="O120" s="160">
        <f t="shared" ca="1" si="26"/>
        <v>1.3982489048806725</v>
      </c>
    </row>
    <row r="121" spans="1:15" x14ac:dyDescent="0.25">
      <c r="A121" s="55" t="e">
        <f t="shared" ca="1" si="22"/>
        <v>#N/A</v>
      </c>
      <c r="B121" s="55" t="e">
        <f t="shared" ca="1" si="13"/>
        <v>#N/A</v>
      </c>
      <c r="C121" s="55" t="e">
        <f t="shared" ca="1" si="14"/>
        <v>#N/A</v>
      </c>
      <c r="D121" s="55" t="e">
        <f t="shared" ca="1" si="15"/>
        <v>#N/A</v>
      </c>
      <c r="E121" s="120">
        <f t="shared" ca="1" si="23"/>
        <v>998</v>
      </c>
      <c r="F121" s="56">
        <f t="shared" ca="1" si="24"/>
        <v>236</v>
      </c>
      <c r="G121" s="56">
        <f t="shared" ca="1" si="16"/>
        <v>23.700000000000003</v>
      </c>
      <c r="H121" s="116">
        <f t="shared" ca="1" si="17"/>
        <v>25.320000000000004</v>
      </c>
      <c r="I121" s="57" t="str">
        <f t="shared" ca="1" si="18"/>
        <v>1.620 + 23.700</v>
      </c>
      <c r="J121" s="131">
        <f t="shared" ca="1" si="25"/>
        <v>1.2800000000000153</v>
      </c>
      <c r="K121" s="122" t="str">
        <f t="shared" ca="1" si="19"/>
        <v/>
      </c>
      <c r="L121" s="130" t="str">
        <f t="shared" ca="1" si="20"/>
        <v/>
      </c>
      <c r="M121" s="126">
        <f t="shared" ca="1" si="21"/>
        <v>995</v>
      </c>
      <c r="N121" s="58">
        <f t="shared" ca="1" si="26"/>
        <v>1.62</v>
      </c>
      <c r="O121" s="160">
        <f t="shared" ca="1" si="26"/>
        <v>1.543178537953402</v>
      </c>
    </row>
    <row r="122" spans="1:15" x14ac:dyDescent="0.25">
      <c r="A122" s="55" t="e">
        <f t="shared" ca="1" si="22"/>
        <v>#N/A</v>
      </c>
      <c r="B122" s="55" t="e">
        <f t="shared" ca="1" si="13"/>
        <v>#N/A</v>
      </c>
      <c r="C122" s="55" t="e">
        <f t="shared" ca="1" si="14"/>
        <v>#N/A</v>
      </c>
      <c r="D122" s="55" t="e">
        <f t="shared" ca="1" si="15"/>
        <v>#N/A</v>
      </c>
      <c r="E122" s="120">
        <f t="shared" ca="1" si="23"/>
        <v>998</v>
      </c>
      <c r="F122" s="56">
        <f t="shared" ca="1" si="24"/>
        <v>236</v>
      </c>
      <c r="G122" s="56">
        <f t="shared" ca="1" si="16"/>
        <v>23.700000000000003</v>
      </c>
      <c r="H122" s="116">
        <f t="shared" ca="1" si="17"/>
        <v>25.320000000000004</v>
      </c>
      <c r="I122" s="57" t="str">
        <f t="shared" ca="1" si="18"/>
        <v>1.620 + 23.700</v>
      </c>
      <c r="J122" s="131">
        <f t="shared" ca="1" si="25"/>
        <v>1.2800000000000153</v>
      </c>
      <c r="K122" s="122" t="str">
        <f t="shared" ca="1" si="19"/>
        <v/>
      </c>
      <c r="L122" s="130" t="str">
        <f t="shared" ca="1" si="20"/>
        <v/>
      </c>
      <c r="M122" s="126">
        <f t="shared" ca="1" si="21"/>
        <v>995</v>
      </c>
      <c r="N122" s="58">
        <f t="shared" ca="1" si="26"/>
        <v>1.62</v>
      </c>
      <c r="O122" s="160">
        <f t="shared" ca="1" si="26"/>
        <v>1.543178537953402</v>
      </c>
    </row>
    <row r="123" spans="1:15" x14ac:dyDescent="0.25">
      <c r="A123" s="55" t="e">
        <f t="shared" ca="1" si="22"/>
        <v>#N/A</v>
      </c>
      <c r="B123" s="55" t="e">
        <f t="shared" ca="1" si="13"/>
        <v>#N/A</v>
      </c>
      <c r="C123" s="55" t="e">
        <f t="shared" ca="1" si="14"/>
        <v>#N/A</v>
      </c>
      <c r="D123" s="55" t="e">
        <f t="shared" ca="1" si="15"/>
        <v>#N/A</v>
      </c>
      <c r="E123" s="120">
        <f t="shared" ca="1" si="23"/>
        <v>998</v>
      </c>
      <c r="F123" s="56">
        <f t="shared" ca="1" si="24"/>
        <v>236</v>
      </c>
      <c r="G123" s="56">
        <f t="shared" ca="1" si="16"/>
        <v>23.700000000000003</v>
      </c>
      <c r="H123" s="116">
        <f t="shared" ca="1" si="17"/>
        <v>25.320000000000004</v>
      </c>
      <c r="I123" s="57" t="str">
        <f t="shared" ca="1" si="18"/>
        <v>1.620 + 23.700</v>
      </c>
      <c r="J123" s="131">
        <f t="shared" ca="1" si="25"/>
        <v>1.2800000000000153</v>
      </c>
      <c r="K123" s="122" t="str">
        <f t="shared" ca="1" si="19"/>
        <v/>
      </c>
      <c r="L123" s="130" t="str">
        <f t="shared" ca="1" si="20"/>
        <v/>
      </c>
      <c r="M123" s="126">
        <f t="shared" ca="1" si="21"/>
        <v>995</v>
      </c>
      <c r="N123" s="58">
        <f t="shared" ca="1" si="26"/>
        <v>1.62</v>
      </c>
      <c r="O123" s="160">
        <f t="shared" ca="1" si="26"/>
        <v>1.543178537953402</v>
      </c>
    </row>
    <row r="124" spans="1:15" x14ac:dyDescent="0.25">
      <c r="A124" s="55" t="e">
        <f t="shared" ca="1" si="22"/>
        <v>#N/A</v>
      </c>
      <c r="B124" s="55" t="e">
        <f t="shared" ca="1" si="13"/>
        <v>#N/A</v>
      </c>
      <c r="C124" s="55" t="e">
        <f t="shared" ca="1" si="14"/>
        <v>#N/A</v>
      </c>
      <c r="D124" s="55" t="e">
        <f t="shared" ca="1" si="15"/>
        <v>#N/A</v>
      </c>
      <c r="E124" s="120">
        <f t="shared" ca="1" si="23"/>
        <v>998</v>
      </c>
      <c r="F124" s="56">
        <f t="shared" ca="1" si="24"/>
        <v>236</v>
      </c>
      <c r="G124" s="56">
        <f t="shared" ca="1" si="16"/>
        <v>23.700000000000003</v>
      </c>
      <c r="H124" s="116">
        <f t="shared" ca="1" si="17"/>
        <v>25.320000000000004</v>
      </c>
      <c r="I124" s="57" t="str">
        <f t="shared" ca="1" si="18"/>
        <v>1.620 + 23.700</v>
      </c>
      <c r="J124" s="131">
        <f t="shared" ca="1" si="25"/>
        <v>1.2800000000000153</v>
      </c>
      <c r="K124" s="122" t="str">
        <f t="shared" ca="1" si="19"/>
        <v/>
      </c>
      <c r="L124" s="130" t="str">
        <f t="shared" ca="1" si="20"/>
        <v/>
      </c>
      <c r="M124" s="126">
        <f t="shared" ca="1" si="21"/>
        <v>995</v>
      </c>
      <c r="N124" s="58">
        <f t="shared" ca="1" si="26"/>
        <v>1.62</v>
      </c>
      <c r="O124" s="160">
        <f t="shared" ca="1" si="26"/>
        <v>1.543178537953402</v>
      </c>
    </row>
    <row r="125" spans="1:15" x14ac:dyDescent="0.25">
      <c r="A125" s="55" t="e">
        <f t="shared" ca="1" si="22"/>
        <v>#N/A</v>
      </c>
      <c r="B125" s="55" t="e">
        <f t="shared" ca="1" si="13"/>
        <v>#N/A</v>
      </c>
      <c r="C125" s="55" t="e">
        <f t="shared" ca="1" si="14"/>
        <v>#N/A</v>
      </c>
      <c r="D125" s="55" t="e">
        <f t="shared" ca="1" si="15"/>
        <v>#N/A</v>
      </c>
      <c r="E125" s="120">
        <f t="shared" ca="1" si="23"/>
        <v>998</v>
      </c>
      <c r="F125" s="56">
        <f t="shared" ca="1" si="24"/>
        <v>236</v>
      </c>
      <c r="G125" s="56">
        <f t="shared" ca="1" si="16"/>
        <v>23.700000000000003</v>
      </c>
      <c r="H125" s="116">
        <f t="shared" ca="1" si="17"/>
        <v>25.480000000000004</v>
      </c>
      <c r="I125" s="57" t="str">
        <f t="shared" ca="1" si="18"/>
        <v>1.780 + 23.700</v>
      </c>
      <c r="J125" s="131">
        <f t="shared" ca="1" si="25"/>
        <v>1.9200000000000159</v>
      </c>
      <c r="K125" s="122" t="str">
        <f t="shared" ca="1" si="19"/>
        <v/>
      </c>
      <c r="L125" s="130" t="str">
        <f t="shared" ca="1" si="20"/>
        <v/>
      </c>
      <c r="M125" s="126">
        <f t="shared" ca="1" si="21"/>
        <v>995</v>
      </c>
      <c r="N125" s="58">
        <f t="shared" ca="1" si="26"/>
        <v>1.7799999999999998</v>
      </c>
      <c r="O125" s="160">
        <f t="shared" ca="1" si="26"/>
        <v>1.6981166037701889</v>
      </c>
    </row>
    <row r="126" spans="1:15" x14ac:dyDescent="0.25">
      <c r="A126" s="55" t="e">
        <f t="shared" ca="1" si="22"/>
        <v>#N/A</v>
      </c>
      <c r="B126" s="55" t="e">
        <f t="shared" ca="1" si="13"/>
        <v>#N/A</v>
      </c>
      <c r="C126" s="55" t="e">
        <f t="shared" ca="1" si="14"/>
        <v>#N/A</v>
      </c>
      <c r="D126" s="55" t="e">
        <f t="shared" ca="1" si="15"/>
        <v>#N/A</v>
      </c>
      <c r="E126" s="120">
        <f t="shared" ca="1" si="23"/>
        <v>998</v>
      </c>
      <c r="F126" s="56">
        <f t="shared" ca="1" si="24"/>
        <v>236</v>
      </c>
      <c r="G126" s="56">
        <f t="shared" ca="1" si="16"/>
        <v>23.700000000000003</v>
      </c>
      <c r="H126" s="116">
        <f t="shared" ca="1" si="17"/>
        <v>25.480000000000004</v>
      </c>
      <c r="I126" s="57" t="str">
        <f t="shared" ca="1" si="18"/>
        <v>1.780 + 23.700</v>
      </c>
      <c r="J126" s="131">
        <f t="shared" ca="1" si="25"/>
        <v>1.9200000000000159</v>
      </c>
      <c r="K126" s="122" t="str">
        <f t="shared" ca="1" si="19"/>
        <v/>
      </c>
      <c r="L126" s="130" t="str">
        <f t="shared" ca="1" si="20"/>
        <v/>
      </c>
      <c r="M126" s="126">
        <f t="shared" ca="1" si="21"/>
        <v>995</v>
      </c>
      <c r="N126" s="58">
        <f t="shared" ca="1" si="26"/>
        <v>1.7799999999999998</v>
      </c>
      <c r="O126" s="160">
        <f t="shared" ca="1" si="26"/>
        <v>1.6981166037701889</v>
      </c>
    </row>
    <row r="127" spans="1:15" x14ac:dyDescent="0.25">
      <c r="A127" s="55" t="e">
        <f t="shared" ca="1" si="22"/>
        <v>#N/A</v>
      </c>
      <c r="B127" s="55" t="e">
        <f t="shared" ca="1" si="13"/>
        <v>#N/A</v>
      </c>
      <c r="C127" s="55" t="e">
        <f t="shared" ca="1" si="14"/>
        <v>#N/A</v>
      </c>
      <c r="D127" s="55" t="e">
        <f t="shared" ca="1" si="15"/>
        <v>#N/A</v>
      </c>
      <c r="E127" s="120">
        <f t="shared" ca="1" si="23"/>
        <v>998</v>
      </c>
      <c r="F127" s="56">
        <f t="shared" ca="1" si="24"/>
        <v>236</v>
      </c>
      <c r="G127" s="56">
        <f t="shared" ca="1" si="16"/>
        <v>23.700000000000003</v>
      </c>
      <c r="H127" s="116">
        <f t="shared" ca="1" si="17"/>
        <v>25.480000000000004</v>
      </c>
      <c r="I127" s="57" t="str">
        <f t="shared" ca="1" si="18"/>
        <v>1.780 + 23.700</v>
      </c>
      <c r="J127" s="131">
        <f t="shared" ca="1" si="25"/>
        <v>1.9200000000000159</v>
      </c>
      <c r="K127" s="122" t="str">
        <f t="shared" ca="1" si="19"/>
        <v/>
      </c>
      <c r="L127" s="130" t="str">
        <f t="shared" ca="1" si="20"/>
        <v/>
      </c>
      <c r="M127" s="126">
        <f t="shared" ca="1" si="21"/>
        <v>995</v>
      </c>
      <c r="N127" s="58">
        <f t="shared" ca="1" si="26"/>
        <v>1.7799999999999998</v>
      </c>
      <c r="O127" s="160">
        <f t="shared" ca="1" si="26"/>
        <v>1.6981166037701889</v>
      </c>
    </row>
    <row r="128" spans="1:15" x14ac:dyDescent="0.25">
      <c r="A128" s="55" t="e">
        <f t="shared" ca="1" si="22"/>
        <v>#N/A</v>
      </c>
      <c r="B128" s="55" t="e">
        <f t="shared" ca="1" si="13"/>
        <v>#N/A</v>
      </c>
      <c r="C128" s="55" t="e">
        <f t="shared" ca="1" si="14"/>
        <v>#N/A</v>
      </c>
      <c r="D128" s="55" t="e">
        <f t="shared" ca="1" si="15"/>
        <v>#N/A</v>
      </c>
      <c r="E128" s="120">
        <f t="shared" ca="1" si="23"/>
        <v>998</v>
      </c>
      <c r="F128" s="56">
        <f t="shared" ca="1" si="24"/>
        <v>236</v>
      </c>
      <c r="G128" s="56">
        <f t="shared" ca="1" si="16"/>
        <v>23.700000000000003</v>
      </c>
      <c r="H128" s="116">
        <f t="shared" ca="1" si="17"/>
        <v>25.480000000000004</v>
      </c>
      <c r="I128" s="57" t="str">
        <f t="shared" ca="1" si="18"/>
        <v>1.780 + 23.700</v>
      </c>
      <c r="J128" s="131">
        <f t="shared" ca="1" si="25"/>
        <v>1.9200000000000159</v>
      </c>
      <c r="K128" s="122" t="str">
        <f t="shared" ca="1" si="19"/>
        <v/>
      </c>
      <c r="L128" s="130" t="str">
        <f t="shared" ca="1" si="20"/>
        <v/>
      </c>
      <c r="M128" s="126">
        <f t="shared" ca="1" si="21"/>
        <v>995</v>
      </c>
      <c r="N128" s="58">
        <f t="shared" ca="1" si="26"/>
        <v>1.7799999999999998</v>
      </c>
      <c r="O128" s="160">
        <f t="shared" ca="1" si="26"/>
        <v>1.6981166037701889</v>
      </c>
    </row>
    <row r="129" spans="1:15" x14ac:dyDescent="0.25">
      <c r="A129" s="55" t="e">
        <f t="shared" ca="1" si="22"/>
        <v>#N/A</v>
      </c>
      <c r="B129" s="55" t="e">
        <f t="shared" ca="1" si="13"/>
        <v>#N/A</v>
      </c>
      <c r="C129" s="55" t="e">
        <f t="shared" ca="1" si="14"/>
        <v>#N/A</v>
      </c>
      <c r="D129" s="55" t="e">
        <f t="shared" ca="1" si="15"/>
        <v>#N/A</v>
      </c>
      <c r="E129" s="120">
        <f t="shared" ca="1" si="23"/>
        <v>998</v>
      </c>
      <c r="F129" s="56">
        <f t="shared" ca="1" si="24"/>
        <v>236</v>
      </c>
      <c r="G129" s="56">
        <f t="shared" ca="1" si="16"/>
        <v>23.700000000000003</v>
      </c>
      <c r="H129" s="116">
        <f t="shared" ca="1" si="17"/>
        <v>25.660000000000004</v>
      </c>
      <c r="I129" s="57" t="str">
        <f t="shared" ca="1" si="18"/>
        <v>1.960 + 23.700</v>
      </c>
      <c r="J129" s="131">
        <f t="shared" ca="1" si="25"/>
        <v>2.6400000000000148</v>
      </c>
      <c r="K129" s="122" t="str">
        <f t="shared" ca="1" si="19"/>
        <v/>
      </c>
      <c r="L129" s="130" t="str">
        <f t="shared" ca="1" si="20"/>
        <v/>
      </c>
      <c r="M129" s="126">
        <f t="shared" ca="1" si="21"/>
        <v>995</v>
      </c>
      <c r="N129" s="58">
        <f t="shared" ca="1" si="26"/>
        <v>1.96</v>
      </c>
      <c r="O129" s="160">
        <f t="shared" ca="1" si="26"/>
        <v>1.8678329689776869</v>
      </c>
    </row>
    <row r="130" spans="1:15" x14ac:dyDescent="0.25">
      <c r="A130" s="55" t="e">
        <f t="shared" ca="1" si="22"/>
        <v>#N/A</v>
      </c>
      <c r="B130" s="55" t="e">
        <f t="shared" ca="1" si="13"/>
        <v>#N/A</v>
      </c>
      <c r="C130" s="55" t="e">
        <f t="shared" ca="1" si="14"/>
        <v>#N/A</v>
      </c>
      <c r="D130" s="55" t="e">
        <f t="shared" ca="1" si="15"/>
        <v>#N/A</v>
      </c>
      <c r="E130" s="120">
        <f t="shared" ca="1" si="23"/>
        <v>998</v>
      </c>
      <c r="F130" s="56">
        <f t="shared" ca="1" si="24"/>
        <v>236</v>
      </c>
      <c r="G130" s="56">
        <f t="shared" ca="1" si="16"/>
        <v>23.700000000000003</v>
      </c>
      <c r="H130" s="116">
        <f t="shared" ca="1" si="17"/>
        <v>25.660000000000004</v>
      </c>
      <c r="I130" s="57" t="str">
        <f t="shared" ca="1" si="18"/>
        <v>1.960 + 23.700</v>
      </c>
      <c r="J130" s="131">
        <f t="shared" ca="1" si="25"/>
        <v>2.6400000000000148</v>
      </c>
      <c r="K130" s="122" t="str">
        <f t="shared" ca="1" si="19"/>
        <v/>
      </c>
      <c r="L130" s="130" t="str">
        <f t="shared" ca="1" si="20"/>
        <v/>
      </c>
      <c r="M130" s="126">
        <f t="shared" ca="1" si="21"/>
        <v>995</v>
      </c>
      <c r="N130" s="58">
        <f t="shared" ca="1" si="26"/>
        <v>1.96</v>
      </c>
      <c r="O130" s="160">
        <f t="shared" ca="1" si="26"/>
        <v>1.8678329689776869</v>
      </c>
    </row>
    <row r="131" spans="1:15" x14ac:dyDescent="0.25">
      <c r="A131" s="55" t="e">
        <f t="shared" ca="1" si="22"/>
        <v>#N/A</v>
      </c>
      <c r="B131" s="55" t="e">
        <f t="shared" ca="1" si="13"/>
        <v>#N/A</v>
      </c>
      <c r="C131" s="55" t="e">
        <f t="shared" ca="1" si="14"/>
        <v>#N/A</v>
      </c>
      <c r="D131" s="55" t="e">
        <f t="shared" ca="1" si="15"/>
        <v>#N/A</v>
      </c>
      <c r="E131" s="120">
        <f t="shared" ca="1" si="23"/>
        <v>998</v>
      </c>
      <c r="F131" s="56">
        <f t="shared" ca="1" si="24"/>
        <v>236</v>
      </c>
      <c r="G131" s="56">
        <f t="shared" ca="1" si="16"/>
        <v>23.700000000000003</v>
      </c>
      <c r="H131" s="116">
        <f t="shared" ca="1" si="17"/>
        <v>25.660000000000004</v>
      </c>
      <c r="I131" s="57" t="str">
        <f t="shared" ca="1" si="18"/>
        <v>1.960 + 23.700</v>
      </c>
      <c r="J131" s="131">
        <f t="shared" ca="1" si="25"/>
        <v>2.6400000000000148</v>
      </c>
      <c r="K131" s="122" t="str">
        <f t="shared" ca="1" si="19"/>
        <v/>
      </c>
      <c r="L131" s="130" t="str">
        <f t="shared" ca="1" si="20"/>
        <v/>
      </c>
      <c r="M131" s="126">
        <f t="shared" ca="1" si="21"/>
        <v>995</v>
      </c>
      <c r="N131" s="58">
        <f t="shared" ca="1" si="26"/>
        <v>1.96</v>
      </c>
      <c r="O131" s="160">
        <f t="shared" ca="1" si="26"/>
        <v>1.8678329689776869</v>
      </c>
    </row>
    <row r="132" spans="1:15" x14ac:dyDescent="0.25">
      <c r="A132" s="55" t="e">
        <f t="shared" ca="1" si="22"/>
        <v>#N/A</v>
      </c>
      <c r="B132" s="55" t="e">
        <f t="shared" ca="1" si="13"/>
        <v>#N/A</v>
      </c>
      <c r="C132" s="55" t="e">
        <f t="shared" ca="1" si="14"/>
        <v>#N/A</v>
      </c>
      <c r="D132" s="55" t="e">
        <f t="shared" ca="1" si="15"/>
        <v>#N/A</v>
      </c>
      <c r="E132" s="120">
        <f t="shared" ca="1" si="23"/>
        <v>998</v>
      </c>
      <c r="F132" s="56">
        <f t="shared" ca="1" si="24"/>
        <v>236</v>
      </c>
      <c r="G132" s="56">
        <f t="shared" ca="1" si="16"/>
        <v>23.700000000000003</v>
      </c>
      <c r="H132" s="116">
        <f t="shared" ca="1" si="17"/>
        <v>25.660000000000004</v>
      </c>
      <c r="I132" s="57" t="str">
        <f t="shared" ca="1" si="18"/>
        <v>1.960 + 23.700</v>
      </c>
      <c r="J132" s="131">
        <f t="shared" ca="1" si="25"/>
        <v>2.6400000000000148</v>
      </c>
      <c r="K132" s="122" t="str">
        <f t="shared" ca="1" si="19"/>
        <v/>
      </c>
      <c r="L132" s="130" t="str">
        <f t="shared" ca="1" si="20"/>
        <v/>
      </c>
      <c r="M132" s="126">
        <f t="shared" ca="1" si="21"/>
        <v>995</v>
      </c>
      <c r="N132" s="58">
        <f t="shared" ca="1" si="26"/>
        <v>1.96</v>
      </c>
      <c r="O132" s="160">
        <f t="shared" ca="1" si="26"/>
        <v>1.8678329689776869</v>
      </c>
    </row>
    <row r="133" spans="1:15" x14ac:dyDescent="0.25">
      <c r="A133" s="55" t="e">
        <f t="shared" ca="1" si="22"/>
        <v>#N/A</v>
      </c>
      <c r="B133" s="55" t="e">
        <f t="shared" ca="1" si="13"/>
        <v>#N/A</v>
      </c>
      <c r="C133" s="55" t="e">
        <f t="shared" ca="1" si="14"/>
        <v>#N/A</v>
      </c>
      <c r="D133" s="55" t="e">
        <f t="shared" ca="1" si="15"/>
        <v>#N/A</v>
      </c>
      <c r="E133" s="120">
        <f t="shared" ca="1" si="23"/>
        <v>998</v>
      </c>
      <c r="F133" s="56">
        <f t="shared" ca="1" si="24"/>
        <v>236</v>
      </c>
      <c r="G133" s="56">
        <f t="shared" ca="1" si="16"/>
        <v>23.700000000000003</v>
      </c>
      <c r="H133" s="116">
        <f t="shared" ca="1" si="17"/>
        <v>25.85</v>
      </c>
      <c r="I133" s="57" t="str">
        <f t="shared" ca="1" si="18"/>
        <v>2.150 + 23.700</v>
      </c>
      <c r="J133" s="131">
        <f t="shared" ca="1" si="25"/>
        <v>3.4000000000000057</v>
      </c>
      <c r="K133" s="122" t="str">
        <f t="shared" ca="1" si="19"/>
        <v/>
      </c>
      <c r="L133" s="130" t="str">
        <f t="shared" ca="1" si="20"/>
        <v/>
      </c>
      <c r="M133" s="126">
        <f t="shared" ca="1" si="21"/>
        <v>995</v>
      </c>
      <c r="N133" s="58">
        <f t="shared" ca="1" si="26"/>
        <v>2.15</v>
      </c>
      <c r="O133" s="160">
        <f t="shared" ca="1" si="26"/>
        <v>2.0528029618061252</v>
      </c>
    </row>
    <row r="134" spans="1:15" x14ac:dyDescent="0.25">
      <c r="A134" s="55" t="e">
        <f t="shared" ca="1" si="22"/>
        <v>#N/A</v>
      </c>
      <c r="B134" s="55" t="e">
        <f t="shared" ref="B134:B197" ca="1" si="27">INDEX($N$1:$N$774,A134)</f>
        <v>#N/A</v>
      </c>
      <c r="C134" s="55" t="e">
        <f t="shared" ref="C134:C197" ca="1" si="28">1/(1/B134+1/N134)</f>
        <v>#N/A</v>
      </c>
      <c r="D134" s="55" t="e">
        <f t="shared" ref="D134:D197" ca="1" si="29">CONCATENATE(TEXT(MIN(B134,N134),"#0.000#")," || ",TEXT(MAX(B134,N134),"#0.000#"))</f>
        <v>#N/A</v>
      </c>
      <c r="E134" s="120">
        <f t="shared" ca="1" si="23"/>
        <v>998</v>
      </c>
      <c r="F134" s="56">
        <f t="shared" ca="1" si="24"/>
        <v>236</v>
      </c>
      <c r="G134" s="56">
        <f t="shared" ref="G134:G197" ca="1" si="30">INDEX($N$1:$N$774,F134)</f>
        <v>23.700000000000003</v>
      </c>
      <c r="H134" s="116">
        <f t="shared" ref="H134:H197" ca="1" si="31">G134+N134</f>
        <v>25.85</v>
      </c>
      <c r="I134" s="57" t="str">
        <f t="shared" ref="I134:I197" ca="1" si="32">CONCATENATE(TEXT(MIN(G134,N134),"#0.000#")," + ",TEXT(MAX(G134,N134),"#0.000#"))</f>
        <v>2.150 + 23.700</v>
      </c>
      <c r="J134" s="131">
        <f t="shared" ca="1" si="25"/>
        <v>3.4000000000000057</v>
      </c>
      <c r="K134" s="122" t="str">
        <f t="shared" ref="K134:K197" ca="1" si="33">IF(E134&lt;$C$4,D134,IF(J134&lt;$C$4,I134,""))</f>
        <v/>
      </c>
      <c r="L134" s="130" t="str">
        <f t="shared" ref="L134:L197" ca="1" si="34">IF(E134&lt;$C$4,C134,IF(J134&lt;$C$4,H134,""))</f>
        <v/>
      </c>
      <c r="M134" s="126">
        <f t="shared" ref="M134:M197" ca="1" si="35">IF(E134&lt;=$C$4,E134,IF(J134&lt;=$C$4,J134,995))</f>
        <v>995</v>
      </c>
      <c r="N134" s="58">
        <f t="shared" ca="1" si="26"/>
        <v>2.15</v>
      </c>
      <c r="O134" s="160">
        <f t="shared" ca="1" si="26"/>
        <v>2.0528029618061252</v>
      </c>
    </row>
    <row r="135" spans="1:15" x14ac:dyDescent="0.25">
      <c r="A135" s="55" t="e">
        <f t="shared" ref="A135:A198" ca="1" si="36">MATCH(1/($A$5-(1/N135)),$O$1:$O$775,1)</f>
        <v>#N/A</v>
      </c>
      <c r="B135" s="55" t="e">
        <f t="shared" ca="1" si="27"/>
        <v>#N/A</v>
      </c>
      <c r="C135" s="55" t="e">
        <f t="shared" ca="1" si="28"/>
        <v>#N/A</v>
      </c>
      <c r="D135" s="55" t="e">
        <f t="shared" ca="1" si="29"/>
        <v>#N/A</v>
      </c>
      <c r="E135" s="120">
        <f t="shared" ref="E135:E198" ca="1" si="37">IFERROR(IF(OR(B135=0,AND(B135&lt;&gt;$A$4,N135&lt;&gt;$A$4)),ABS($A$4-C135)/$E$5,999),998)</f>
        <v>998</v>
      </c>
      <c r="F135" s="56">
        <f t="shared" ref="F135:F198" ca="1" si="38">MATCH($A$4-N135,$O$1:$O$774,1)</f>
        <v>236</v>
      </c>
      <c r="G135" s="56">
        <f t="shared" ca="1" si="30"/>
        <v>23.700000000000003</v>
      </c>
      <c r="H135" s="116">
        <f t="shared" ca="1" si="31"/>
        <v>25.85</v>
      </c>
      <c r="I135" s="57" t="str">
        <f t="shared" ca="1" si="32"/>
        <v>2.150 + 23.700</v>
      </c>
      <c r="J135" s="131">
        <f t="shared" ref="J135:J198" ca="1" si="39">IFERROR(IF(OR(G135=0,AND(G135&lt;&gt;$A$4,N135&lt;&gt;$A$4)),ABS($A$4-H135)/$E$5,997),996)</f>
        <v>3.4000000000000057</v>
      </c>
      <c r="K135" s="122" t="str">
        <f t="shared" ca="1" si="33"/>
        <v/>
      </c>
      <c r="L135" s="130" t="str">
        <f t="shared" ca="1" si="34"/>
        <v/>
      </c>
      <c r="M135" s="126">
        <f t="shared" ca="1" si="35"/>
        <v>995</v>
      </c>
      <c r="N135" s="58">
        <f t="shared" ca="1" si="26"/>
        <v>2.15</v>
      </c>
      <c r="O135" s="160">
        <f t="shared" ca="1" si="26"/>
        <v>2.0528029618061252</v>
      </c>
    </row>
    <row r="136" spans="1:15" x14ac:dyDescent="0.25">
      <c r="A136" s="55" t="e">
        <f t="shared" ca="1" si="36"/>
        <v>#N/A</v>
      </c>
      <c r="B136" s="55" t="e">
        <f t="shared" ca="1" si="27"/>
        <v>#N/A</v>
      </c>
      <c r="C136" s="55" t="e">
        <f t="shared" ca="1" si="28"/>
        <v>#N/A</v>
      </c>
      <c r="D136" s="55" t="e">
        <f t="shared" ca="1" si="29"/>
        <v>#N/A</v>
      </c>
      <c r="E136" s="120">
        <f t="shared" ca="1" si="37"/>
        <v>998</v>
      </c>
      <c r="F136" s="56">
        <f t="shared" ca="1" si="38"/>
        <v>236</v>
      </c>
      <c r="G136" s="56">
        <f t="shared" ca="1" si="30"/>
        <v>23.700000000000003</v>
      </c>
      <c r="H136" s="116">
        <f t="shared" ca="1" si="31"/>
        <v>25.85</v>
      </c>
      <c r="I136" s="57" t="str">
        <f t="shared" ca="1" si="32"/>
        <v>2.150 + 23.700</v>
      </c>
      <c r="J136" s="131">
        <f t="shared" ca="1" si="39"/>
        <v>3.4000000000000057</v>
      </c>
      <c r="K136" s="122" t="str">
        <f t="shared" ca="1" si="33"/>
        <v/>
      </c>
      <c r="L136" s="130" t="str">
        <f t="shared" ca="1" si="34"/>
        <v/>
      </c>
      <c r="M136" s="126">
        <f t="shared" ca="1" si="35"/>
        <v>995</v>
      </c>
      <c r="N136" s="58">
        <f t="shared" ca="1" si="26"/>
        <v>2.15</v>
      </c>
      <c r="O136" s="160">
        <f t="shared" ca="1" si="26"/>
        <v>2.0528029618061252</v>
      </c>
    </row>
    <row r="137" spans="1:15" x14ac:dyDescent="0.25">
      <c r="A137" s="55" t="e">
        <f t="shared" ca="1" si="36"/>
        <v>#N/A</v>
      </c>
      <c r="B137" s="55" t="e">
        <f t="shared" ca="1" si="27"/>
        <v>#N/A</v>
      </c>
      <c r="C137" s="55" t="e">
        <f t="shared" ca="1" si="28"/>
        <v>#N/A</v>
      </c>
      <c r="D137" s="55" t="e">
        <f t="shared" ca="1" si="29"/>
        <v>#N/A</v>
      </c>
      <c r="E137" s="120">
        <f t="shared" ca="1" si="37"/>
        <v>998</v>
      </c>
      <c r="F137" s="56">
        <f t="shared" ca="1" si="38"/>
        <v>236</v>
      </c>
      <c r="G137" s="56">
        <f t="shared" ca="1" si="30"/>
        <v>23.700000000000003</v>
      </c>
      <c r="H137" s="116">
        <f t="shared" ca="1" si="31"/>
        <v>26.070000000000004</v>
      </c>
      <c r="I137" s="57" t="str">
        <f t="shared" ca="1" si="32"/>
        <v>2.370 + 23.700</v>
      </c>
      <c r="J137" s="131">
        <f t="shared" ca="1" si="39"/>
        <v>4.2800000000000153</v>
      </c>
      <c r="K137" s="122" t="str">
        <f t="shared" ca="1" si="33"/>
        <v/>
      </c>
      <c r="L137" s="130" t="str">
        <f t="shared" ca="1" si="34"/>
        <v/>
      </c>
      <c r="M137" s="126">
        <f t="shared" ca="1" si="35"/>
        <v>995</v>
      </c>
      <c r="N137" s="58">
        <f t="shared" ca="1" si="26"/>
        <v>2.37</v>
      </c>
      <c r="O137" s="160">
        <f t="shared" ca="1" si="26"/>
        <v>2.257321421508244</v>
      </c>
    </row>
    <row r="138" spans="1:15" x14ac:dyDescent="0.25">
      <c r="A138" s="55" t="e">
        <f t="shared" ca="1" si="36"/>
        <v>#N/A</v>
      </c>
      <c r="B138" s="55" t="e">
        <f t="shared" ca="1" si="27"/>
        <v>#N/A</v>
      </c>
      <c r="C138" s="55" t="e">
        <f t="shared" ca="1" si="28"/>
        <v>#N/A</v>
      </c>
      <c r="D138" s="55" t="e">
        <f t="shared" ca="1" si="29"/>
        <v>#N/A</v>
      </c>
      <c r="E138" s="120">
        <f t="shared" ca="1" si="37"/>
        <v>998</v>
      </c>
      <c r="F138" s="56">
        <f t="shared" ca="1" si="38"/>
        <v>236</v>
      </c>
      <c r="G138" s="56">
        <f t="shared" ca="1" si="30"/>
        <v>23.700000000000003</v>
      </c>
      <c r="H138" s="116">
        <f t="shared" ca="1" si="31"/>
        <v>26.070000000000004</v>
      </c>
      <c r="I138" s="57" t="str">
        <f t="shared" ca="1" si="32"/>
        <v>2.370 + 23.700</v>
      </c>
      <c r="J138" s="131">
        <f t="shared" ca="1" si="39"/>
        <v>4.2800000000000153</v>
      </c>
      <c r="K138" s="122" t="str">
        <f t="shared" ca="1" si="33"/>
        <v/>
      </c>
      <c r="L138" s="130" t="str">
        <f t="shared" ca="1" si="34"/>
        <v/>
      </c>
      <c r="M138" s="126">
        <f t="shared" ca="1" si="35"/>
        <v>995</v>
      </c>
      <c r="N138" s="58">
        <f t="shared" ca="1" si="26"/>
        <v>2.37</v>
      </c>
      <c r="O138" s="160">
        <f t="shared" ca="1" si="26"/>
        <v>2.257321421508244</v>
      </c>
    </row>
    <row r="139" spans="1:15" x14ac:dyDescent="0.25">
      <c r="A139" s="55" t="e">
        <f t="shared" ca="1" si="36"/>
        <v>#N/A</v>
      </c>
      <c r="B139" s="55" t="e">
        <f t="shared" ca="1" si="27"/>
        <v>#N/A</v>
      </c>
      <c r="C139" s="55" t="e">
        <f t="shared" ca="1" si="28"/>
        <v>#N/A</v>
      </c>
      <c r="D139" s="55" t="e">
        <f t="shared" ca="1" si="29"/>
        <v>#N/A</v>
      </c>
      <c r="E139" s="120">
        <f t="shared" ca="1" si="37"/>
        <v>998</v>
      </c>
      <c r="F139" s="56">
        <f t="shared" ca="1" si="38"/>
        <v>236</v>
      </c>
      <c r="G139" s="56">
        <f t="shared" ca="1" si="30"/>
        <v>23.700000000000003</v>
      </c>
      <c r="H139" s="116">
        <f t="shared" ca="1" si="31"/>
        <v>26.070000000000004</v>
      </c>
      <c r="I139" s="57" t="str">
        <f t="shared" ca="1" si="32"/>
        <v>2.370 + 23.700</v>
      </c>
      <c r="J139" s="131">
        <f t="shared" ca="1" si="39"/>
        <v>4.2800000000000153</v>
      </c>
      <c r="K139" s="122" t="str">
        <f t="shared" ca="1" si="33"/>
        <v/>
      </c>
      <c r="L139" s="130" t="str">
        <f t="shared" ca="1" si="34"/>
        <v/>
      </c>
      <c r="M139" s="126">
        <f t="shared" ca="1" si="35"/>
        <v>995</v>
      </c>
      <c r="N139" s="58">
        <f t="shared" ca="1" si="26"/>
        <v>2.37</v>
      </c>
      <c r="O139" s="160">
        <f t="shared" ca="1" si="26"/>
        <v>2.257321421508244</v>
      </c>
    </row>
    <row r="140" spans="1:15" x14ac:dyDescent="0.25">
      <c r="A140" s="55" t="e">
        <f t="shared" ca="1" si="36"/>
        <v>#N/A</v>
      </c>
      <c r="B140" s="55" t="e">
        <f t="shared" ca="1" si="27"/>
        <v>#N/A</v>
      </c>
      <c r="C140" s="55" t="e">
        <f t="shared" ca="1" si="28"/>
        <v>#N/A</v>
      </c>
      <c r="D140" s="55" t="e">
        <f t="shared" ca="1" si="29"/>
        <v>#N/A</v>
      </c>
      <c r="E140" s="120">
        <f t="shared" ca="1" si="37"/>
        <v>998</v>
      </c>
      <c r="F140" s="56">
        <f t="shared" ca="1" si="38"/>
        <v>236</v>
      </c>
      <c r="G140" s="56">
        <f t="shared" ca="1" si="30"/>
        <v>23.700000000000003</v>
      </c>
      <c r="H140" s="116">
        <f t="shared" ca="1" si="31"/>
        <v>26.070000000000004</v>
      </c>
      <c r="I140" s="57" t="str">
        <f t="shared" ca="1" si="32"/>
        <v>2.370 + 23.700</v>
      </c>
      <c r="J140" s="131">
        <f t="shared" ca="1" si="39"/>
        <v>4.2800000000000153</v>
      </c>
      <c r="K140" s="122" t="str">
        <f t="shared" ca="1" si="33"/>
        <v/>
      </c>
      <c r="L140" s="130" t="str">
        <f t="shared" ca="1" si="34"/>
        <v/>
      </c>
      <c r="M140" s="126">
        <f t="shared" ca="1" si="35"/>
        <v>995</v>
      </c>
      <c r="N140" s="58">
        <f t="shared" ca="1" si="26"/>
        <v>2.37</v>
      </c>
      <c r="O140" s="160">
        <f t="shared" ca="1" si="26"/>
        <v>2.257321421508244</v>
      </c>
    </row>
    <row r="141" spans="1:15" x14ac:dyDescent="0.25">
      <c r="A141" s="55" t="e">
        <f t="shared" ca="1" si="36"/>
        <v>#N/A</v>
      </c>
      <c r="B141" s="55" t="e">
        <f t="shared" ca="1" si="27"/>
        <v>#N/A</v>
      </c>
      <c r="C141" s="55" t="e">
        <f t="shared" ca="1" si="28"/>
        <v>#N/A</v>
      </c>
      <c r="D141" s="55" t="e">
        <f t="shared" ca="1" si="29"/>
        <v>#N/A</v>
      </c>
      <c r="E141" s="120">
        <f t="shared" ca="1" si="37"/>
        <v>998</v>
      </c>
      <c r="F141" s="56">
        <f t="shared" ca="1" si="38"/>
        <v>232</v>
      </c>
      <c r="G141" s="56">
        <f t="shared" ca="1" si="30"/>
        <v>21.5</v>
      </c>
      <c r="H141" s="116">
        <f t="shared" ca="1" si="31"/>
        <v>24.11</v>
      </c>
      <c r="I141" s="57" t="str">
        <f t="shared" ca="1" si="32"/>
        <v>2.610 + 21.500</v>
      </c>
      <c r="J141" s="131">
        <f t="shared" ca="1" si="39"/>
        <v>3.5600000000000023</v>
      </c>
      <c r="K141" s="122" t="str">
        <f t="shared" ca="1" si="33"/>
        <v/>
      </c>
      <c r="L141" s="130" t="str">
        <f t="shared" ca="1" si="34"/>
        <v/>
      </c>
      <c r="M141" s="126">
        <f t="shared" ca="1" si="35"/>
        <v>995</v>
      </c>
      <c r="N141" s="58">
        <f t="shared" ca="1" si="26"/>
        <v>2.6100000000000003</v>
      </c>
      <c r="O141" s="160">
        <f t="shared" ca="1" si="26"/>
        <v>2.4871067528355111</v>
      </c>
    </row>
    <row r="142" spans="1:15" x14ac:dyDescent="0.25">
      <c r="A142" s="55" t="e">
        <f t="shared" ca="1" si="36"/>
        <v>#N/A</v>
      </c>
      <c r="B142" s="55" t="e">
        <f t="shared" ca="1" si="27"/>
        <v>#N/A</v>
      </c>
      <c r="C142" s="55" t="e">
        <f t="shared" ca="1" si="28"/>
        <v>#N/A</v>
      </c>
      <c r="D142" s="55" t="e">
        <f t="shared" ca="1" si="29"/>
        <v>#N/A</v>
      </c>
      <c r="E142" s="120">
        <f t="shared" ca="1" si="37"/>
        <v>998</v>
      </c>
      <c r="F142" s="56">
        <f t="shared" ca="1" si="38"/>
        <v>232</v>
      </c>
      <c r="G142" s="56">
        <f t="shared" ca="1" si="30"/>
        <v>21.5</v>
      </c>
      <c r="H142" s="116">
        <f t="shared" ca="1" si="31"/>
        <v>24.11</v>
      </c>
      <c r="I142" s="57" t="str">
        <f t="shared" ca="1" si="32"/>
        <v>2.610 + 21.500</v>
      </c>
      <c r="J142" s="131">
        <f t="shared" ca="1" si="39"/>
        <v>3.5600000000000023</v>
      </c>
      <c r="K142" s="122" t="str">
        <f t="shared" ca="1" si="33"/>
        <v/>
      </c>
      <c r="L142" s="130" t="str">
        <f t="shared" ca="1" si="34"/>
        <v/>
      </c>
      <c r="M142" s="126">
        <f t="shared" ca="1" si="35"/>
        <v>995</v>
      </c>
      <c r="N142" s="58">
        <f t="shared" ca="1" si="26"/>
        <v>2.6100000000000003</v>
      </c>
      <c r="O142" s="160">
        <f t="shared" ca="1" si="26"/>
        <v>2.4871067528355111</v>
      </c>
    </row>
    <row r="143" spans="1:15" x14ac:dyDescent="0.25">
      <c r="A143" s="55" t="e">
        <f t="shared" ca="1" si="36"/>
        <v>#N/A</v>
      </c>
      <c r="B143" s="55" t="e">
        <f t="shared" ca="1" si="27"/>
        <v>#N/A</v>
      </c>
      <c r="C143" s="55" t="e">
        <f t="shared" ca="1" si="28"/>
        <v>#N/A</v>
      </c>
      <c r="D143" s="55" t="e">
        <f t="shared" ca="1" si="29"/>
        <v>#N/A</v>
      </c>
      <c r="E143" s="120">
        <f t="shared" ca="1" si="37"/>
        <v>998</v>
      </c>
      <c r="F143" s="56">
        <f t="shared" ca="1" si="38"/>
        <v>232</v>
      </c>
      <c r="G143" s="56">
        <f t="shared" ca="1" si="30"/>
        <v>21.5</v>
      </c>
      <c r="H143" s="116">
        <f t="shared" ca="1" si="31"/>
        <v>24.11</v>
      </c>
      <c r="I143" s="57" t="str">
        <f t="shared" ca="1" si="32"/>
        <v>2.610 + 21.500</v>
      </c>
      <c r="J143" s="131">
        <f t="shared" ca="1" si="39"/>
        <v>3.5600000000000023</v>
      </c>
      <c r="K143" s="122" t="str">
        <f t="shared" ca="1" si="33"/>
        <v/>
      </c>
      <c r="L143" s="130" t="str">
        <f t="shared" ca="1" si="34"/>
        <v/>
      </c>
      <c r="M143" s="126">
        <f t="shared" ca="1" si="35"/>
        <v>995</v>
      </c>
      <c r="N143" s="58">
        <f t="shared" ca="1" si="26"/>
        <v>2.6100000000000003</v>
      </c>
      <c r="O143" s="160">
        <f t="shared" ca="1" si="26"/>
        <v>2.4871067528355111</v>
      </c>
    </row>
    <row r="144" spans="1:15" x14ac:dyDescent="0.25">
      <c r="A144" s="55" t="e">
        <f t="shared" ca="1" si="36"/>
        <v>#N/A</v>
      </c>
      <c r="B144" s="55" t="e">
        <f t="shared" ca="1" si="27"/>
        <v>#N/A</v>
      </c>
      <c r="C144" s="55" t="e">
        <f t="shared" ca="1" si="28"/>
        <v>#N/A</v>
      </c>
      <c r="D144" s="55" t="e">
        <f t="shared" ca="1" si="29"/>
        <v>#N/A</v>
      </c>
      <c r="E144" s="120">
        <f t="shared" ca="1" si="37"/>
        <v>998</v>
      </c>
      <c r="F144" s="56">
        <f t="shared" ca="1" si="38"/>
        <v>232</v>
      </c>
      <c r="G144" s="56">
        <f t="shared" ca="1" si="30"/>
        <v>21.5</v>
      </c>
      <c r="H144" s="116">
        <f t="shared" ca="1" si="31"/>
        <v>24.11</v>
      </c>
      <c r="I144" s="57" t="str">
        <f t="shared" ca="1" si="32"/>
        <v>2.610 + 21.500</v>
      </c>
      <c r="J144" s="131">
        <f t="shared" ca="1" si="39"/>
        <v>3.5600000000000023</v>
      </c>
      <c r="K144" s="122" t="str">
        <f t="shared" ca="1" si="33"/>
        <v/>
      </c>
      <c r="L144" s="130" t="str">
        <f t="shared" ca="1" si="34"/>
        <v/>
      </c>
      <c r="M144" s="126">
        <f t="shared" ca="1" si="35"/>
        <v>995</v>
      </c>
      <c r="N144" s="58">
        <f t="shared" ca="1" si="26"/>
        <v>2.6100000000000003</v>
      </c>
      <c r="O144" s="160">
        <f t="shared" ca="1" si="26"/>
        <v>2.4871067528355111</v>
      </c>
    </row>
    <row r="145" spans="1:15" x14ac:dyDescent="0.25">
      <c r="A145" s="55" t="e">
        <f t="shared" ca="1" si="36"/>
        <v>#N/A</v>
      </c>
      <c r="B145" s="55" t="e">
        <f t="shared" ca="1" si="27"/>
        <v>#N/A</v>
      </c>
      <c r="C145" s="55" t="e">
        <f t="shared" ca="1" si="28"/>
        <v>#N/A</v>
      </c>
      <c r="D145" s="55" t="e">
        <f t="shared" ca="1" si="29"/>
        <v>#N/A</v>
      </c>
      <c r="E145" s="120">
        <f t="shared" ca="1" si="37"/>
        <v>998</v>
      </c>
      <c r="F145" s="56">
        <f t="shared" ca="1" si="38"/>
        <v>232</v>
      </c>
      <c r="G145" s="56">
        <f t="shared" ca="1" si="30"/>
        <v>21.5</v>
      </c>
      <c r="H145" s="116">
        <f t="shared" ca="1" si="31"/>
        <v>24.37</v>
      </c>
      <c r="I145" s="57" t="str">
        <f t="shared" ca="1" si="32"/>
        <v>2.870 + 21.500</v>
      </c>
      <c r="J145" s="131">
        <f t="shared" ca="1" si="39"/>
        <v>2.519999999999996</v>
      </c>
      <c r="K145" s="122" t="str">
        <f t="shared" ca="1" si="33"/>
        <v/>
      </c>
      <c r="L145" s="130" t="str">
        <f t="shared" ca="1" si="34"/>
        <v/>
      </c>
      <c r="M145" s="126">
        <f t="shared" ca="1" si="35"/>
        <v>995</v>
      </c>
      <c r="N145" s="58">
        <f t="shared" ca="1" si="26"/>
        <v>2.8699999999999997</v>
      </c>
      <c r="O145" s="160">
        <f t="shared" ca="1" si="26"/>
        <v>2.7369143209095892</v>
      </c>
    </row>
    <row r="146" spans="1:15" x14ac:dyDescent="0.25">
      <c r="A146" s="55" t="e">
        <f t="shared" ca="1" si="36"/>
        <v>#N/A</v>
      </c>
      <c r="B146" s="55" t="e">
        <f t="shared" ca="1" si="27"/>
        <v>#N/A</v>
      </c>
      <c r="C146" s="55" t="e">
        <f t="shared" ca="1" si="28"/>
        <v>#N/A</v>
      </c>
      <c r="D146" s="55" t="e">
        <f t="shared" ca="1" si="29"/>
        <v>#N/A</v>
      </c>
      <c r="E146" s="120">
        <f t="shared" ca="1" si="37"/>
        <v>998</v>
      </c>
      <c r="F146" s="56">
        <f t="shared" ca="1" si="38"/>
        <v>232</v>
      </c>
      <c r="G146" s="56">
        <f t="shared" ca="1" si="30"/>
        <v>21.5</v>
      </c>
      <c r="H146" s="116">
        <f t="shared" ca="1" si="31"/>
        <v>24.37</v>
      </c>
      <c r="I146" s="57" t="str">
        <f t="shared" ca="1" si="32"/>
        <v>2.870 + 21.500</v>
      </c>
      <c r="J146" s="131">
        <f t="shared" ca="1" si="39"/>
        <v>2.519999999999996</v>
      </c>
      <c r="K146" s="122" t="str">
        <f t="shared" ca="1" si="33"/>
        <v/>
      </c>
      <c r="L146" s="130" t="str">
        <f t="shared" ca="1" si="34"/>
        <v/>
      </c>
      <c r="M146" s="126">
        <f t="shared" ca="1" si="35"/>
        <v>995</v>
      </c>
      <c r="N146" s="58">
        <f t="shared" ca="1" si="26"/>
        <v>2.8699999999999997</v>
      </c>
      <c r="O146" s="160">
        <f t="shared" ca="1" si="26"/>
        <v>2.7369143209095892</v>
      </c>
    </row>
    <row r="147" spans="1:15" x14ac:dyDescent="0.25">
      <c r="A147" s="55" t="e">
        <f t="shared" ca="1" si="36"/>
        <v>#N/A</v>
      </c>
      <c r="B147" s="55" t="e">
        <f t="shared" ca="1" si="27"/>
        <v>#N/A</v>
      </c>
      <c r="C147" s="55" t="e">
        <f t="shared" ca="1" si="28"/>
        <v>#N/A</v>
      </c>
      <c r="D147" s="55" t="e">
        <f t="shared" ca="1" si="29"/>
        <v>#N/A</v>
      </c>
      <c r="E147" s="120">
        <f t="shared" ca="1" si="37"/>
        <v>998</v>
      </c>
      <c r="F147" s="56">
        <f t="shared" ca="1" si="38"/>
        <v>232</v>
      </c>
      <c r="G147" s="56">
        <f t="shared" ca="1" si="30"/>
        <v>21.5</v>
      </c>
      <c r="H147" s="116">
        <f t="shared" ca="1" si="31"/>
        <v>24.37</v>
      </c>
      <c r="I147" s="57" t="str">
        <f t="shared" ca="1" si="32"/>
        <v>2.870 + 21.500</v>
      </c>
      <c r="J147" s="131">
        <f t="shared" ca="1" si="39"/>
        <v>2.519999999999996</v>
      </c>
      <c r="K147" s="122" t="str">
        <f t="shared" ca="1" si="33"/>
        <v/>
      </c>
      <c r="L147" s="130" t="str">
        <f t="shared" ca="1" si="34"/>
        <v/>
      </c>
      <c r="M147" s="126">
        <f t="shared" ca="1" si="35"/>
        <v>995</v>
      </c>
      <c r="N147" s="58">
        <f t="shared" ca="1" si="26"/>
        <v>2.8699999999999997</v>
      </c>
      <c r="O147" s="160">
        <f t="shared" ca="1" si="26"/>
        <v>2.7369143209095892</v>
      </c>
    </row>
    <row r="148" spans="1:15" x14ac:dyDescent="0.25">
      <c r="A148" s="55" t="e">
        <f t="shared" ca="1" si="36"/>
        <v>#N/A</v>
      </c>
      <c r="B148" s="55" t="e">
        <f t="shared" ca="1" si="27"/>
        <v>#N/A</v>
      </c>
      <c r="C148" s="55" t="e">
        <f t="shared" ca="1" si="28"/>
        <v>#N/A</v>
      </c>
      <c r="D148" s="55" t="e">
        <f t="shared" ca="1" si="29"/>
        <v>#N/A</v>
      </c>
      <c r="E148" s="120">
        <f t="shared" ca="1" si="37"/>
        <v>998</v>
      </c>
      <c r="F148" s="56">
        <f t="shared" ca="1" si="38"/>
        <v>232</v>
      </c>
      <c r="G148" s="56">
        <f t="shared" ca="1" si="30"/>
        <v>21.5</v>
      </c>
      <c r="H148" s="116">
        <f t="shared" ca="1" si="31"/>
        <v>24.37</v>
      </c>
      <c r="I148" s="57" t="str">
        <f t="shared" ca="1" si="32"/>
        <v>2.870 + 21.500</v>
      </c>
      <c r="J148" s="131">
        <f t="shared" ca="1" si="39"/>
        <v>2.519999999999996</v>
      </c>
      <c r="K148" s="122" t="str">
        <f t="shared" ca="1" si="33"/>
        <v/>
      </c>
      <c r="L148" s="130" t="str">
        <f t="shared" ca="1" si="34"/>
        <v/>
      </c>
      <c r="M148" s="126">
        <f t="shared" ca="1" si="35"/>
        <v>995</v>
      </c>
      <c r="N148" s="58">
        <f t="shared" ca="1" si="26"/>
        <v>2.8699999999999997</v>
      </c>
      <c r="O148" s="160">
        <f t="shared" ca="1" si="26"/>
        <v>2.7369143209095892</v>
      </c>
    </row>
    <row r="149" spans="1:15" x14ac:dyDescent="0.25">
      <c r="A149" s="55" t="e">
        <f t="shared" ca="1" si="36"/>
        <v>#N/A</v>
      </c>
      <c r="B149" s="55" t="e">
        <f t="shared" ca="1" si="27"/>
        <v>#N/A</v>
      </c>
      <c r="C149" s="55" t="e">
        <f t="shared" ca="1" si="28"/>
        <v>#N/A</v>
      </c>
      <c r="D149" s="55" t="e">
        <f t="shared" ca="1" si="29"/>
        <v>#N/A</v>
      </c>
      <c r="E149" s="120">
        <f t="shared" ca="1" si="37"/>
        <v>998</v>
      </c>
      <c r="F149" s="56">
        <f t="shared" ca="1" si="38"/>
        <v>232</v>
      </c>
      <c r="G149" s="56">
        <f t="shared" ca="1" si="30"/>
        <v>21.5</v>
      </c>
      <c r="H149" s="116">
        <f t="shared" ca="1" si="31"/>
        <v>24.66</v>
      </c>
      <c r="I149" s="57" t="str">
        <f t="shared" ca="1" si="32"/>
        <v>3.160 + 21.500</v>
      </c>
      <c r="J149" s="131">
        <f t="shared" ca="1" si="39"/>
        <v>1.3599999999999994</v>
      </c>
      <c r="K149" s="122" t="str">
        <f t="shared" ca="1" si="33"/>
        <v/>
      </c>
      <c r="L149" s="130" t="str">
        <f t="shared" ca="1" si="34"/>
        <v/>
      </c>
      <c r="M149" s="126">
        <f t="shared" ca="1" si="35"/>
        <v>995</v>
      </c>
      <c r="N149" s="58">
        <f t="shared" ca="1" si="26"/>
        <v>3.16</v>
      </c>
      <c r="O149" s="160">
        <f t="shared" ca="1" si="26"/>
        <v>3.0115112485262281</v>
      </c>
    </row>
    <row r="150" spans="1:15" x14ac:dyDescent="0.25">
      <c r="A150" s="55" t="e">
        <f t="shared" ca="1" si="36"/>
        <v>#N/A</v>
      </c>
      <c r="B150" s="55" t="e">
        <f t="shared" ca="1" si="27"/>
        <v>#N/A</v>
      </c>
      <c r="C150" s="55" t="e">
        <f t="shared" ca="1" si="28"/>
        <v>#N/A</v>
      </c>
      <c r="D150" s="55" t="e">
        <f t="shared" ca="1" si="29"/>
        <v>#N/A</v>
      </c>
      <c r="E150" s="120">
        <f t="shared" ca="1" si="37"/>
        <v>998</v>
      </c>
      <c r="F150" s="56">
        <f t="shared" ca="1" si="38"/>
        <v>232</v>
      </c>
      <c r="G150" s="56">
        <f t="shared" ca="1" si="30"/>
        <v>21.5</v>
      </c>
      <c r="H150" s="116">
        <f t="shared" ca="1" si="31"/>
        <v>24.66</v>
      </c>
      <c r="I150" s="57" t="str">
        <f t="shared" ca="1" si="32"/>
        <v>3.160 + 21.500</v>
      </c>
      <c r="J150" s="131">
        <f t="shared" ca="1" si="39"/>
        <v>1.3599999999999994</v>
      </c>
      <c r="K150" s="122" t="str">
        <f t="shared" ca="1" si="33"/>
        <v/>
      </c>
      <c r="L150" s="130" t="str">
        <f t="shared" ca="1" si="34"/>
        <v/>
      </c>
      <c r="M150" s="126">
        <f t="shared" ca="1" si="35"/>
        <v>995</v>
      </c>
      <c r="N150" s="58">
        <f t="shared" ca="1" si="26"/>
        <v>3.16</v>
      </c>
      <c r="O150" s="160">
        <f t="shared" ca="1" si="26"/>
        <v>3.0115112485262281</v>
      </c>
    </row>
    <row r="151" spans="1:15" x14ac:dyDescent="0.25">
      <c r="A151" s="55" t="e">
        <f t="shared" ca="1" si="36"/>
        <v>#N/A</v>
      </c>
      <c r="B151" s="55" t="e">
        <f t="shared" ca="1" si="27"/>
        <v>#N/A</v>
      </c>
      <c r="C151" s="55" t="e">
        <f t="shared" ca="1" si="28"/>
        <v>#N/A</v>
      </c>
      <c r="D151" s="55" t="e">
        <f t="shared" ca="1" si="29"/>
        <v>#N/A</v>
      </c>
      <c r="E151" s="120">
        <f t="shared" ca="1" si="37"/>
        <v>998</v>
      </c>
      <c r="F151" s="56">
        <f t="shared" ca="1" si="38"/>
        <v>232</v>
      </c>
      <c r="G151" s="56">
        <f t="shared" ca="1" si="30"/>
        <v>21.5</v>
      </c>
      <c r="H151" s="116">
        <f t="shared" ca="1" si="31"/>
        <v>24.66</v>
      </c>
      <c r="I151" s="57" t="str">
        <f t="shared" ca="1" si="32"/>
        <v>3.160 + 21.500</v>
      </c>
      <c r="J151" s="131">
        <f t="shared" ca="1" si="39"/>
        <v>1.3599999999999994</v>
      </c>
      <c r="K151" s="122" t="str">
        <f t="shared" ca="1" si="33"/>
        <v/>
      </c>
      <c r="L151" s="130" t="str">
        <f t="shared" ca="1" si="34"/>
        <v/>
      </c>
      <c r="M151" s="126">
        <f t="shared" ca="1" si="35"/>
        <v>995</v>
      </c>
      <c r="N151" s="58">
        <f t="shared" ca="1" si="26"/>
        <v>3.16</v>
      </c>
      <c r="O151" s="160">
        <f t="shared" ca="1" si="26"/>
        <v>3.0115112485262281</v>
      </c>
    </row>
    <row r="152" spans="1:15" x14ac:dyDescent="0.25">
      <c r="A152" s="55" t="e">
        <f t="shared" ca="1" si="36"/>
        <v>#N/A</v>
      </c>
      <c r="B152" s="55" t="e">
        <f t="shared" ca="1" si="27"/>
        <v>#N/A</v>
      </c>
      <c r="C152" s="55" t="e">
        <f t="shared" ca="1" si="28"/>
        <v>#N/A</v>
      </c>
      <c r="D152" s="55" t="e">
        <f t="shared" ca="1" si="29"/>
        <v>#N/A</v>
      </c>
      <c r="E152" s="120">
        <f t="shared" ca="1" si="37"/>
        <v>998</v>
      </c>
      <c r="F152" s="56">
        <f t="shared" ca="1" si="38"/>
        <v>232</v>
      </c>
      <c r="G152" s="56">
        <f t="shared" ca="1" si="30"/>
        <v>21.5</v>
      </c>
      <c r="H152" s="116">
        <f t="shared" ca="1" si="31"/>
        <v>24.66</v>
      </c>
      <c r="I152" s="57" t="str">
        <f t="shared" ca="1" si="32"/>
        <v>3.160 + 21.500</v>
      </c>
      <c r="J152" s="131">
        <f t="shared" ca="1" si="39"/>
        <v>1.3599999999999994</v>
      </c>
      <c r="K152" s="122" t="str">
        <f t="shared" ca="1" si="33"/>
        <v/>
      </c>
      <c r="L152" s="130" t="str">
        <f t="shared" ca="1" si="34"/>
        <v/>
      </c>
      <c r="M152" s="126">
        <f t="shared" ca="1" si="35"/>
        <v>995</v>
      </c>
      <c r="N152" s="58">
        <f t="shared" ca="1" si="26"/>
        <v>3.16</v>
      </c>
      <c r="O152" s="160">
        <f t="shared" ca="1" si="26"/>
        <v>3.0115112485262281</v>
      </c>
    </row>
    <row r="153" spans="1:15" x14ac:dyDescent="0.25">
      <c r="A153" s="55" t="e">
        <f t="shared" ca="1" si="36"/>
        <v>#N/A</v>
      </c>
      <c r="B153" s="55" t="e">
        <f t="shared" ca="1" si="27"/>
        <v>#N/A</v>
      </c>
      <c r="C153" s="55" t="e">
        <f t="shared" ca="1" si="28"/>
        <v>#N/A</v>
      </c>
      <c r="D153" s="55" t="e">
        <f t="shared" ca="1" si="29"/>
        <v>#N/A</v>
      </c>
      <c r="E153" s="120">
        <f t="shared" ca="1" si="37"/>
        <v>998</v>
      </c>
      <c r="F153" s="56">
        <f t="shared" ca="1" si="38"/>
        <v>232</v>
      </c>
      <c r="G153" s="56">
        <f t="shared" ca="1" si="30"/>
        <v>21.5</v>
      </c>
      <c r="H153" s="116">
        <f t="shared" ca="1" si="31"/>
        <v>24.98</v>
      </c>
      <c r="I153" s="57" t="str">
        <f t="shared" ca="1" si="32"/>
        <v>3.480 + 21.500</v>
      </c>
      <c r="J153" s="131">
        <f t="shared" ca="1" si="39"/>
        <v>7.9999999999998295E-2</v>
      </c>
      <c r="K153" s="122" t="str">
        <f t="shared" ca="1" si="33"/>
        <v>3.480 + 21.500</v>
      </c>
      <c r="L153" s="130">
        <f t="shared" ca="1" si="34"/>
        <v>24.98</v>
      </c>
      <c r="M153" s="126">
        <f t="shared" ca="1" si="35"/>
        <v>7.9999999999998295E-2</v>
      </c>
      <c r="N153" s="58">
        <f t="shared" ca="1" si="26"/>
        <v>3.4799999999999995</v>
      </c>
      <c r="O153" s="160">
        <f t="shared" ca="1" si="26"/>
        <v>3.3161423371140146</v>
      </c>
    </row>
    <row r="154" spans="1:15" x14ac:dyDescent="0.25">
      <c r="A154" s="55" t="e">
        <f t="shared" ca="1" si="36"/>
        <v>#N/A</v>
      </c>
      <c r="B154" s="55" t="e">
        <f t="shared" ca="1" si="27"/>
        <v>#N/A</v>
      </c>
      <c r="C154" s="55" t="e">
        <f t="shared" ca="1" si="28"/>
        <v>#N/A</v>
      </c>
      <c r="D154" s="55" t="e">
        <f t="shared" ca="1" si="29"/>
        <v>#N/A</v>
      </c>
      <c r="E154" s="120">
        <f t="shared" ca="1" si="37"/>
        <v>998</v>
      </c>
      <c r="F154" s="56">
        <f t="shared" ca="1" si="38"/>
        <v>232</v>
      </c>
      <c r="G154" s="56">
        <f t="shared" ca="1" si="30"/>
        <v>21.5</v>
      </c>
      <c r="H154" s="116">
        <f t="shared" ca="1" si="31"/>
        <v>24.98</v>
      </c>
      <c r="I154" s="57" t="str">
        <f t="shared" ca="1" si="32"/>
        <v>3.480 + 21.500</v>
      </c>
      <c r="J154" s="131">
        <f t="shared" ca="1" si="39"/>
        <v>7.9999999999998295E-2</v>
      </c>
      <c r="K154" s="122" t="str">
        <f t="shared" ca="1" si="33"/>
        <v>3.480 + 21.500</v>
      </c>
      <c r="L154" s="130">
        <f t="shared" ca="1" si="34"/>
        <v>24.98</v>
      </c>
      <c r="M154" s="126">
        <f t="shared" ca="1" si="35"/>
        <v>7.9999999999998295E-2</v>
      </c>
      <c r="N154" s="58">
        <f t="shared" ca="1" si="26"/>
        <v>3.4799999999999995</v>
      </c>
      <c r="O154" s="160">
        <f t="shared" ca="1" si="26"/>
        <v>3.3161423371140146</v>
      </c>
    </row>
    <row r="155" spans="1:15" x14ac:dyDescent="0.25">
      <c r="A155" s="55" t="e">
        <f t="shared" ca="1" si="36"/>
        <v>#N/A</v>
      </c>
      <c r="B155" s="55" t="e">
        <f t="shared" ca="1" si="27"/>
        <v>#N/A</v>
      </c>
      <c r="C155" s="55" t="e">
        <f t="shared" ca="1" si="28"/>
        <v>#N/A</v>
      </c>
      <c r="D155" s="55" t="e">
        <f t="shared" ca="1" si="29"/>
        <v>#N/A</v>
      </c>
      <c r="E155" s="120">
        <f t="shared" ca="1" si="37"/>
        <v>998</v>
      </c>
      <c r="F155" s="56">
        <f t="shared" ca="1" si="38"/>
        <v>232</v>
      </c>
      <c r="G155" s="56">
        <f t="shared" ca="1" si="30"/>
        <v>21.5</v>
      </c>
      <c r="H155" s="116">
        <f t="shared" ca="1" si="31"/>
        <v>24.98</v>
      </c>
      <c r="I155" s="57" t="str">
        <f t="shared" ca="1" si="32"/>
        <v>3.480 + 21.500</v>
      </c>
      <c r="J155" s="131">
        <f t="shared" ca="1" si="39"/>
        <v>7.9999999999998295E-2</v>
      </c>
      <c r="K155" s="122" t="str">
        <f t="shared" ca="1" si="33"/>
        <v>3.480 + 21.500</v>
      </c>
      <c r="L155" s="130">
        <f t="shared" ca="1" si="34"/>
        <v>24.98</v>
      </c>
      <c r="M155" s="126">
        <f t="shared" ca="1" si="35"/>
        <v>7.9999999999998295E-2</v>
      </c>
      <c r="N155" s="58">
        <f t="shared" ca="1" si="26"/>
        <v>3.4799999999999995</v>
      </c>
      <c r="O155" s="160">
        <f t="shared" ca="1" si="26"/>
        <v>3.3161423371140146</v>
      </c>
    </row>
    <row r="156" spans="1:15" x14ac:dyDescent="0.25">
      <c r="A156" s="55" t="e">
        <f t="shared" ca="1" si="36"/>
        <v>#N/A</v>
      </c>
      <c r="B156" s="55" t="e">
        <f t="shared" ca="1" si="27"/>
        <v>#N/A</v>
      </c>
      <c r="C156" s="55" t="e">
        <f t="shared" ca="1" si="28"/>
        <v>#N/A</v>
      </c>
      <c r="D156" s="55" t="e">
        <f t="shared" ca="1" si="29"/>
        <v>#N/A</v>
      </c>
      <c r="E156" s="120">
        <f t="shared" ca="1" si="37"/>
        <v>998</v>
      </c>
      <c r="F156" s="56">
        <f t="shared" ca="1" si="38"/>
        <v>232</v>
      </c>
      <c r="G156" s="56">
        <f t="shared" ca="1" si="30"/>
        <v>21.5</v>
      </c>
      <c r="H156" s="116">
        <f t="shared" ca="1" si="31"/>
        <v>24.98</v>
      </c>
      <c r="I156" s="57" t="str">
        <f t="shared" ca="1" si="32"/>
        <v>3.480 + 21.500</v>
      </c>
      <c r="J156" s="131">
        <f t="shared" ca="1" si="39"/>
        <v>7.9999999999998295E-2</v>
      </c>
      <c r="K156" s="122" t="str">
        <f t="shared" ca="1" si="33"/>
        <v>3.480 + 21.500</v>
      </c>
      <c r="L156" s="130">
        <f t="shared" ca="1" si="34"/>
        <v>24.98</v>
      </c>
      <c r="M156" s="126">
        <f t="shared" ca="1" si="35"/>
        <v>7.9999999999998295E-2</v>
      </c>
      <c r="N156" s="58">
        <f t="shared" ca="1" si="26"/>
        <v>3.4799999999999995</v>
      </c>
      <c r="O156" s="160">
        <f t="shared" ca="1" si="26"/>
        <v>3.3161423371140146</v>
      </c>
    </row>
    <row r="157" spans="1:15" x14ac:dyDescent="0.25">
      <c r="A157" s="55" t="e">
        <f t="shared" ca="1" si="36"/>
        <v>#N/A</v>
      </c>
      <c r="B157" s="55" t="e">
        <f t="shared" ca="1" si="27"/>
        <v>#N/A</v>
      </c>
      <c r="C157" s="55" t="e">
        <f t="shared" ca="1" si="28"/>
        <v>#N/A</v>
      </c>
      <c r="D157" s="55" t="e">
        <f t="shared" ca="1" si="29"/>
        <v>#N/A</v>
      </c>
      <c r="E157" s="120">
        <f t="shared" ca="1" si="37"/>
        <v>998</v>
      </c>
      <c r="F157" s="56">
        <f t="shared" ca="1" si="38"/>
        <v>232</v>
      </c>
      <c r="G157" s="56">
        <f t="shared" ca="1" si="30"/>
        <v>21.5</v>
      </c>
      <c r="H157" s="116">
        <f t="shared" ca="1" si="31"/>
        <v>25.33</v>
      </c>
      <c r="I157" s="57" t="str">
        <f t="shared" ca="1" si="32"/>
        <v>3.830 + 21.500</v>
      </c>
      <c r="J157" s="131">
        <f t="shared" ca="1" si="39"/>
        <v>1.3199999999999932</v>
      </c>
      <c r="K157" s="122" t="str">
        <f t="shared" ca="1" si="33"/>
        <v/>
      </c>
      <c r="L157" s="130" t="str">
        <f t="shared" ca="1" si="34"/>
        <v/>
      </c>
      <c r="M157" s="126">
        <f t="shared" ca="1" si="35"/>
        <v>995</v>
      </c>
      <c r="N157" s="58">
        <f t="shared" ca="1" si="26"/>
        <v>3.83</v>
      </c>
      <c r="O157" s="160">
        <f t="shared" ca="1" si="26"/>
        <v>3.6508081297159394</v>
      </c>
    </row>
    <row r="158" spans="1:15" x14ac:dyDescent="0.25">
      <c r="A158" s="55" t="e">
        <f t="shared" ca="1" si="36"/>
        <v>#N/A</v>
      </c>
      <c r="B158" s="55" t="e">
        <f t="shared" ca="1" si="27"/>
        <v>#N/A</v>
      </c>
      <c r="C158" s="55" t="e">
        <f t="shared" ca="1" si="28"/>
        <v>#N/A</v>
      </c>
      <c r="D158" s="55" t="e">
        <f t="shared" ca="1" si="29"/>
        <v>#N/A</v>
      </c>
      <c r="E158" s="120">
        <f t="shared" ca="1" si="37"/>
        <v>998</v>
      </c>
      <c r="F158" s="56">
        <f t="shared" ca="1" si="38"/>
        <v>232</v>
      </c>
      <c r="G158" s="56">
        <f t="shared" ca="1" si="30"/>
        <v>21.5</v>
      </c>
      <c r="H158" s="116">
        <f t="shared" ca="1" si="31"/>
        <v>25.33</v>
      </c>
      <c r="I158" s="57" t="str">
        <f t="shared" ca="1" si="32"/>
        <v>3.830 + 21.500</v>
      </c>
      <c r="J158" s="131">
        <f t="shared" ca="1" si="39"/>
        <v>1.3199999999999932</v>
      </c>
      <c r="K158" s="122" t="str">
        <f t="shared" ca="1" si="33"/>
        <v/>
      </c>
      <c r="L158" s="130" t="str">
        <f t="shared" ca="1" si="34"/>
        <v/>
      </c>
      <c r="M158" s="126">
        <f t="shared" ca="1" si="35"/>
        <v>995</v>
      </c>
      <c r="N158" s="58">
        <f t="shared" ca="1" si="26"/>
        <v>3.83</v>
      </c>
      <c r="O158" s="160">
        <f t="shared" ca="1" si="26"/>
        <v>3.6508081297159394</v>
      </c>
    </row>
    <row r="159" spans="1:15" x14ac:dyDescent="0.25">
      <c r="A159" s="55" t="e">
        <f t="shared" ca="1" si="36"/>
        <v>#N/A</v>
      </c>
      <c r="B159" s="55" t="e">
        <f t="shared" ca="1" si="27"/>
        <v>#N/A</v>
      </c>
      <c r="C159" s="55" t="e">
        <f t="shared" ca="1" si="28"/>
        <v>#N/A</v>
      </c>
      <c r="D159" s="55" t="e">
        <f t="shared" ca="1" si="29"/>
        <v>#N/A</v>
      </c>
      <c r="E159" s="120">
        <f t="shared" ca="1" si="37"/>
        <v>998</v>
      </c>
      <c r="F159" s="56">
        <f t="shared" ca="1" si="38"/>
        <v>232</v>
      </c>
      <c r="G159" s="56">
        <f t="shared" ca="1" si="30"/>
        <v>21.5</v>
      </c>
      <c r="H159" s="116">
        <f t="shared" ca="1" si="31"/>
        <v>25.33</v>
      </c>
      <c r="I159" s="57" t="str">
        <f t="shared" ca="1" si="32"/>
        <v>3.830 + 21.500</v>
      </c>
      <c r="J159" s="131">
        <f t="shared" ca="1" si="39"/>
        <v>1.3199999999999932</v>
      </c>
      <c r="K159" s="122" t="str">
        <f t="shared" ca="1" si="33"/>
        <v/>
      </c>
      <c r="L159" s="130" t="str">
        <f t="shared" ca="1" si="34"/>
        <v/>
      </c>
      <c r="M159" s="126">
        <f t="shared" ca="1" si="35"/>
        <v>995</v>
      </c>
      <c r="N159" s="58">
        <f t="shared" ca="1" si="26"/>
        <v>3.83</v>
      </c>
      <c r="O159" s="160">
        <f t="shared" ca="1" si="26"/>
        <v>3.6508081297159394</v>
      </c>
    </row>
    <row r="160" spans="1:15" x14ac:dyDescent="0.25">
      <c r="A160" s="55" t="e">
        <f t="shared" ca="1" si="36"/>
        <v>#N/A</v>
      </c>
      <c r="B160" s="55" t="e">
        <f t="shared" ca="1" si="27"/>
        <v>#N/A</v>
      </c>
      <c r="C160" s="55" t="e">
        <f t="shared" ca="1" si="28"/>
        <v>#N/A</v>
      </c>
      <c r="D160" s="55" t="e">
        <f t="shared" ca="1" si="29"/>
        <v>#N/A</v>
      </c>
      <c r="E160" s="120">
        <f t="shared" ca="1" si="37"/>
        <v>998</v>
      </c>
      <c r="F160" s="56">
        <f t="shared" ca="1" si="38"/>
        <v>232</v>
      </c>
      <c r="G160" s="56">
        <f t="shared" ca="1" si="30"/>
        <v>21.5</v>
      </c>
      <c r="H160" s="116">
        <f t="shared" ca="1" si="31"/>
        <v>25.33</v>
      </c>
      <c r="I160" s="57" t="str">
        <f t="shared" ca="1" si="32"/>
        <v>3.830 + 21.500</v>
      </c>
      <c r="J160" s="131">
        <f t="shared" ca="1" si="39"/>
        <v>1.3199999999999932</v>
      </c>
      <c r="K160" s="122" t="str">
        <f t="shared" ca="1" si="33"/>
        <v/>
      </c>
      <c r="L160" s="130" t="str">
        <f t="shared" ca="1" si="34"/>
        <v/>
      </c>
      <c r="M160" s="126">
        <f t="shared" ca="1" si="35"/>
        <v>995</v>
      </c>
      <c r="N160" s="58">
        <f t="shared" ca="1" si="26"/>
        <v>3.83</v>
      </c>
      <c r="O160" s="160">
        <f t="shared" ca="1" si="26"/>
        <v>3.6508081297159394</v>
      </c>
    </row>
    <row r="161" spans="1:15" x14ac:dyDescent="0.25">
      <c r="A161" s="55" t="e">
        <f t="shared" ca="1" si="36"/>
        <v>#N/A</v>
      </c>
      <c r="B161" s="55" t="e">
        <f t="shared" ca="1" si="27"/>
        <v>#N/A</v>
      </c>
      <c r="C161" s="55" t="e">
        <f t="shared" ca="1" si="28"/>
        <v>#N/A</v>
      </c>
      <c r="D161" s="55" t="e">
        <f t="shared" ca="1" si="29"/>
        <v>#N/A</v>
      </c>
      <c r="E161" s="120">
        <f t="shared" ca="1" si="37"/>
        <v>998</v>
      </c>
      <c r="F161" s="56">
        <f t="shared" ca="1" si="38"/>
        <v>232</v>
      </c>
      <c r="G161" s="56">
        <f t="shared" ca="1" si="30"/>
        <v>21.5</v>
      </c>
      <c r="H161" s="116">
        <f t="shared" ca="1" si="31"/>
        <v>25.72</v>
      </c>
      <c r="I161" s="57" t="str">
        <f t="shared" ca="1" si="32"/>
        <v>4.220 + 21.500</v>
      </c>
      <c r="J161" s="131">
        <f t="shared" ca="1" si="39"/>
        <v>2.8799999999999955</v>
      </c>
      <c r="K161" s="122" t="str">
        <f t="shared" ca="1" si="33"/>
        <v/>
      </c>
      <c r="L161" s="130" t="str">
        <f t="shared" ca="1" si="34"/>
        <v/>
      </c>
      <c r="M161" s="126">
        <f t="shared" ca="1" si="35"/>
        <v>995</v>
      </c>
      <c r="N161" s="58">
        <f t="shared" ca="1" si="26"/>
        <v>4.22</v>
      </c>
      <c r="O161" s="160">
        <f t="shared" ca="1" si="26"/>
        <v>4.0202736225286948</v>
      </c>
    </row>
    <row r="162" spans="1:15" x14ac:dyDescent="0.25">
      <c r="A162" s="55" t="e">
        <f t="shared" ca="1" si="36"/>
        <v>#N/A</v>
      </c>
      <c r="B162" s="55" t="e">
        <f t="shared" ca="1" si="27"/>
        <v>#N/A</v>
      </c>
      <c r="C162" s="55" t="e">
        <f t="shared" ca="1" si="28"/>
        <v>#N/A</v>
      </c>
      <c r="D162" s="55" t="e">
        <f t="shared" ca="1" si="29"/>
        <v>#N/A</v>
      </c>
      <c r="E162" s="120">
        <f t="shared" ca="1" si="37"/>
        <v>998</v>
      </c>
      <c r="F162" s="56">
        <f t="shared" ca="1" si="38"/>
        <v>232</v>
      </c>
      <c r="G162" s="56">
        <f t="shared" ca="1" si="30"/>
        <v>21.5</v>
      </c>
      <c r="H162" s="116">
        <f t="shared" ca="1" si="31"/>
        <v>25.72</v>
      </c>
      <c r="I162" s="57" t="str">
        <f t="shared" ca="1" si="32"/>
        <v>4.220 + 21.500</v>
      </c>
      <c r="J162" s="131">
        <f t="shared" ca="1" si="39"/>
        <v>2.8799999999999955</v>
      </c>
      <c r="K162" s="122" t="str">
        <f t="shared" ca="1" si="33"/>
        <v/>
      </c>
      <c r="L162" s="130" t="str">
        <f t="shared" ca="1" si="34"/>
        <v/>
      </c>
      <c r="M162" s="126">
        <f t="shared" ca="1" si="35"/>
        <v>995</v>
      </c>
      <c r="N162" s="58">
        <f t="shared" ca="1" si="26"/>
        <v>4.22</v>
      </c>
      <c r="O162" s="160">
        <f t="shared" ca="1" si="26"/>
        <v>4.0202736225286948</v>
      </c>
    </row>
    <row r="163" spans="1:15" x14ac:dyDescent="0.25">
      <c r="A163" s="55" t="e">
        <f t="shared" ca="1" si="36"/>
        <v>#N/A</v>
      </c>
      <c r="B163" s="55" t="e">
        <f t="shared" ca="1" si="27"/>
        <v>#N/A</v>
      </c>
      <c r="C163" s="55" t="e">
        <f t="shared" ca="1" si="28"/>
        <v>#N/A</v>
      </c>
      <c r="D163" s="55" t="e">
        <f t="shared" ca="1" si="29"/>
        <v>#N/A</v>
      </c>
      <c r="E163" s="120">
        <f t="shared" ca="1" si="37"/>
        <v>998</v>
      </c>
      <c r="F163" s="56">
        <f t="shared" ca="1" si="38"/>
        <v>232</v>
      </c>
      <c r="G163" s="56">
        <f t="shared" ca="1" si="30"/>
        <v>21.5</v>
      </c>
      <c r="H163" s="116">
        <f t="shared" ca="1" si="31"/>
        <v>25.72</v>
      </c>
      <c r="I163" s="57" t="str">
        <f t="shared" ca="1" si="32"/>
        <v>4.220 + 21.500</v>
      </c>
      <c r="J163" s="131">
        <f t="shared" ca="1" si="39"/>
        <v>2.8799999999999955</v>
      </c>
      <c r="K163" s="122" t="str">
        <f t="shared" ca="1" si="33"/>
        <v/>
      </c>
      <c r="L163" s="130" t="str">
        <f t="shared" ca="1" si="34"/>
        <v/>
      </c>
      <c r="M163" s="126">
        <f t="shared" ca="1" si="35"/>
        <v>995</v>
      </c>
      <c r="N163" s="58">
        <f t="shared" ca="1" si="26"/>
        <v>4.22</v>
      </c>
      <c r="O163" s="160">
        <f t="shared" ca="1" si="26"/>
        <v>4.0202736225286948</v>
      </c>
    </row>
    <row r="164" spans="1:15" x14ac:dyDescent="0.25">
      <c r="A164" s="55" t="e">
        <f t="shared" ca="1" si="36"/>
        <v>#N/A</v>
      </c>
      <c r="B164" s="55" t="e">
        <f t="shared" ca="1" si="27"/>
        <v>#N/A</v>
      </c>
      <c r="C164" s="55" t="e">
        <f t="shared" ca="1" si="28"/>
        <v>#N/A</v>
      </c>
      <c r="D164" s="55" t="e">
        <f t="shared" ca="1" si="29"/>
        <v>#N/A</v>
      </c>
      <c r="E164" s="120">
        <f t="shared" ca="1" si="37"/>
        <v>998</v>
      </c>
      <c r="F164" s="56">
        <f t="shared" ca="1" si="38"/>
        <v>232</v>
      </c>
      <c r="G164" s="56">
        <f t="shared" ca="1" si="30"/>
        <v>21.5</v>
      </c>
      <c r="H164" s="116">
        <f t="shared" ca="1" si="31"/>
        <v>25.72</v>
      </c>
      <c r="I164" s="57" t="str">
        <f t="shared" ca="1" si="32"/>
        <v>4.220 + 21.500</v>
      </c>
      <c r="J164" s="131">
        <f t="shared" ca="1" si="39"/>
        <v>2.8799999999999955</v>
      </c>
      <c r="K164" s="122" t="str">
        <f t="shared" ca="1" si="33"/>
        <v/>
      </c>
      <c r="L164" s="130" t="str">
        <f t="shared" ca="1" si="34"/>
        <v/>
      </c>
      <c r="M164" s="126">
        <f t="shared" ca="1" si="35"/>
        <v>995</v>
      </c>
      <c r="N164" s="58">
        <f t="shared" ca="1" si="26"/>
        <v>4.22</v>
      </c>
      <c r="O164" s="160">
        <f t="shared" ca="1" si="26"/>
        <v>4.0202736225286948</v>
      </c>
    </row>
    <row r="165" spans="1:15" x14ac:dyDescent="0.25">
      <c r="A165" s="55" t="e">
        <f t="shared" ca="1" si="36"/>
        <v>#N/A</v>
      </c>
      <c r="B165" s="55" t="e">
        <f t="shared" ca="1" si="27"/>
        <v>#N/A</v>
      </c>
      <c r="C165" s="55" t="e">
        <f t="shared" ca="1" si="28"/>
        <v>#N/A</v>
      </c>
      <c r="D165" s="55" t="e">
        <f t="shared" ca="1" si="29"/>
        <v>#N/A</v>
      </c>
      <c r="E165" s="120">
        <f t="shared" ca="1" si="37"/>
        <v>998</v>
      </c>
      <c r="F165" s="56">
        <f t="shared" ca="1" si="38"/>
        <v>228</v>
      </c>
      <c r="G165" s="56">
        <f t="shared" ca="1" si="30"/>
        <v>19.600000000000001</v>
      </c>
      <c r="H165" s="116">
        <f t="shared" ca="1" si="31"/>
        <v>24.240000000000002</v>
      </c>
      <c r="I165" s="57" t="str">
        <f t="shared" ca="1" si="32"/>
        <v>4.640 + 19.600</v>
      </c>
      <c r="J165" s="131">
        <f t="shared" ca="1" si="39"/>
        <v>3.039999999999992</v>
      </c>
      <c r="K165" s="122" t="str">
        <f t="shared" ca="1" si="33"/>
        <v/>
      </c>
      <c r="L165" s="130" t="str">
        <f t="shared" ca="1" si="34"/>
        <v/>
      </c>
      <c r="M165" s="126">
        <f t="shared" ca="1" si="35"/>
        <v>995</v>
      </c>
      <c r="N165" s="58">
        <f t="shared" ca="1" si="26"/>
        <v>4.6400000000000006</v>
      </c>
      <c r="O165" s="160">
        <f t="shared" ca="1" si="26"/>
        <v>4.4250197739671178</v>
      </c>
    </row>
    <row r="166" spans="1:15" x14ac:dyDescent="0.25">
      <c r="A166" s="55" t="e">
        <f t="shared" ca="1" si="36"/>
        <v>#N/A</v>
      </c>
      <c r="B166" s="55" t="e">
        <f t="shared" ca="1" si="27"/>
        <v>#N/A</v>
      </c>
      <c r="C166" s="55" t="e">
        <f t="shared" ca="1" si="28"/>
        <v>#N/A</v>
      </c>
      <c r="D166" s="55" t="e">
        <f t="shared" ca="1" si="29"/>
        <v>#N/A</v>
      </c>
      <c r="E166" s="120">
        <f t="shared" ca="1" si="37"/>
        <v>998</v>
      </c>
      <c r="F166" s="56">
        <f t="shared" ca="1" si="38"/>
        <v>228</v>
      </c>
      <c r="G166" s="56">
        <f t="shared" ca="1" si="30"/>
        <v>19.600000000000001</v>
      </c>
      <c r="H166" s="116">
        <f t="shared" ca="1" si="31"/>
        <v>24.240000000000002</v>
      </c>
      <c r="I166" s="57" t="str">
        <f t="shared" ca="1" si="32"/>
        <v>4.640 + 19.600</v>
      </c>
      <c r="J166" s="131">
        <f t="shared" ca="1" si="39"/>
        <v>3.039999999999992</v>
      </c>
      <c r="K166" s="122" t="str">
        <f t="shared" ca="1" si="33"/>
        <v/>
      </c>
      <c r="L166" s="130" t="str">
        <f t="shared" ca="1" si="34"/>
        <v/>
      </c>
      <c r="M166" s="126">
        <f t="shared" ca="1" si="35"/>
        <v>995</v>
      </c>
      <c r="N166" s="58">
        <f t="shared" ca="1" si="26"/>
        <v>4.6400000000000006</v>
      </c>
      <c r="O166" s="160">
        <f t="shared" ca="1" si="26"/>
        <v>4.4250197739671178</v>
      </c>
    </row>
    <row r="167" spans="1:15" x14ac:dyDescent="0.25">
      <c r="A167" s="55" t="e">
        <f t="shared" ca="1" si="36"/>
        <v>#N/A</v>
      </c>
      <c r="B167" s="55" t="e">
        <f t="shared" ca="1" si="27"/>
        <v>#N/A</v>
      </c>
      <c r="C167" s="55" t="e">
        <f t="shared" ca="1" si="28"/>
        <v>#N/A</v>
      </c>
      <c r="D167" s="55" t="e">
        <f t="shared" ca="1" si="29"/>
        <v>#N/A</v>
      </c>
      <c r="E167" s="120">
        <f t="shared" ca="1" si="37"/>
        <v>998</v>
      </c>
      <c r="F167" s="56">
        <f t="shared" ca="1" si="38"/>
        <v>228</v>
      </c>
      <c r="G167" s="56">
        <f t="shared" ca="1" si="30"/>
        <v>19.600000000000001</v>
      </c>
      <c r="H167" s="116">
        <f t="shared" ca="1" si="31"/>
        <v>24.240000000000002</v>
      </c>
      <c r="I167" s="57" t="str">
        <f t="shared" ca="1" si="32"/>
        <v>4.640 + 19.600</v>
      </c>
      <c r="J167" s="131">
        <f t="shared" ca="1" si="39"/>
        <v>3.039999999999992</v>
      </c>
      <c r="K167" s="122" t="str">
        <f t="shared" ca="1" si="33"/>
        <v/>
      </c>
      <c r="L167" s="130" t="str">
        <f t="shared" ca="1" si="34"/>
        <v/>
      </c>
      <c r="M167" s="126">
        <f t="shared" ca="1" si="35"/>
        <v>995</v>
      </c>
      <c r="N167" s="58">
        <f t="shared" ca="1" si="26"/>
        <v>4.6400000000000006</v>
      </c>
      <c r="O167" s="160">
        <f t="shared" ca="1" si="26"/>
        <v>4.4250197739671178</v>
      </c>
    </row>
    <row r="168" spans="1:15" x14ac:dyDescent="0.25">
      <c r="A168" s="55" t="e">
        <f t="shared" ca="1" si="36"/>
        <v>#N/A</v>
      </c>
      <c r="B168" s="55" t="e">
        <f t="shared" ca="1" si="27"/>
        <v>#N/A</v>
      </c>
      <c r="C168" s="55" t="e">
        <f t="shared" ca="1" si="28"/>
        <v>#N/A</v>
      </c>
      <c r="D168" s="55" t="e">
        <f t="shared" ca="1" si="29"/>
        <v>#N/A</v>
      </c>
      <c r="E168" s="120">
        <f t="shared" ca="1" si="37"/>
        <v>998</v>
      </c>
      <c r="F168" s="56">
        <f t="shared" ca="1" si="38"/>
        <v>228</v>
      </c>
      <c r="G168" s="56">
        <f t="shared" ca="1" si="30"/>
        <v>19.600000000000001</v>
      </c>
      <c r="H168" s="116">
        <f t="shared" ca="1" si="31"/>
        <v>24.240000000000002</v>
      </c>
      <c r="I168" s="57" t="str">
        <f t="shared" ca="1" si="32"/>
        <v>4.640 + 19.600</v>
      </c>
      <c r="J168" s="131">
        <f t="shared" ca="1" si="39"/>
        <v>3.039999999999992</v>
      </c>
      <c r="K168" s="122" t="str">
        <f t="shared" ca="1" si="33"/>
        <v/>
      </c>
      <c r="L168" s="130" t="str">
        <f t="shared" ca="1" si="34"/>
        <v/>
      </c>
      <c r="M168" s="126">
        <f t="shared" ca="1" si="35"/>
        <v>995</v>
      </c>
      <c r="N168" s="58">
        <f t="shared" ref="N168:O231" ca="1" si="40">N72*10</f>
        <v>4.6400000000000006</v>
      </c>
      <c r="O168" s="160">
        <f t="shared" ca="1" si="40"/>
        <v>4.4250197739671178</v>
      </c>
    </row>
    <row r="169" spans="1:15" x14ac:dyDescent="0.25">
      <c r="A169" s="55" t="e">
        <f t="shared" ca="1" si="36"/>
        <v>#N/A</v>
      </c>
      <c r="B169" s="55" t="e">
        <f t="shared" ca="1" si="27"/>
        <v>#N/A</v>
      </c>
      <c r="C169" s="55" t="e">
        <f t="shared" ca="1" si="28"/>
        <v>#N/A</v>
      </c>
      <c r="D169" s="55" t="e">
        <f t="shared" ca="1" si="29"/>
        <v>#N/A</v>
      </c>
      <c r="E169" s="120">
        <f t="shared" ca="1" si="37"/>
        <v>998</v>
      </c>
      <c r="F169" s="56">
        <f t="shared" ca="1" si="38"/>
        <v>228</v>
      </c>
      <c r="G169" s="56">
        <f t="shared" ca="1" si="30"/>
        <v>19.600000000000001</v>
      </c>
      <c r="H169" s="116">
        <f t="shared" ca="1" si="31"/>
        <v>24.71</v>
      </c>
      <c r="I169" s="57" t="str">
        <f t="shared" ca="1" si="32"/>
        <v>5.110 + 19.600</v>
      </c>
      <c r="J169" s="131">
        <f t="shared" ca="1" si="39"/>
        <v>1.1599999999999966</v>
      </c>
      <c r="K169" s="122" t="str">
        <f t="shared" ca="1" si="33"/>
        <v/>
      </c>
      <c r="L169" s="130" t="str">
        <f t="shared" ca="1" si="34"/>
        <v/>
      </c>
      <c r="M169" s="126">
        <f t="shared" ca="1" si="35"/>
        <v>995</v>
      </c>
      <c r="N169" s="58">
        <f t="shared" ca="1" si="40"/>
        <v>5.1100000000000003</v>
      </c>
      <c r="O169" s="160">
        <f t="shared" ca="1" si="40"/>
        <v>4.8693326031397772</v>
      </c>
    </row>
    <row r="170" spans="1:15" x14ac:dyDescent="0.25">
      <c r="A170" s="55" t="e">
        <f t="shared" ca="1" si="36"/>
        <v>#N/A</v>
      </c>
      <c r="B170" s="55" t="e">
        <f t="shared" ca="1" si="27"/>
        <v>#N/A</v>
      </c>
      <c r="C170" s="55" t="e">
        <f t="shared" ca="1" si="28"/>
        <v>#N/A</v>
      </c>
      <c r="D170" s="55" t="e">
        <f t="shared" ca="1" si="29"/>
        <v>#N/A</v>
      </c>
      <c r="E170" s="120">
        <f t="shared" ca="1" si="37"/>
        <v>998</v>
      </c>
      <c r="F170" s="56">
        <f t="shared" ca="1" si="38"/>
        <v>228</v>
      </c>
      <c r="G170" s="56">
        <f t="shared" ca="1" si="30"/>
        <v>19.600000000000001</v>
      </c>
      <c r="H170" s="116">
        <f t="shared" ca="1" si="31"/>
        <v>24.71</v>
      </c>
      <c r="I170" s="57" t="str">
        <f t="shared" ca="1" si="32"/>
        <v>5.110 + 19.600</v>
      </c>
      <c r="J170" s="131">
        <f t="shared" ca="1" si="39"/>
        <v>1.1599999999999966</v>
      </c>
      <c r="K170" s="122" t="str">
        <f t="shared" ca="1" si="33"/>
        <v/>
      </c>
      <c r="L170" s="130" t="str">
        <f t="shared" ca="1" si="34"/>
        <v/>
      </c>
      <c r="M170" s="126">
        <f t="shared" ca="1" si="35"/>
        <v>995</v>
      </c>
      <c r="N170" s="58">
        <f t="shared" ca="1" si="40"/>
        <v>5.1100000000000003</v>
      </c>
      <c r="O170" s="160">
        <f t="shared" ca="1" si="40"/>
        <v>4.8693326031397772</v>
      </c>
    </row>
    <row r="171" spans="1:15" x14ac:dyDescent="0.25">
      <c r="A171" s="55" t="e">
        <f t="shared" ca="1" si="36"/>
        <v>#N/A</v>
      </c>
      <c r="B171" s="55" t="e">
        <f t="shared" ca="1" si="27"/>
        <v>#N/A</v>
      </c>
      <c r="C171" s="55" t="e">
        <f t="shared" ca="1" si="28"/>
        <v>#N/A</v>
      </c>
      <c r="D171" s="55" t="e">
        <f t="shared" ca="1" si="29"/>
        <v>#N/A</v>
      </c>
      <c r="E171" s="120">
        <f t="shared" ca="1" si="37"/>
        <v>998</v>
      </c>
      <c r="F171" s="56">
        <f t="shared" ca="1" si="38"/>
        <v>228</v>
      </c>
      <c r="G171" s="56">
        <f t="shared" ca="1" si="30"/>
        <v>19.600000000000001</v>
      </c>
      <c r="H171" s="116">
        <f t="shared" ca="1" si="31"/>
        <v>24.71</v>
      </c>
      <c r="I171" s="57" t="str">
        <f t="shared" ca="1" si="32"/>
        <v>5.110 + 19.600</v>
      </c>
      <c r="J171" s="131">
        <f t="shared" ca="1" si="39"/>
        <v>1.1599999999999966</v>
      </c>
      <c r="K171" s="122" t="str">
        <f t="shared" ca="1" si="33"/>
        <v/>
      </c>
      <c r="L171" s="130" t="str">
        <f t="shared" ca="1" si="34"/>
        <v/>
      </c>
      <c r="M171" s="126">
        <f t="shared" ca="1" si="35"/>
        <v>995</v>
      </c>
      <c r="N171" s="58">
        <f t="shared" ca="1" si="40"/>
        <v>5.1100000000000003</v>
      </c>
      <c r="O171" s="160">
        <f t="shared" ca="1" si="40"/>
        <v>4.8693326031397772</v>
      </c>
    </row>
    <row r="172" spans="1:15" x14ac:dyDescent="0.25">
      <c r="A172" s="55" t="e">
        <f t="shared" ca="1" si="36"/>
        <v>#N/A</v>
      </c>
      <c r="B172" s="55" t="e">
        <f t="shared" ca="1" si="27"/>
        <v>#N/A</v>
      </c>
      <c r="C172" s="55" t="e">
        <f t="shared" ca="1" si="28"/>
        <v>#N/A</v>
      </c>
      <c r="D172" s="55" t="e">
        <f t="shared" ca="1" si="29"/>
        <v>#N/A</v>
      </c>
      <c r="E172" s="120">
        <f t="shared" ca="1" si="37"/>
        <v>998</v>
      </c>
      <c r="F172" s="56">
        <f t="shared" ca="1" si="38"/>
        <v>228</v>
      </c>
      <c r="G172" s="56">
        <f t="shared" ca="1" si="30"/>
        <v>19.600000000000001</v>
      </c>
      <c r="H172" s="116">
        <f t="shared" ca="1" si="31"/>
        <v>24.71</v>
      </c>
      <c r="I172" s="57" t="str">
        <f t="shared" ca="1" si="32"/>
        <v>5.110 + 19.600</v>
      </c>
      <c r="J172" s="131">
        <f t="shared" ca="1" si="39"/>
        <v>1.1599999999999966</v>
      </c>
      <c r="K172" s="122" t="str">
        <f t="shared" ca="1" si="33"/>
        <v/>
      </c>
      <c r="L172" s="130" t="str">
        <f t="shared" ca="1" si="34"/>
        <v/>
      </c>
      <c r="M172" s="126">
        <f t="shared" ca="1" si="35"/>
        <v>995</v>
      </c>
      <c r="N172" s="58">
        <f t="shared" ca="1" si="40"/>
        <v>5.1100000000000003</v>
      </c>
      <c r="O172" s="160">
        <f t="shared" ca="1" si="40"/>
        <v>4.8693326031397772</v>
      </c>
    </row>
    <row r="173" spans="1:15" x14ac:dyDescent="0.25">
      <c r="A173" s="55" t="e">
        <f t="shared" ca="1" si="36"/>
        <v>#N/A</v>
      </c>
      <c r="B173" s="55" t="e">
        <f t="shared" ca="1" si="27"/>
        <v>#N/A</v>
      </c>
      <c r="C173" s="55" t="e">
        <f t="shared" ca="1" si="28"/>
        <v>#N/A</v>
      </c>
      <c r="D173" s="55" t="e">
        <f t="shared" ca="1" si="29"/>
        <v>#N/A</v>
      </c>
      <c r="E173" s="120">
        <f t="shared" ca="1" si="37"/>
        <v>998</v>
      </c>
      <c r="F173" s="56">
        <f t="shared" ca="1" si="38"/>
        <v>228</v>
      </c>
      <c r="G173" s="56">
        <f t="shared" ca="1" si="30"/>
        <v>19.600000000000001</v>
      </c>
      <c r="H173" s="116">
        <f t="shared" ca="1" si="31"/>
        <v>25.220000000000002</v>
      </c>
      <c r="I173" s="57" t="str">
        <f t="shared" ca="1" si="32"/>
        <v>5.620 + 19.600</v>
      </c>
      <c r="J173" s="131">
        <f t="shared" ca="1" si="39"/>
        <v>0.88000000000000966</v>
      </c>
      <c r="K173" s="122" t="str">
        <f t="shared" ca="1" si="33"/>
        <v>5.620 + 19.600</v>
      </c>
      <c r="L173" s="130">
        <f t="shared" ca="1" si="34"/>
        <v>25.220000000000002</v>
      </c>
      <c r="M173" s="126">
        <f t="shared" ca="1" si="35"/>
        <v>0.88000000000000966</v>
      </c>
      <c r="N173" s="58">
        <f t="shared" ca="1" si="40"/>
        <v>5.620000000000001</v>
      </c>
      <c r="O173" s="160">
        <f t="shared" ca="1" si="40"/>
        <v>5.3589364616498303</v>
      </c>
    </row>
    <row r="174" spans="1:15" x14ac:dyDescent="0.25">
      <c r="A174" s="55" t="e">
        <f t="shared" ca="1" si="36"/>
        <v>#N/A</v>
      </c>
      <c r="B174" s="55" t="e">
        <f t="shared" ca="1" si="27"/>
        <v>#N/A</v>
      </c>
      <c r="C174" s="55" t="e">
        <f t="shared" ca="1" si="28"/>
        <v>#N/A</v>
      </c>
      <c r="D174" s="55" t="e">
        <f t="shared" ca="1" si="29"/>
        <v>#N/A</v>
      </c>
      <c r="E174" s="120">
        <f t="shared" ca="1" si="37"/>
        <v>998</v>
      </c>
      <c r="F174" s="56">
        <f t="shared" ca="1" si="38"/>
        <v>228</v>
      </c>
      <c r="G174" s="56">
        <f t="shared" ca="1" si="30"/>
        <v>19.600000000000001</v>
      </c>
      <c r="H174" s="116">
        <f t="shared" ca="1" si="31"/>
        <v>25.220000000000002</v>
      </c>
      <c r="I174" s="57" t="str">
        <f t="shared" ca="1" si="32"/>
        <v>5.620 + 19.600</v>
      </c>
      <c r="J174" s="131">
        <f t="shared" ca="1" si="39"/>
        <v>0.88000000000000966</v>
      </c>
      <c r="K174" s="122" t="str">
        <f t="shared" ca="1" si="33"/>
        <v>5.620 + 19.600</v>
      </c>
      <c r="L174" s="130">
        <f t="shared" ca="1" si="34"/>
        <v>25.220000000000002</v>
      </c>
      <c r="M174" s="126">
        <f t="shared" ca="1" si="35"/>
        <v>0.88000000000000966</v>
      </c>
      <c r="N174" s="58">
        <f t="shared" ca="1" si="40"/>
        <v>5.620000000000001</v>
      </c>
      <c r="O174" s="160">
        <f t="shared" ca="1" si="40"/>
        <v>5.3589364616498303</v>
      </c>
    </row>
    <row r="175" spans="1:15" x14ac:dyDescent="0.25">
      <c r="A175" s="55" t="e">
        <f t="shared" ca="1" si="36"/>
        <v>#N/A</v>
      </c>
      <c r="B175" s="55" t="e">
        <f t="shared" ca="1" si="27"/>
        <v>#N/A</v>
      </c>
      <c r="C175" s="55" t="e">
        <f t="shared" ca="1" si="28"/>
        <v>#N/A</v>
      </c>
      <c r="D175" s="55" t="e">
        <f t="shared" ca="1" si="29"/>
        <v>#N/A</v>
      </c>
      <c r="E175" s="120">
        <f t="shared" ca="1" si="37"/>
        <v>998</v>
      </c>
      <c r="F175" s="56">
        <f t="shared" ca="1" si="38"/>
        <v>228</v>
      </c>
      <c r="G175" s="56">
        <f t="shared" ca="1" si="30"/>
        <v>19.600000000000001</v>
      </c>
      <c r="H175" s="116">
        <f t="shared" ca="1" si="31"/>
        <v>25.220000000000002</v>
      </c>
      <c r="I175" s="57" t="str">
        <f t="shared" ca="1" si="32"/>
        <v>5.620 + 19.600</v>
      </c>
      <c r="J175" s="131">
        <f t="shared" ca="1" si="39"/>
        <v>0.88000000000000966</v>
      </c>
      <c r="K175" s="122" t="str">
        <f t="shared" ca="1" si="33"/>
        <v>5.620 + 19.600</v>
      </c>
      <c r="L175" s="130">
        <f t="shared" ca="1" si="34"/>
        <v>25.220000000000002</v>
      </c>
      <c r="M175" s="126">
        <f t="shared" ca="1" si="35"/>
        <v>0.88000000000000966</v>
      </c>
      <c r="N175" s="58">
        <f t="shared" ca="1" si="40"/>
        <v>5.620000000000001</v>
      </c>
      <c r="O175" s="160">
        <f t="shared" ca="1" si="40"/>
        <v>5.3589364616498303</v>
      </c>
    </row>
    <row r="176" spans="1:15" x14ac:dyDescent="0.25">
      <c r="A176" s="55" t="e">
        <f t="shared" ca="1" si="36"/>
        <v>#N/A</v>
      </c>
      <c r="B176" s="55" t="e">
        <f t="shared" ca="1" si="27"/>
        <v>#N/A</v>
      </c>
      <c r="C176" s="55" t="e">
        <f t="shared" ca="1" si="28"/>
        <v>#N/A</v>
      </c>
      <c r="D176" s="55" t="e">
        <f t="shared" ca="1" si="29"/>
        <v>#N/A</v>
      </c>
      <c r="E176" s="120">
        <f t="shared" ca="1" si="37"/>
        <v>998</v>
      </c>
      <c r="F176" s="56">
        <f t="shared" ca="1" si="38"/>
        <v>228</v>
      </c>
      <c r="G176" s="56">
        <f t="shared" ca="1" si="30"/>
        <v>19.600000000000001</v>
      </c>
      <c r="H176" s="116">
        <f t="shared" ca="1" si="31"/>
        <v>25.220000000000002</v>
      </c>
      <c r="I176" s="57" t="str">
        <f t="shared" ca="1" si="32"/>
        <v>5.620 + 19.600</v>
      </c>
      <c r="J176" s="131">
        <f t="shared" ca="1" si="39"/>
        <v>0.88000000000000966</v>
      </c>
      <c r="K176" s="122" t="str">
        <f t="shared" ca="1" si="33"/>
        <v>5.620 + 19.600</v>
      </c>
      <c r="L176" s="130">
        <f t="shared" ca="1" si="34"/>
        <v>25.220000000000002</v>
      </c>
      <c r="M176" s="126">
        <f t="shared" ca="1" si="35"/>
        <v>0.88000000000000966</v>
      </c>
      <c r="N176" s="58">
        <f t="shared" ca="1" si="40"/>
        <v>5.620000000000001</v>
      </c>
      <c r="O176" s="160">
        <f t="shared" ca="1" si="40"/>
        <v>5.3589364616498303</v>
      </c>
    </row>
    <row r="177" spans="1:15" x14ac:dyDescent="0.25">
      <c r="A177" s="55" t="e">
        <f t="shared" ca="1" si="36"/>
        <v>#N/A</v>
      </c>
      <c r="B177" s="55" t="e">
        <f t="shared" ca="1" si="27"/>
        <v>#N/A</v>
      </c>
      <c r="C177" s="55" t="e">
        <f t="shared" ca="1" si="28"/>
        <v>#N/A</v>
      </c>
      <c r="D177" s="55" t="e">
        <f t="shared" ca="1" si="29"/>
        <v>#N/A</v>
      </c>
      <c r="E177" s="120">
        <f t="shared" ca="1" si="37"/>
        <v>998</v>
      </c>
      <c r="F177" s="56">
        <f t="shared" ca="1" si="38"/>
        <v>228</v>
      </c>
      <c r="G177" s="56">
        <f t="shared" ca="1" si="30"/>
        <v>19.600000000000001</v>
      </c>
      <c r="H177" s="116">
        <f t="shared" ca="1" si="31"/>
        <v>25.79</v>
      </c>
      <c r="I177" s="57" t="str">
        <f t="shared" ca="1" si="32"/>
        <v>6.190 + 19.600</v>
      </c>
      <c r="J177" s="131">
        <f t="shared" ca="1" si="39"/>
        <v>3.1599999999999966</v>
      </c>
      <c r="K177" s="122" t="str">
        <f t="shared" ca="1" si="33"/>
        <v/>
      </c>
      <c r="L177" s="130" t="str">
        <f t="shared" ca="1" si="34"/>
        <v/>
      </c>
      <c r="M177" s="126">
        <f t="shared" ca="1" si="35"/>
        <v>995</v>
      </c>
      <c r="N177" s="58">
        <f t="shared" ca="1" si="40"/>
        <v>6.1899999999999995</v>
      </c>
      <c r="O177" s="160">
        <f t="shared" ca="1" si="40"/>
        <v>5.8981183440144687</v>
      </c>
    </row>
    <row r="178" spans="1:15" x14ac:dyDescent="0.25">
      <c r="A178" s="55" t="e">
        <f t="shared" ca="1" si="36"/>
        <v>#N/A</v>
      </c>
      <c r="B178" s="55" t="e">
        <f t="shared" ca="1" si="27"/>
        <v>#N/A</v>
      </c>
      <c r="C178" s="55" t="e">
        <f t="shared" ca="1" si="28"/>
        <v>#N/A</v>
      </c>
      <c r="D178" s="55" t="e">
        <f t="shared" ca="1" si="29"/>
        <v>#N/A</v>
      </c>
      <c r="E178" s="120">
        <f t="shared" ca="1" si="37"/>
        <v>998</v>
      </c>
      <c r="F178" s="56">
        <f t="shared" ca="1" si="38"/>
        <v>228</v>
      </c>
      <c r="G178" s="56">
        <f t="shared" ca="1" si="30"/>
        <v>19.600000000000001</v>
      </c>
      <c r="H178" s="116">
        <f t="shared" ca="1" si="31"/>
        <v>25.79</v>
      </c>
      <c r="I178" s="57" t="str">
        <f t="shared" ca="1" si="32"/>
        <v>6.190 + 19.600</v>
      </c>
      <c r="J178" s="131">
        <f t="shared" ca="1" si="39"/>
        <v>3.1599999999999966</v>
      </c>
      <c r="K178" s="122" t="str">
        <f t="shared" ca="1" si="33"/>
        <v/>
      </c>
      <c r="L178" s="130" t="str">
        <f t="shared" ca="1" si="34"/>
        <v/>
      </c>
      <c r="M178" s="126">
        <f t="shared" ca="1" si="35"/>
        <v>995</v>
      </c>
      <c r="N178" s="58">
        <f t="shared" ca="1" si="40"/>
        <v>6.1899999999999995</v>
      </c>
      <c r="O178" s="160">
        <f t="shared" ca="1" si="40"/>
        <v>5.8981183440144687</v>
      </c>
    </row>
    <row r="179" spans="1:15" x14ac:dyDescent="0.25">
      <c r="A179" s="55" t="e">
        <f t="shared" ca="1" si="36"/>
        <v>#N/A</v>
      </c>
      <c r="B179" s="55" t="e">
        <f t="shared" ca="1" si="27"/>
        <v>#N/A</v>
      </c>
      <c r="C179" s="55" t="e">
        <f t="shared" ca="1" si="28"/>
        <v>#N/A</v>
      </c>
      <c r="D179" s="55" t="e">
        <f t="shared" ca="1" si="29"/>
        <v>#N/A</v>
      </c>
      <c r="E179" s="120">
        <f t="shared" ca="1" si="37"/>
        <v>998</v>
      </c>
      <c r="F179" s="56">
        <f t="shared" ca="1" si="38"/>
        <v>228</v>
      </c>
      <c r="G179" s="56">
        <f t="shared" ca="1" si="30"/>
        <v>19.600000000000001</v>
      </c>
      <c r="H179" s="116">
        <f t="shared" ca="1" si="31"/>
        <v>25.79</v>
      </c>
      <c r="I179" s="57" t="str">
        <f t="shared" ca="1" si="32"/>
        <v>6.190 + 19.600</v>
      </c>
      <c r="J179" s="131">
        <f t="shared" ca="1" si="39"/>
        <v>3.1599999999999966</v>
      </c>
      <c r="K179" s="122" t="str">
        <f t="shared" ca="1" si="33"/>
        <v/>
      </c>
      <c r="L179" s="130" t="str">
        <f t="shared" ca="1" si="34"/>
        <v/>
      </c>
      <c r="M179" s="126">
        <f t="shared" ca="1" si="35"/>
        <v>995</v>
      </c>
      <c r="N179" s="58">
        <f t="shared" ca="1" si="40"/>
        <v>6.1899999999999995</v>
      </c>
      <c r="O179" s="160">
        <f t="shared" ca="1" si="40"/>
        <v>5.8981183440144687</v>
      </c>
    </row>
    <row r="180" spans="1:15" x14ac:dyDescent="0.25">
      <c r="A180" s="55" t="e">
        <f t="shared" ca="1" si="36"/>
        <v>#N/A</v>
      </c>
      <c r="B180" s="55" t="e">
        <f t="shared" ca="1" si="27"/>
        <v>#N/A</v>
      </c>
      <c r="C180" s="55" t="e">
        <f t="shared" ca="1" si="28"/>
        <v>#N/A</v>
      </c>
      <c r="D180" s="55" t="e">
        <f t="shared" ca="1" si="29"/>
        <v>#N/A</v>
      </c>
      <c r="E180" s="120">
        <f t="shared" ca="1" si="37"/>
        <v>998</v>
      </c>
      <c r="F180" s="56">
        <f t="shared" ca="1" si="38"/>
        <v>228</v>
      </c>
      <c r="G180" s="56">
        <f t="shared" ca="1" si="30"/>
        <v>19.600000000000001</v>
      </c>
      <c r="H180" s="116">
        <f t="shared" ca="1" si="31"/>
        <v>25.79</v>
      </c>
      <c r="I180" s="57" t="str">
        <f t="shared" ca="1" si="32"/>
        <v>6.190 + 19.600</v>
      </c>
      <c r="J180" s="131">
        <f t="shared" ca="1" si="39"/>
        <v>3.1599999999999966</v>
      </c>
      <c r="K180" s="122" t="str">
        <f t="shared" ca="1" si="33"/>
        <v/>
      </c>
      <c r="L180" s="130" t="str">
        <f t="shared" ca="1" si="34"/>
        <v/>
      </c>
      <c r="M180" s="126">
        <f t="shared" ca="1" si="35"/>
        <v>995</v>
      </c>
      <c r="N180" s="58">
        <f t="shared" ca="1" si="40"/>
        <v>6.1899999999999995</v>
      </c>
      <c r="O180" s="160">
        <f t="shared" ca="1" si="40"/>
        <v>5.8981183440144687</v>
      </c>
    </row>
    <row r="181" spans="1:15" x14ac:dyDescent="0.25">
      <c r="A181" s="55" t="e">
        <f t="shared" ca="1" si="36"/>
        <v>#N/A</v>
      </c>
      <c r="B181" s="55" t="e">
        <f t="shared" ca="1" si="27"/>
        <v>#N/A</v>
      </c>
      <c r="C181" s="55" t="e">
        <f t="shared" ca="1" si="28"/>
        <v>#N/A</v>
      </c>
      <c r="D181" s="55" t="e">
        <f t="shared" ca="1" si="29"/>
        <v>#N/A</v>
      </c>
      <c r="E181" s="120">
        <f t="shared" ca="1" si="37"/>
        <v>998</v>
      </c>
      <c r="F181" s="56">
        <f t="shared" ca="1" si="38"/>
        <v>224</v>
      </c>
      <c r="G181" s="56">
        <f t="shared" ca="1" si="30"/>
        <v>17.799999999999997</v>
      </c>
      <c r="H181" s="116">
        <f t="shared" ca="1" si="31"/>
        <v>24.61</v>
      </c>
      <c r="I181" s="57" t="str">
        <f t="shared" ca="1" si="32"/>
        <v>6.810 + 17.800</v>
      </c>
      <c r="J181" s="131">
        <f t="shared" ca="1" si="39"/>
        <v>1.5600000000000023</v>
      </c>
      <c r="K181" s="122" t="str">
        <f t="shared" ca="1" si="33"/>
        <v/>
      </c>
      <c r="L181" s="130" t="str">
        <f t="shared" ca="1" si="34"/>
        <v/>
      </c>
      <c r="M181" s="126">
        <f t="shared" ca="1" si="35"/>
        <v>995</v>
      </c>
      <c r="N181" s="58">
        <f t="shared" ca="1" si="40"/>
        <v>6.8100000000000005</v>
      </c>
      <c r="O181" s="160">
        <f t="shared" ca="1" si="40"/>
        <v>6.4926034839654276</v>
      </c>
    </row>
    <row r="182" spans="1:15" x14ac:dyDescent="0.25">
      <c r="A182" s="55" t="e">
        <f t="shared" ca="1" si="36"/>
        <v>#N/A</v>
      </c>
      <c r="B182" s="55" t="e">
        <f t="shared" ca="1" si="27"/>
        <v>#N/A</v>
      </c>
      <c r="C182" s="55" t="e">
        <f t="shared" ca="1" si="28"/>
        <v>#N/A</v>
      </c>
      <c r="D182" s="55" t="e">
        <f t="shared" ca="1" si="29"/>
        <v>#N/A</v>
      </c>
      <c r="E182" s="120">
        <f t="shared" ca="1" si="37"/>
        <v>998</v>
      </c>
      <c r="F182" s="56">
        <f t="shared" ca="1" si="38"/>
        <v>224</v>
      </c>
      <c r="G182" s="56">
        <f t="shared" ca="1" si="30"/>
        <v>17.799999999999997</v>
      </c>
      <c r="H182" s="116">
        <f t="shared" ca="1" si="31"/>
        <v>24.61</v>
      </c>
      <c r="I182" s="57" t="str">
        <f t="shared" ca="1" si="32"/>
        <v>6.810 + 17.800</v>
      </c>
      <c r="J182" s="131">
        <f t="shared" ca="1" si="39"/>
        <v>1.5600000000000023</v>
      </c>
      <c r="K182" s="122" t="str">
        <f t="shared" ca="1" si="33"/>
        <v/>
      </c>
      <c r="L182" s="130" t="str">
        <f t="shared" ca="1" si="34"/>
        <v/>
      </c>
      <c r="M182" s="126">
        <f t="shared" ca="1" si="35"/>
        <v>995</v>
      </c>
      <c r="N182" s="58">
        <f t="shared" ca="1" si="40"/>
        <v>6.8100000000000005</v>
      </c>
      <c r="O182" s="160">
        <f t="shared" ca="1" si="40"/>
        <v>6.4926034839654276</v>
      </c>
    </row>
    <row r="183" spans="1:15" x14ac:dyDescent="0.25">
      <c r="A183" s="55" t="e">
        <f t="shared" ca="1" si="36"/>
        <v>#N/A</v>
      </c>
      <c r="B183" s="55" t="e">
        <f t="shared" ca="1" si="27"/>
        <v>#N/A</v>
      </c>
      <c r="C183" s="55" t="e">
        <f t="shared" ca="1" si="28"/>
        <v>#N/A</v>
      </c>
      <c r="D183" s="55" t="e">
        <f t="shared" ca="1" si="29"/>
        <v>#N/A</v>
      </c>
      <c r="E183" s="120">
        <f t="shared" ca="1" si="37"/>
        <v>998</v>
      </c>
      <c r="F183" s="56">
        <f t="shared" ca="1" si="38"/>
        <v>224</v>
      </c>
      <c r="G183" s="56">
        <f t="shared" ca="1" si="30"/>
        <v>17.799999999999997</v>
      </c>
      <c r="H183" s="116">
        <f t="shared" ca="1" si="31"/>
        <v>24.61</v>
      </c>
      <c r="I183" s="57" t="str">
        <f t="shared" ca="1" si="32"/>
        <v>6.810 + 17.800</v>
      </c>
      <c r="J183" s="131">
        <f t="shared" ca="1" si="39"/>
        <v>1.5600000000000023</v>
      </c>
      <c r="K183" s="122" t="str">
        <f t="shared" ca="1" si="33"/>
        <v/>
      </c>
      <c r="L183" s="130" t="str">
        <f t="shared" ca="1" si="34"/>
        <v/>
      </c>
      <c r="M183" s="126">
        <f t="shared" ca="1" si="35"/>
        <v>995</v>
      </c>
      <c r="N183" s="58">
        <f t="shared" ca="1" si="40"/>
        <v>6.8100000000000005</v>
      </c>
      <c r="O183" s="160">
        <f t="shared" ca="1" si="40"/>
        <v>6.4926034839654276</v>
      </c>
    </row>
    <row r="184" spans="1:15" x14ac:dyDescent="0.25">
      <c r="A184" s="55" t="e">
        <f t="shared" ca="1" si="36"/>
        <v>#N/A</v>
      </c>
      <c r="B184" s="55" t="e">
        <f t="shared" ca="1" si="27"/>
        <v>#N/A</v>
      </c>
      <c r="C184" s="55" t="e">
        <f t="shared" ca="1" si="28"/>
        <v>#N/A</v>
      </c>
      <c r="D184" s="55" t="e">
        <f t="shared" ca="1" si="29"/>
        <v>#N/A</v>
      </c>
      <c r="E184" s="120">
        <f t="shared" ca="1" si="37"/>
        <v>998</v>
      </c>
      <c r="F184" s="56">
        <f t="shared" ca="1" si="38"/>
        <v>224</v>
      </c>
      <c r="G184" s="56">
        <f t="shared" ca="1" si="30"/>
        <v>17.799999999999997</v>
      </c>
      <c r="H184" s="116">
        <f t="shared" ca="1" si="31"/>
        <v>24.61</v>
      </c>
      <c r="I184" s="57" t="str">
        <f t="shared" ca="1" si="32"/>
        <v>6.810 + 17.800</v>
      </c>
      <c r="J184" s="131">
        <f t="shared" ca="1" si="39"/>
        <v>1.5600000000000023</v>
      </c>
      <c r="K184" s="122" t="str">
        <f t="shared" ca="1" si="33"/>
        <v/>
      </c>
      <c r="L184" s="130" t="str">
        <f t="shared" ca="1" si="34"/>
        <v/>
      </c>
      <c r="M184" s="126">
        <f t="shared" ca="1" si="35"/>
        <v>995</v>
      </c>
      <c r="N184" s="58">
        <f t="shared" ca="1" si="40"/>
        <v>6.8100000000000005</v>
      </c>
      <c r="O184" s="160">
        <f t="shared" ca="1" si="40"/>
        <v>6.4926034839654276</v>
      </c>
    </row>
    <row r="185" spans="1:15" x14ac:dyDescent="0.25">
      <c r="A185" s="55" t="e">
        <f t="shared" ca="1" si="36"/>
        <v>#N/A</v>
      </c>
      <c r="B185" s="55" t="e">
        <f t="shared" ca="1" si="27"/>
        <v>#N/A</v>
      </c>
      <c r="C185" s="55" t="e">
        <f t="shared" ca="1" si="28"/>
        <v>#N/A</v>
      </c>
      <c r="D185" s="55" t="e">
        <f t="shared" ca="1" si="29"/>
        <v>#N/A</v>
      </c>
      <c r="E185" s="120">
        <f t="shared" ca="1" si="37"/>
        <v>998</v>
      </c>
      <c r="F185" s="56">
        <f t="shared" ca="1" si="38"/>
        <v>224</v>
      </c>
      <c r="G185" s="56">
        <f t="shared" ca="1" si="30"/>
        <v>17.799999999999997</v>
      </c>
      <c r="H185" s="116">
        <f t="shared" ca="1" si="31"/>
        <v>25.299999999999997</v>
      </c>
      <c r="I185" s="57" t="str">
        <f t="shared" ca="1" si="32"/>
        <v>7.500 + 17.800</v>
      </c>
      <c r="J185" s="131">
        <f t="shared" ca="1" si="39"/>
        <v>1.1999999999999886</v>
      </c>
      <c r="K185" s="122" t="str">
        <f t="shared" ca="1" si="33"/>
        <v/>
      </c>
      <c r="L185" s="130" t="str">
        <f t="shared" ca="1" si="34"/>
        <v/>
      </c>
      <c r="M185" s="126">
        <f t="shared" ca="1" si="35"/>
        <v>995</v>
      </c>
      <c r="N185" s="58">
        <f t="shared" ca="1" si="40"/>
        <v>7.5</v>
      </c>
      <c r="O185" s="160">
        <f t="shared" ca="1" si="40"/>
        <v>7.1466775497429573</v>
      </c>
    </row>
    <row r="186" spans="1:15" x14ac:dyDescent="0.25">
      <c r="A186" s="55" t="e">
        <f t="shared" ca="1" si="36"/>
        <v>#N/A</v>
      </c>
      <c r="B186" s="55" t="e">
        <f t="shared" ca="1" si="27"/>
        <v>#N/A</v>
      </c>
      <c r="C186" s="55" t="e">
        <f t="shared" ca="1" si="28"/>
        <v>#N/A</v>
      </c>
      <c r="D186" s="55" t="e">
        <f t="shared" ca="1" si="29"/>
        <v>#N/A</v>
      </c>
      <c r="E186" s="120">
        <f t="shared" ca="1" si="37"/>
        <v>998</v>
      </c>
      <c r="F186" s="56">
        <f t="shared" ca="1" si="38"/>
        <v>224</v>
      </c>
      <c r="G186" s="56">
        <f t="shared" ca="1" si="30"/>
        <v>17.799999999999997</v>
      </c>
      <c r="H186" s="116">
        <f t="shared" ca="1" si="31"/>
        <v>25.299999999999997</v>
      </c>
      <c r="I186" s="57" t="str">
        <f t="shared" ca="1" si="32"/>
        <v>7.500 + 17.800</v>
      </c>
      <c r="J186" s="131">
        <f t="shared" ca="1" si="39"/>
        <v>1.1999999999999886</v>
      </c>
      <c r="K186" s="122" t="str">
        <f t="shared" ca="1" si="33"/>
        <v/>
      </c>
      <c r="L186" s="130" t="str">
        <f t="shared" ca="1" si="34"/>
        <v/>
      </c>
      <c r="M186" s="126">
        <f t="shared" ca="1" si="35"/>
        <v>995</v>
      </c>
      <c r="N186" s="58">
        <f t="shared" ca="1" si="40"/>
        <v>7.5</v>
      </c>
      <c r="O186" s="160">
        <f t="shared" ca="1" si="40"/>
        <v>7.1466775497429573</v>
      </c>
    </row>
    <row r="187" spans="1:15" x14ac:dyDescent="0.25">
      <c r="A187" s="55" t="e">
        <f t="shared" ca="1" si="36"/>
        <v>#N/A</v>
      </c>
      <c r="B187" s="55" t="e">
        <f t="shared" ca="1" si="27"/>
        <v>#N/A</v>
      </c>
      <c r="C187" s="55" t="e">
        <f t="shared" ca="1" si="28"/>
        <v>#N/A</v>
      </c>
      <c r="D187" s="55" t="e">
        <f t="shared" ca="1" si="29"/>
        <v>#N/A</v>
      </c>
      <c r="E187" s="120">
        <f t="shared" ca="1" si="37"/>
        <v>998</v>
      </c>
      <c r="F187" s="56">
        <f t="shared" ca="1" si="38"/>
        <v>224</v>
      </c>
      <c r="G187" s="56">
        <f t="shared" ca="1" si="30"/>
        <v>17.799999999999997</v>
      </c>
      <c r="H187" s="116">
        <f t="shared" ca="1" si="31"/>
        <v>25.299999999999997</v>
      </c>
      <c r="I187" s="57" t="str">
        <f t="shared" ca="1" si="32"/>
        <v>7.500 + 17.800</v>
      </c>
      <c r="J187" s="131">
        <f t="shared" ca="1" si="39"/>
        <v>1.1999999999999886</v>
      </c>
      <c r="K187" s="122" t="str">
        <f t="shared" ca="1" si="33"/>
        <v/>
      </c>
      <c r="L187" s="130" t="str">
        <f t="shared" ca="1" si="34"/>
        <v/>
      </c>
      <c r="M187" s="126">
        <f t="shared" ca="1" si="35"/>
        <v>995</v>
      </c>
      <c r="N187" s="58">
        <f t="shared" ca="1" si="40"/>
        <v>7.5</v>
      </c>
      <c r="O187" s="160">
        <f t="shared" ca="1" si="40"/>
        <v>7.1466775497429573</v>
      </c>
    </row>
    <row r="188" spans="1:15" x14ac:dyDescent="0.25">
      <c r="A188" s="55" t="e">
        <f t="shared" ca="1" si="36"/>
        <v>#N/A</v>
      </c>
      <c r="B188" s="55" t="e">
        <f t="shared" ca="1" si="27"/>
        <v>#N/A</v>
      </c>
      <c r="C188" s="55" t="e">
        <f t="shared" ca="1" si="28"/>
        <v>#N/A</v>
      </c>
      <c r="D188" s="55" t="e">
        <f t="shared" ca="1" si="29"/>
        <v>#N/A</v>
      </c>
      <c r="E188" s="120">
        <f t="shared" ca="1" si="37"/>
        <v>998</v>
      </c>
      <c r="F188" s="56">
        <f t="shared" ca="1" si="38"/>
        <v>224</v>
      </c>
      <c r="G188" s="56">
        <f t="shared" ca="1" si="30"/>
        <v>17.799999999999997</v>
      </c>
      <c r="H188" s="116">
        <f t="shared" ca="1" si="31"/>
        <v>25.299999999999997</v>
      </c>
      <c r="I188" s="57" t="str">
        <f t="shared" ca="1" si="32"/>
        <v>7.500 + 17.800</v>
      </c>
      <c r="J188" s="131">
        <f t="shared" ca="1" si="39"/>
        <v>1.1999999999999886</v>
      </c>
      <c r="K188" s="122" t="str">
        <f t="shared" ca="1" si="33"/>
        <v/>
      </c>
      <c r="L188" s="130" t="str">
        <f t="shared" ca="1" si="34"/>
        <v/>
      </c>
      <c r="M188" s="126">
        <f t="shared" ca="1" si="35"/>
        <v>995</v>
      </c>
      <c r="N188" s="58">
        <f t="shared" ca="1" si="40"/>
        <v>7.5</v>
      </c>
      <c r="O188" s="160">
        <f t="shared" ca="1" si="40"/>
        <v>7.1466775497429573</v>
      </c>
    </row>
    <row r="189" spans="1:15" x14ac:dyDescent="0.25">
      <c r="A189" s="55" t="e">
        <f t="shared" ca="1" si="36"/>
        <v>#N/A</v>
      </c>
      <c r="B189" s="55" t="e">
        <f t="shared" ca="1" si="27"/>
        <v>#N/A</v>
      </c>
      <c r="C189" s="55" t="e">
        <f t="shared" ca="1" si="28"/>
        <v>#N/A</v>
      </c>
      <c r="D189" s="55" t="e">
        <f t="shared" ca="1" si="29"/>
        <v>#N/A</v>
      </c>
      <c r="E189" s="120">
        <f t="shared" ca="1" si="37"/>
        <v>998</v>
      </c>
      <c r="F189" s="56">
        <f t="shared" ca="1" si="38"/>
        <v>220</v>
      </c>
      <c r="G189" s="56">
        <f t="shared" ca="1" si="30"/>
        <v>16.200000000000003</v>
      </c>
      <c r="H189" s="116">
        <f t="shared" ca="1" si="31"/>
        <v>24.450000000000003</v>
      </c>
      <c r="I189" s="57" t="str">
        <f t="shared" ca="1" si="32"/>
        <v>8.250 + 16.200</v>
      </c>
      <c r="J189" s="131">
        <f t="shared" ca="1" si="39"/>
        <v>2.1999999999999886</v>
      </c>
      <c r="K189" s="122" t="str">
        <f t="shared" ca="1" si="33"/>
        <v/>
      </c>
      <c r="L189" s="130" t="str">
        <f t="shared" ca="1" si="34"/>
        <v/>
      </c>
      <c r="M189" s="126">
        <f t="shared" ca="1" si="35"/>
        <v>995</v>
      </c>
      <c r="N189" s="58">
        <f t="shared" ca="1" si="40"/>
        <v>8.25</v>
      </c>
      <c r="O189" s="160">
        <f t="shared" ca="1" si="40"/>
        <v>7.866066361276137</v>
      </c>
    </row>
    <row r="190" spans="1:15" x14ac:dyDescent="0.25">
      <c r="A190" s="55" t="e">
        <f t="shared" ca="1" si="36"/>
        <v>#N/A</v>
      </c>
      <c r="B190" s="55" t="e">
        <f t="shared" ca="1" si="27"/>
        <v>#N/A</v>
      </c>
      <c r="C190" s="55" t="e">
        <f t="shared" ca="1" si="28"/>
        <v>#N/A</v>
      </c>
      <c r="D190" s="55" t="e">
        <f t="shared" ca="1" si="29"/>
        <v>#N/A</v>
      </c>
      <c r="E190" s="120">
        <f t="shared" ca="1" si="37"/>
        <v>998</v>
      </c>
      <c r="F190" s="56">
        <f t="shared" ca="1" si="38"/>
        <v>220</v>
      </c>
      <c r="G190" s="56">
        <f t="shared" ca="1" si="30"/>
        <v>16.200000000000003</v>
      </c>
      <c r="H190" s="116">
        <f t="shared" ca="1" si="31"/>
        <v>24.450000000000003</v>
      </c>
      <c r="I190" s="57" t="str">
        <f t="shared" ca="1" si="32"/>
        <v>8.250 + 16.200</v>
      </c>
      <c r="J190" s="131">
        <f t="shared" ca="1" si="39"/>
        <v>2.1999999999999886</v>
      </c>
      <c r="K190" s="122" t="str">
        <f t="shared" ca="1" si="33"/>
        <v/>
      </c>
      <c r="L190" s="130" t="str">
        <f t="shared" ca="1" si="34"/>
        <v/>
      </c>
      <c r="M190" s="126">
        <f t="shared" ca="1" si="35"/>
        <v>995</v>
      </c>
      <c r="N190" s="58">
        <f t="shared" ca="1" si="40"/>
        <v>8.25</v>
      </c>
      <c r="O190" s="160">
        <f t="shared" ca="1" si="40"/>
        <v>7.866066361276137</v>
      </c>
    </row>
    <row r="191" spans="1:15" x14ac:dyDescent="0.25">
      <c r="A191" s="55" t="e">
        <f t="shared" ca="1" si="36"/>
        <v>#N/A</v>
      </c>
      <c r="B191" s="55" t="e">
        <f t="shared" ca="1" si="27"/>
        <v>#N/A</v>
      </c>
      <c r="C191" s="55" t="e">
        <f t="shared" ca="1" si="28"/>
        <v>#N/A</v>
      </c>
      <c r="D191" s="55" t="e">
        <f t="shared" ca="1" si="29"/>
        <v>#N/A</v>
      </c>
      <c r="E191" s="120">
        <f t="shared" ca="1" si="37"/>
        <v>998</v>
      </c>
      <c r="F191" s="56">
        <f t="shared" ca="1" si="38"/>
        <v>220</v>
      </c>
      <c r="G191" s="56">
        <f t="shared" ca="1" si="30"/>
        <v>16.200000000000003</v>
      </c>
      <c r="H191" s="116">
        <f t="shared" ca="1" si="31"/>
        <v>24.450000000000003</v>
      </c>
      <c r="I191" s="57" t="str">
        <f t="shared" ca="1" si="32"/>
        <v>8.250 + 16.200</v>
      </c>
      <c r="J191" s="131">
        <f t="shared" ca="1" si="39"/>
        <v>2.1999999999999886</v>
      </c>
      <c r="K191" s="122" t="str">
        <f t="shared" ca="1" si="33"/>
        <v/>
      </c>
      <c r="L191" s="130" t="str">
        <f t="shared" ca="1" si="34"/>
        <v/>
      </c>
      <c r="M191" s="126">
        <f t="shared" ca="1" si="35"/>
        <v>995</v>
      </c>
      <c r="N191" s="58">
        <f t="shared" ca="1" si="40"/>
        <v>8.25</v>
      </c>
      <c r="O191" s="160">
        <f t="shared" ca="1" si="40"/>
        <v>7.866066361276137</v>
      </c>
    </row>
    <row r="192" spans="1:15" x14ac:dyDescent="0.25">
      <c r="A192" s="55" t="e">
        <f t="shared" ca="1" si="36"/>
        <v>#N/A</v>
      </c>
      <c r="B192" s="55" t="e">
        <f t="shared" ca="1" si="27"/>
        <v>#N/A</v>
      </c>
      <c r="C192" s="55" t="e">
        <f t="shared" ca="1" si="28"/>
        <v>#N/A</v>
      </c>
      <c r="D192" s="55" t="e">
        <f t="shared" ca="1" si="29"/>
        <v>#N/A</v>
      </c>
      <c r="E192" s="120">
        <f t="shared" ca="1" si="37"/>
        <v>998</v>
      </c>
      <c r="F192" s="56">
        <f t="shared" ca="1" si="38"/>
        <v>220</v>
      </c>
      <c r="G192" s="56">
        <f t="shared" ca="1" si="30"/>
        <v>16.200000000000003</v>
      </c>
      <c r="H192" s="116">
        <f t="shared" ca="1" si="31"/>
        <v>24.450000000000003</v>
      </c>
      <c r="I192" s="57" t="str">
        <f t="shared" ca="1" si="32"/>
        <v>8.250 + 16.200</v>
      </c>
      <c r="J192" s="131">
        <f t="shared" ca="1" si="39"/>
        <v>2.1999999999999886</v>
      </c>
      <c r="K192" s="122" t="str">
        <f t="shared" ca="1" si="33"/>
        <v/>
      </c>
      <c r="L192" s="130" t="str">
        <f t="shared" ca="1" si="34"/>
        <v/>
      </c>
      <c r="M192" s="126">
        <f t="shared" ca="1" si="35"/>
        <v>995</v>
      </c>
      <c r="N192" s="58">
        <f t="shared" ca="1" si="40"/>
        <v>8.25</v>
      </c>
      <c r="O192" s="160">
        <f t="shared" ca="1" si="40"/>
        <v>7.866066361276137</v>
      </c>
    </row>
    <row r="193" spans="1:15" x14ac:dyDescent="0.25">
      <c r="A193" s="55" t="e">
        <f t="shared" ca="1" si="36"/>
        <v>#N/A</v>
      </c>
      <c r="B193" s="55" t="e">
        <f t="shared" ca="1" si="27"/>
        <v>#N/A</v>
      </c>
      <c r="C193" s="55" t="e">
        <f t="shared" ca="1" si="28"/>
        <v>#N/A</v>
      </c>
      <c r="D193" s="55" t="e">
        <f t="shared" ca="1" si="29"/>
        <v>#N/A</v>
      </c>
      <c r="E193" s="120">
        <f t="shared" ca="1" si="37"/>
        <v>998</v>
      </c>
      <c r="F193" s="56">
        <f t="shared" ca="1" si="38"/>
        <v>220</v>
      </c>
      <c r="G193" s="56">
        <f t="shared" ca="1" si="30"/>
        <v>16.200000000000003</v>
      </c>
      <c r="H193" s="116">
        <f t="shared" ca="1" si="31"/>
        <v>25.290000000000003</v>
      </c>
      <c r="I193" s="57" t="str">
        <f t="shared" ca="1" si="32"/>
        <v>9.090 + 16.200</v>
      </c>
      <c r="J193" s="131">
        <f t="shared" ca="1" si="39"/>
        <v>1.1600000000000108</v>
      </c>
      <c r="K193" s="122" t="str">
        <f t="shared" ca="1" si="33"/>
        <v/>
      </c>
      <c r="L193" s="130" t="str">
        <f t="shared" ca="1" si="34"/>
        <v/>
      </c>
      <c r="M193" s="126">
        <f t="shared" ca="1" si="35"/>
        <v>995</v>
      </c>
      <c r="N193" s="58">
        <f t="shared" ca="1" si="40"/>
        <v>9.09</v>
      </c>
      <c r="O193" s="160">
        <f t="shared" ca="1" si="40"/>
        <v>8.6598210143166359</v>
      </c>
    </row>
    <row r="194" spans="1:15" x14ac:dyDescent="0.25">
      <c r="A194" s="55" t="e">
        <f t="shared" ca="1" si="36"/>
        <v>#N/A</v>
      </c>
      <c r="B194" s="55" t="e">
        <f t="shared" ca="1" si="27"/>
        <v>#N/A</v>
      </c>
      <c r="C194" s="55" t="e">
        <f t="shared" ca="1" si="28"/>
        <v>#N/A</v>
      </c>
      <c r="D194" s="55" t="e">
        <f t="shared" ca="1" si="29"/>
        <v>#N/A</v>
      </c>
      <c r="E194" s="120">
        <f t="shared" ca="1" si="37"/>
        <v>998</v>
      </c>
      <c r="F194" s="56">
        <f t="shared" ca="1" si="38"/>
        <v>220</v>
      </c>
      <c r="G194" s="56">
        <f t="shared" ca="1" si="30"/>
        <v>16.200000000000003</v>
      </c>
      <c r="H194" s="116">
        <f t="shared" ca="1" si="31"/>
        <v>25.290000000000003</v>
      </c>
      <c r="I194" s="57" t="str">
        <f t="shared" ca="1" si="32"/>
        <v>9.090 + 16.200</v>
      </c>
      <c r="J194" s="131">
        <f t="shared" ca="1" si="39"/>
        <v>1.1600000000000108</v>
      </c>
      <c r="K194" s="122" t="str">
        <f t="shared" ca="1" si="33"/>
        <v/>
      </c>
      <c r="L194" s="130" t="str">
        <f t="shared" ca="1" si="34"/>
        <v/>
      </c>
      <c r="M194" s="126">
        <f t="shared" ca="1" si="35"/>
        <v>995</v>
      </c>
      <c r="N194" s="58">
        <f t="shared" ca="1" si="40"/>
        <v>9.09</v>
      </c>
      <c r="O194" s="160">
        <f t="shared" ca="1" si="40"/>
        <v>8.6598210143166359</v>
      </c>
    </row>
    <row r="195" spans="1:15" x14ac:dyDescent="0.25">
      <c r="A195" s="55" t="e">
        <f t="shared" ca="1" si="36"/>
        <v>#N/A</v>
      </c>
      <c r="B195" s="55" t="e">
        <f t="shared" ca="1" si="27"/>
        <v>#N/A</v>
      </c>
      <c r="C195" s="55" t="e">
        <f t="shared" ca="1" si="28"/>
        <v>#N/A</v>
      </c>
      <c r="D195" s="55" t="e">
        <f t="shared" ca="1" si="29"/>
        <v>#N/A</v>
      </c>
      <c r="E195" s="120">
        <f t="shared" ca="1" si="37"/>
        <v>998</v>
      </c>
      <c r="F195" s="56">
        <f t="shared" ca="1" si="38"/>
        <v>220</v>
      </c>
      <c r="G195" s="56">
        <f t="shared" ca="1" si="30"/>
        <v>16.200000000000003</v>
      </c>
      <c r="H195" s="116">
        <f t="shared" ca="1" si="31"/>
        <v>25.290000000000003</v>
      </c>
      <c r="I195" s="57" t="str">
        <f t="shared" ca="1" si="32"/>
        <v>9.090 + 16.200</v>
      </c>
      <c r="J195" s="131">
        <f t="shared" ca="1" si="39"/>
        <v>1.1600000000000108</v>
      </c>
      <c r="K195" s="122" t="str">
        <f t="shared" ca="1" si="33"/>
        <v/>
      </c>
      <c r="L195" s="130" t="str">
        <f t="shared" ca="1" si="34"/>
        <v/>
      </c>
      <c r="M195" s="126">
        <f t="shared" ca="1" si="35"/>
        <v>995</v>
      </c>
      <c r="N195" s="58">
        <f t="shared" ca="1" si="40"/>
        <v>9.09</v>
      </c>
      <c r="O195" s="160">
        <f t="shared" ca="1" si="40"/>
        <v>8.6598210143166359</v>
      </c>
    </row>
    <row r="196" spans="1:15" x14ac:dyDescent="0.25">
      <c r="A196" s="55" t="e">
        <f t="shared" ca="1" si="36"/>
        <v>#N/A</v>
      </c>
      <c r="B196" s="55" t="e">
        <f t="shared" ca="1" si="27"/>
        <v>#N/A</v>
      </c>
      <c r="C196" s="55" t="e">
        <f t="shared" ca="1" si="28"/>
        <v>#N/A</v>
      </c>
      <c r="D196" s="55" t="e">
        <f t="shared" ca="1" si="29"/>
        <v>#N/A</v>
      </c>
      <c r="E196" s="120">
        <f t="shared" ca="1" si="37"/>
        <v>998</v>
      </c>
      <c r="F196" s="56">
        <f t="shared" ca="1" si="38"/>
        <v>220</v>
      </c>
      <c r="G196" s="56">
        <f t="shared" ca="1" si="30"/>
        <v>16.200000000000003</v>
      </c>
      <c r="H196" s="116">
        <f t="shared" ca="1" si="31"/>
        <v>25.290000000000003</v>
      </c>
      <c r="I196" s="57" t="str">
        <f t="shared" ca="1" si="32"/>
        <v>9.090 + 16.200</v>
      </c>
      <c r="J196" s="131">
        <f t="shared" ca="1" si="39"/>
        <v>1.1600000000000108</v>
      </c>
      <c r="K196" s="122" t="str">
        <f t="shared" ca="1" si="33"/>
        <v/>
      </c>
      <c r="L196" s="130" t="str">
        <f t="shared" ca="1" si="34"/>
        <v/>
      </c>
      <c r="M196" s="126">
        <f t="shared" ca="1" si="35"/>
        <v>995</v>
      </c>
      <c r="N196" s="58">
        <f t="shared" ca="1" si="40"/>
        <v>9.09</v>
      </c>
      <c r="O196" s="160">
        <f t="shared" ca="1" si="40"/>
        <v>8.6598210143166359</v>
      </c>
    </row>
    <row r="197" spans="1:15" x14ac:dyDescent="0.25">
      <c r="A197" s="55" t="e">
        <f t="shared" ca="1" si="36"/>
        <v>#N/A</v>
      </c>
      <c r="B197" s="55" t="e">
        <f t="shared" ca="1" si="27"/>
        <v>#N/A</v>
      </c>
      <c r="C197" s="55" t="e">
        <f t="shared" ca="1" si="28"/>
        <v>#N/A</v>
      </c>
      <c r="D197" s="55" t="e">
        <f t="shared" ca="1" si="29"/>
        <v>#N/A</v>
      </c>
      <c r="E197" s="120">
        <f t="shared" ca="1" si="37"/>
        <v>998</v>
      </c>
      <c r="F197" s="56">
        <f t="shared" ca="1" si="38"/>
        <v>216</v>
      </c>
      <c r="G197" s="56">
        <f t="shared" ca="1" si="30"/>
        <v>14.7</v>
      </c>
      <c r="H197" s="116">
        <f t="shared" ca="1" si="31"/>
        <v>24.7</v>
      </c>
      <c r="I197" s="57" t="str">
        <f t="shared" ca="1" si="32"/>
        <v>10.000 + 14.700</v>
      </c>
      <c r="J197" s="131">
        <f t="shared" ca="1" si="39"/>
        <v>1.2000000000000028</v>
      </c>
      <c r="K197" s="122" t="str">
        <f t="shared" ca="1" si="33"/>
        <v/>
      </c>
      <c r="L197" s="130" t="str">
        <f t="shared" ca="1" si="34"/>
        <v/>
      </c>
      <c r="M197" s="126">
        <f t="shared" ca="1" si="35"/>
        <v>995</v>
      </c>
      <c r="N197" s="58">
        <f t="shared" ca="1" si="40"/>
        <v>10</v>
      </c>
      <c r="O197" s="160">
        <f t="shared" ca="1" si="40"/>
        <v>9.5341491492424222</v>
      </c>
    </row>
    <row r="198" spans="1:15" x14ac:dyDescent="0.25">
      <c r="A198" s="55" t="e">
        <f t="shared" ca="1" si="36"/>
        <v>#N/A</v>
      </c>
      <c r="B198" s="55" t="e">
        <f t="shared" ref="B198:B261" ca="1" si="41">INDEX($N$1:$N$774,A198)</f>
        <v>#N/A</v>
      </c>
      <c r="C198" s="55" t="e">
        <f t="shared" ref="C198:C261" ca="1" si="42">1/(1/B198+1/N198)</f>
        <v>#N/A</v>
      </c>
      <c r="D198" s="55" t="e">
        <f t="shared" ref="D198:D261" ca="1" si="43">CONCATENATE(TEXT(MIN(B198,N198),"#0.000#")," || ",TEXT(MAX(B198,N198),"#0.000#"))</f>
        <v>#N/A</v>
      </c>
      <c r="E198" s="120">
        <f t="shared" ca="1" si="37"/>
        <v>998</v>
      </c>
      <c r="F198" s="56">
        <f t="shared" ca="1" si="38"/>
        <v>216</v>
      </c>
      <c r="G198" s="56">
        <f t="shared" ref="G198:G261" ca="1" si="44">INDEX($N$1:$N$774,F198)</f>
        <v>14.7</v>
      </c>
      <c r="H198" s="116">
        <f t="shared" ref="H198:H261" ca="1" si="45">G198+N198</f>
        <v>24.7</v>
      </c>
      <c r="I198" s="57" t="str">
        <f t="shared" ref="I198:I261" ca="1" si="46">CONCATENATE(TEXT(MIN(G198,N198),"#0.000#")," + ",TEXT(MAX(G198,N198),"#0.000#"))</f>
        <v>10.000 + 14.700</v>
      </c>
      <c r="J198" s="131">
        <f t="shared" ca="1" si="39"/>
        <v>1.2000000000000028</v>
      </c>
      <c r="K198" s="122" t="str">
        <f t="shared" ref="K198:K261" ca="1" si="47">IF(E198&lt;$C$4,D198,IF(J198&lt;$C$4,I198,""))</f>
        <v/>
      </c>
      <c r="L198" s="130" t="str">
        <f t="shared" ref="L198:L261" ca="1" si="48">IF(E198&lt;$C$4,C198,IF(J198&lt;$C$4,H198,""))</f>
        <v/>
      </c>
      <c r="M198" s="126">
        <f t="shared" ref="M198:M261" ca="1" si="49">IF(E198&lt;=$C$4,E198,IF(J198&lt;=$C$4,J198,995))</f>
        <v>995</v>
      </c>
      <c r="N198" s="58">
        <f t="shared" ca="1" si="40"/>
        <v>10</v>
      </c>
      <c r="O198" s="160">
        <f t="shared" ca="1" si="40"/>
        <v>9.5341491492424204</v>
      </c>
    </row>
    <row r="199" spans="1:15" x14ac:dyDescent="0.25">
      <c r="A199" s="55" t="e">
        <f t="shared" ref="A199:A262" ca="1" si="50">MATCH(1/($A$5-(1/N199)),$O$1:$O$775,1)</f>
        <v>#N/A</v>
      </c>
      <c r="B199" s="55" t="e">
        <f t="shared" ca="1" si="41"/>
        <v>#N/A</v>
      </c>
      <c r="C199" s="55" t="e">
        <f t="shared" ca="1" si="42"/>
        <v>#N/A</v>
      </c>
      <c r="D199" s="55" t="e">
        <f t="shared" ca="1" si="43"/>
        <v>#N/A</v>
      </c>
      <c r="E199" s="120">
        <f t="shared" ref="E199:E262" ca="1" si="51">IFERROR(IF(OR(B199=0,AND(B199&lt;&gt;$A$4,N199&lt;&gt;$A$4)),ABS($A$4-C199)/$E$5,999),998)</f>
        <v>998</v>
      </c>
      <c r="F199" s="56">
        <f t="shared" ref="F199:F262" ca="1" si="52">MATCH($A$4-N199,$O$1:$O$774,1)</f>
        <v>216</v>
      </c>
      <c r="G199" s="56">
        <f t="shared" ca="1" si="44"/>
        <v>14.7</v>
      </c>
      <c r="H199" s="116">
        <f t="shared" ca="1" si="45"/>
        <v>24.7</v>
      </c>
      <c r="I199" s="57" t="str">
        <f t="shared" ca="1" si="46"/>
        <v>10.000 + 14.700</v>
      </c>
      <c r="J199" s="131">
        <f t="shared" ref="J199:J262" ca="1" si="53">IFERROR(IF(OR(G199=0,AND(G199&lt;&gt;$A$4,N199&lt;&gt;$A$4)),ABS($A$4-H199)/$E$5,997),996)</f>
        <v>1.2000000000000028</v>
      </c>
      <c r="K199" s="122" t="str">
        <f t="shared" ca="1" si="47"/>
        <v/>
      </c>
      <c r="L199" s="130" t="str">
        <f t="shared" ca="1" si="48"/>
        <v/>
      </c>
      <c r="M199" s="126">
        <f t="shared" ca="1" si="49"/>
        <v>995</v>
      </c>
      <c r="N199" s="58">
        <f t="shared" ca="1" si="40"/>
        <v>10</v>
      </c>
      <c r="O199" s="160">
        <f t="shared" ca="1" si="40"/>
        <v>9.5341491492424204</v>
      </c>
    </row>
    <row r="200" spans="1:15" x14ac:dyDescent="0.25">
      <c r="A200" s="55" t="e">
        <f t="shared" ca="1" si="50"/>
        <v>#N/A</v>
      </c>
      <c r="B200" s="55" t="e">
        <f t="shared" ca="1" si="41"/>
        <v>#N/A</v>
      </c>
      <c r="C200" s="55" t="e">
        <f t="shared" ca="1" si="42"/>
        <v>#N/A</v>
      </c>
      <c r="D200" s="55" t="e">
        <f t="shared" ca="1" si="43"/>
        <v>#N/A</v>
      </c>
      <c r="E200" s="120">
        <f t="shared" ca="1" si="51"/>
        <v>998</v>
      </c>
      <c r="F200" s="56">
        <f t="shared" ca="1" si="52"/>
        <v>216</v>
      </c>
      <c r="G200" s="56">
        <f t="shared" ca="1" si="44"/>
        <v>14.7</v>
      </c>
      <c r="H200" s="116">
        <f t="shared" ca="1" si="45"/>
        <v>24.7</v>
      </c>
      <c r="I200" s="57" t="str">
        <f t="shared" ca="1" si="46"/>
        <v>10.000 + 14.700</v>
      </c>
      <c r="J200" s="131">
        <f t="shared" ca="1" si="53"/>
        <v>1.2000000000000028</v>
      </c>
      <c r="K200" s="122" t="str">
        <f t="shared" ca="1" si="47"/>
        <v/>
      </c>
      <c r="L200" s="130" t="str">
        <f t="shared" ca="1" si="48"/>
        <v/>
      </c>
      <c r="M200" s="126">
        <f t="shared" ca="1" si="49"/>
        <v>995</v>
      </c>
      <c r="N200" s="58">
        <f t="shared" ca="1" si="40"/>
        <v>10</v>
      </c>
      <c r="O200" s="160">
        <f t="shared" ca="1" si="40"/>
        <v>9.5341491492424204</v>
      </c>
    </row>
    <row r="201" spans="1:15" x14ac:dyDescent="0.25">
      <c r="A201" s="55" t="e">
        <f t="shared" ca="1" si="50"/>
        <v>#N/A</v>
      </c>
      <c r="B201" s="55" t="e">
        <f t="shared" ca="1" si="41"/>
        <v>#N/A</v>
      </c>
      <c r="C201" s="55" t="e">
        <f t="shared" ca="1" si="42"/>
        <v>#N/A</v>
      </c>
      <c r="D201" s="55" t="e">
        <f t="shared" ca="1" si="43"/>
        <v>#N/A</v>
      </c>
      <c r="E201" s="120">
        <f t="shared" ca="1" si="51"/>
        <v>998</v>
      </c>
      <c r="F201" s="56">
        <f t="shared" ca="1" si="52"/>
        <v>216</v>
      </c>
      <c r="G201" s="56">
        <f t="shared" ca="1" si="44"/>
        <v>14.7</v>
      </c>
      <c r="H201" s="116">
        <f t="shared" ca="1" si="45"/>
        <v>25.7</v>
      </c>
      <c r="I201" s="57" t="str">
        <f t="shared" ca="1" si="46"/>
        <v>11.000 + 14.700</v>
      </c>
      <c r="J201" s="131">
        <f t="shared" ca="1" si="53"/>
        <v>2.7999999999999972</v>
      </c>
      <c r="K201" s="122" t="str">
        <f t="shared" ca="1" si="47"/>
        <v/>
      </c>
      <c r="L201" s="130" t="str">
        <f t="shared" ca="1" si="48"/>
        <v/>
      </c>
      <c r="M201" s="126">
        <f t="shared" ca="1" si="49"/>
        <v>995</v>
      </c>
      <c r="N201" s="58">
        <f t="shared" ca="1" si="40"/>
        <v>11</v>
      </c>
      <c r="O201" s="160">
        <f t="shared" ca="1" si="40"/>
        <v>10.488088481701517</v>
      </c>
    </row>
    <row r="202" spans="1:15" x14ac:dyDescent="0.25">
      <c r="A202" s="55" t="e">
        <f t="shared" ca="1" si="50"/>
        <v>#N/A</v>
      </c>
      <c r="B202" s="55" t="e">
        <f t="shared" ca="1" si="41"/>
        <v>#N/A</v>
      </c>
      <c r="C202" s="55" t="e">
        <f t="shared" ca="1" si="42"/>
        <v>#N/A</v>
      </c>
      <c r="D202" s="55" t="e">
        <f t="shared" ca="1" si="43"/>
        <v>#N/A</v>
      </c>
      <c r="E202" s="120">
        <f t="shared" ca="1" si="51"/>
        <v>998</v>
      </c>
      <c r="F202" s="56">
        <f t="shared" ca="1" si="52"/>
        <v>216</v>
      </c>
      <c r="G202" s="56">
        <f t="shared" ca="1" si="44"/>
        <v>14.7</v>
      </c>
      <c r="H202" s="116">
        <f t="shared" ca="1" si="45"/>
        <v>25.7</v>
      </c>
      <c r="I202" s="57" t="str">
        <f t="shared" ca="1" si="46"/>
        <v>11.000 + 14.700</v>
      </c>
      <c r="J202" s="131">
        <f t="shared" ca="1" si="53"/>
        <v>2.7999999999999972</v>
      </c>
      <c r="K202" s="122" t="str">
        <f t="shared" ca="1" si="47"/>
        <v/>
      </c>
      <c r="L202" s="130" t="str">
        <f t="shared" ca="1" si="48"/>
        <v/>
      </c>
      <c r="M202" s="126">
        <f t="shared" ca="1" si="49"/>
        <v>995</v>
      </c>
      <c r="N202" s="58">
        <f t="shared" ca="1" si="40"/>
        <v>11</v>
      </c>
      <c r="O202" s="160">
        <f t="shared" ca="1" si="40"/>
        <v>10.488088481701517</v>
      </c>
    </row>
    <row r="203" spans="1:15" x14ac:dyDescent="0.25">
      <c r="A203" s="55" t="e">
        <f t="shared" ca="1" si="50"/>
        <v>#N/A</v>
      </c>
      <c r="B203" s="55" t="e">
        <f t="shared" ca="1" si="41"/>
        <v>#N/A</v>
      </c>
      <c r="C203" s="55" t="e">
        <f t="shared" ca="1" si="42"/>
        <v>#N/A</v>
      </c>
      <c r="D203" s="55" t="e">
        <f t="shared" ca="1" si="43"/>
        <v>#N/A</v>
      </c>
      <c r="E203" s="120">
        <f t="shared" ca="1" si="51"/>
        <v>998</v>
      </c>
      <c r="F203" s="56">
        <f t="shared" ca="1" si="52"/>
        <v>216</v>
      </c>
      <c r="G203" s="56">
        <f t="shared" ca="1" si="44"/>
        <v>14.7</v>
      </c>
      <c r="H203" s="116">
        <f t="shared" ca="1" si="45"/>
        <v>25.7</v>
      </c>
      <c r="I203" s="57" t="str">
        <f t="shared" ca="1" si="46"/>
        <v>11.000 + 14.700</v>
      </c>
      <c r="J203" s="131">
        <f t="shared" ca="1" si="53"/>
        <v>2.7999999999999972</v>
      </c>
      <c r="K203" s="122" t="str">
        <f t="shared" ca="1" si="47"/>
        <v/>
      </c>
      <c r="L203" s="130" t="str">
        <f t="shared" ca="1" si="48"/>
        <v/>
      </c>
      <c r="M203" s="126">
        <f t="shared" ca="1" si="49"/>
        <v>995</v>
      </c>
      <c r="N203" s="58">
        <f t="shared" ca="1" si="40"/>
        <v>11</v>
      </c>
      <c r="O203" s="160">
        <f t="shared" ca="1" si="40"/>
        <v>10.488088481701517</v>
      </c>
    </row>
    <row r="204" spans="1:15" x14ac:dyDescent="0.25">
      <c r="A204" s="55" t="e">
        <f t="shared" ca="1" si="50"/>
        <v>#N/A</v>
      </c>
      <c r="B204" s="55" t="e">
        <f t="shared" ca="1" si="41"/>
        <v>#N/A</v>
      </c>
      <c r="C204" s="55" t="e">
        <f t="shared" ca="1" si="42"/>
        <v>#N/A</v>
      </c>
      <c r="D204" s="55" t="e">
        <f t="shared" ca="1" si="43"/>
        <v>#N/A</v>
      </c>
      <c r="E204" s="120">
        <f t="shared" ca="1" si="51"/>
        <v>998</v>
      </c>
      <c r="F204" s="56">
        <f t="shared" ca="1" si="52"/>
        <v>216</v>
      </c>
      <c r="G204" s="56">
        <f t="shared" ca="1" si="44"/>
        <v>14.7</v>
      </c>
      <c r="H204" s="116">
        <f t="shared" ca="1" si="45"/>
        <v>25.7</v>
      </c>
      <c r="I204" s="57" t="str">
        <f t="shared" ca="1" si="46"/>
        <v>11.000 + 14.700</v>
      </c>
      <c r="J204" s="131">
        <f t="shared" ca="1" si="53"/>
        <v>2.7999999999999972</v>
      </c>
      <c r="K204" s="122" t="str">
        <f t="shared" ca="1" si="47"/>
        <v/>
      </c>
      <c r="L204" s="130" t="str">
        <f t="shared" ca="1" si="48"/>
        <v/>
      </c>
      <c r="M204" s="126">
        <f t="shared" ca="1" si="49"/>
        <v>995</v>
      </c>
      <c r="N204" s="58">
        <f t="shared" ca="1" si="40"/>
        <v>11</v>
      </c>
      <c r="O204" s="160">
        <f t="shared" ca="1" si="40"/>
        <v>10.488088481701517</v>
      </c>
    </row>
    <row r="205" spans="1:15" x14ac:dyDescent="0.25">
      <c r="A205" s="55" t="e">
        <f t="shared" ca="1" si="50"/>
        <v>#N/A</v>
      </c>
      <c r="B205" s="55" t="e">
        <f t="shared" ca="1" si="41"/>
        <v>#N/A</v>
      </c>
      <c r="C205" s="55" t="e">
        <f t="shared" ca="1" si="42"/>
        <v>#N/A</v>
      </c>
      <c r="D205" s="55" t="e">
        <f t="shared" ca="1" si="43"/>
        <v>#N/A</v>
      </c>
      <c r="E205" s="120">
        <f t="shared" ca="1" si="51"/>
        <v>998</v>
      </c>
      <c r="F205" s="56">
        <f t="shared" ca="1" si="52"/>
        <v>212</v>
      </c>
      <c r="G205" s="56">
        <f t="shared" ca="1" si="44"/>
        <v>13.3</v>
      </c>
      <c r="H205" s="116">
        <f t="shared" ca="1" si="45"/>
        <v>25.4</v>
      </c>
      <c r="I205" s="57" t="str">
        <f t="shared" ca="1" si="46"/>
        <v>12.100 + 13.300</v>
      </c>
      <c r="J205" s="131">
        <f t="shared" ca="1" si="53"/>
        <v>1.5999999999999943</v>
      </c>
      <c r="K205" s="122" t="str">
        <f t="shared" ca="1" si="47"/>
        <v/>
      </c>
      <c r="L205" s="130" t="str">
        <f t="shared" ca="1" si="48"/>
        <v/>
      </c>
      <c r="M205" s="126">
        <f t="shared" ca="1" si="49"/>
        <v>995</v>
      </c>
      <c r="N205" s="58">
        <f t="shared" ca="1" si="40"/>
        <v>12.1</v>
      </c>
      <c r="O205" s="160">
        <f t="shared" ca="1" si="40"/>
        <v>11.536897329871667</v>
      </c>
    </row>
    <row r="206" spans="1:15" x14ac:dyDescent="0.25">
      <c r="A206" s="55" t="e">
        <f t="shared" ca="1" si="50"/>
        <v>#N/A</v>
      </c>
      <c r="B206" s="55" t="e">
        <f t="shared" ca="1" si="41"/>
        <v>#N/A</v>
      </c>
      <c r="C206" s="55" t="e">
        <f t="shared" ca="1" si="42"/>
        <v>#N/A</v>
      </c>
      <c r="D206" s="55" t="e">
        <f t="shared" ca="1" si="43"/>
        <v>#N/A</v>
      </c>
      <c r="E206" s="120">
        <f t="shared" ca="1" si="51"/>
        <v>998</v>
      </c>
      <c r="F206" s="56">
        <f t="shared" ca="1" si="52"/>
        <v>212</v>
      </c>
      <c r="G206" s="56">
        <f t="shared" ca="1" si="44"/>
        <v>13.3</v>
      </c>
      <c r="H206" s="116">
        <f t="shared" ca="1" si="45"/>
        <v>25.4</v>
      </c>
      <c r="I206" s="57" t="str">
        <f t="shared" ca="1" si="46"/>
        <v>12.100 + 13.300</v>
      </c>
      <c r="J206" s="131">
        <f t="shared" ca="1" si="53"/>
        <v>1.5999999999999943</v>
      </c>
      <c r="K206" s="122" t="str">
        <f t="shared" ca="1" si="47"/>
        <v/>
      </c>
      <c r="L206" s="130" t="str">
        <f t="shared" ca="1" si="48"/>
        <v/>
      </c>
      <c r="M206" s="126">
        <f t="shared" ca="1" si="49"/>
        <v>995</v>
      </c>
      <c r="N206" s="58">
        <f t="shared" ca="1" si="40"/>
        <v>12.1</v>
      </c>
      <c r="O206" s="160">
        <f t="shared" ca="1" si="40"/>
        <v>11.536897329871667</v>
      </c>
    </row>
    <row r="207" spans="1:15" x14ac:dyDescent="0.25">
      <c r="A207" s="55" t="e">
        <f t="shared" ca="1" si="50"/>
        <v>#N/A</v>
      </c>
      <c r="B207" s="55" t="e">
        <f t="shared" ca="1" si="41"/>
        <v>#N/A</v>
      </c>
      <c r="C207" s="55" t="e">
        <f t="shared" ca="1" si="42"/>
        <v>#N/A</v>
      </c>
      <c r="D207" s="55" t="e">
        <f t="shared" ca="1" si="43"/>
        <v>#N/A</v>
      </c>
      <c r="E207" s="120">
        <f t="shared" ca="1" si="51"/>
        <v>998</v>
      </c>
      <c r="F207" s="56">
        <f t="shared" ca="1" si="52"/>
        <v>212</v>
      </c>
      <c r="G207" s="56">
        <f t="shared" ca="1" si="44"/>
        <v>13.3</v>
      </c>
      <c r="H207" s="116">
        <f t="shared" ca="1" si="45"/>
        <v>25.4</v>
      </c>
      <c r="I207" s="57" t="str">
        <f t="shared" ca="1" si="46"/>
        <v>12.100 + 13.300</v>
      </c>
      <c r="J207" s="131">
        <f t="shared" ca="1" si="53"/>
        <v>1.5999999999999943</v>
      </c>
      <c r="K207" s="122" t="str">
        <f t="shared" ca="1" si="47"/>
        <v/>
      </c>
      <c r="L207" s="130" t="str">
        <f t="shared" ca="1" si="48"/>
        <v/>
      </c>
      <c r="M207" s="126">
        <f t="shared" ca="1" si="49"/>
        <v>995</v>
      </c>
      <c r="N207" s="58">
        <f t="shared" ca="1" si="40"/>
        <v>12.1</v>
      </c>
      <c r="O207" s="160">
        <f t="shared" ca="1" si="40"/>
        <v>11.536897329871667</v>
      </c>
    </row>
    <row r="208" spans="1:15" x14ac:dyDescent="0.25">
      <c r="A208" s="55" t="e">
        <f t="shared" ca="1" si="50"/>
        <v>#N/A</v>
      </c>
      <c r="B208" s="55" t="e">
        <f t="shared" ca="1" si="41"/>
        <v>#N/A</v>
      </c>
      <c r="C208" s="55" t="e">
        <f t="shared" ca="1" si="42"/>
        <v>#N/A</v>
      </c>
      <c r="D208" s="55" t="e">
        <f t="shared" ca="1" si="43"/>
        <v>#N/A</v>
      </c>
      <c r="E208" s="120">
        <f t="shared" ca="1" si="51"/>
        <v>998</v>
      </c>
      <c r="F208" s="56">
        <f t="shared" ca="1" si="52"/>
        <v>212</v>
      </c>
      <c r="G208" s="56">
        <f t="shared" ca="1" si="44"/>
        <v>13.3</v>
      </c>
      <c r="H208" s="116">
        <f t="shared" ca="1" si="45"/>
        <v>25.4</v>
      </c>
      <c r="I208" s="57" t="str">
        <f t="shared" ca="1" si="46"/>
        <v>12.100 + 13.300</v>
      </c>
      <c r="J208" s="131">
        <f t="shared" ca="1" si="53"/>
        <v>1.5999999999999943</v>
      </c>
      <c r="K208" s="122" t="str">
        <f t="shared" ca="1" si="47"/>
        <v/>
      </c>
      <c r="L208" s="130" t="str">
        <f t="shared" ca="1" si="48"/>
        <v/>
      </c>
      <c r="M208" s="126">
        <f t="shared" ca="1" si="49"/>
        <v>995</v>
      </c>
      <c r="N208" s="58">
        <f t="shared" ca="1" si="40"/>
        <v>12.1</v>
      </c>
      <c r="O208" s="160">
        <f t="shared" ca="1" si="40"/>
        <v>11.536897329871667</v>
      </c>
    </row>
    <row r="209" spans="1:15" x14ac:dyDescent="0.25">
      <c r="A209" s="55" t="e">
        <f t="shared" ca="1" si="50"/>
        <v>#N/A</v>
      </c>
      <c r="B209" s="55" t="e">
        <f t="shared" ca="1" si="41"/>
        <v>#N/A</v>
      </c>
      <c r="C209" s="55" t="e">
        <f t="shared" ca="1" si="42"/>
        <v>#N/A</v>
      </c>
      <c r="D209" s="55" t="e">
        <f t="shared" ca="1" si="43"/>
        <v>#N/A</v>
      </c>
      <c r="E209" s="120">
        <f t="shared" ca="1" si="51"/>
        <v>998</v>
      </c>
      <c r="F209" s="56">
        <f t="shared" ca="1" si="52"/>
        <v>208</v>
      </c>
      <c r="G209" s="56">
        <f t="shared" ca="1" si="44"/>
        <v>12.1</v>
      </c>
      <c r="H209" s="116">
        <f t="shared" ca="1" si="45"/>
        <v>25.4</v>
      </c>
      <c r="I209" s="57" t="str">
        <f t="shared" ca="1" si="46"/>
        <v>12.100 + 13.300</v>
      </c>
      <c r="J209" s="131">
        <f t="shared" ca="1" si="53"/>
        <v>1.5999999999999943</v>
      </c>
      <c r="K209" s="122" t="str">
        <f t="shared" ca="1" si="47"/>
        <v/>
      </c>
      <c r="L209" s="130" t="str">
        <f t="shared" ca="1" si="48"/>
        <v/>
      </c>
      <c r="M209" s="126">
        <f t="shared" ca="1" si="49"/>
        <v>995</v>
      </c>
      <c r="N209" s="58">
        <f t="shared" ca="1" si="40"/>
        <v>13.3</v>
      </c>
      <c r="O209" s="160">
        <f t="shared" ca="1" si="40"/>
        <v>12.685818854137874</v>
      </c>
    </row>
    <row r="210" spans="1:15" x14ac:dyDescent="0.25">
      <c r="A210" s="55" t="e">
        <f t="shared" ca="1" si="50"/>
        <v>#N/A</v>
      </c>
      <c r="B210" s="55" t="e">
        <f t="shared" ca="1" si="41"/>
        <v>#N/A</v>
      </c>
      <c r="C210" s="55" t="e">
        <f t="shared" ca="1" si="42"/>
        <v>#N/A</v>
      </c>
      <c r="D210" s="55" t="e">
        <f t="shared" ca="1" si="43"/>
        <v>#N/A</v>
      </c>
      <c r="E210" s="120">
        <f t="shared" ca="1" si="51"/>
        <v>998</v>
      </c>
      <c r="F210" s="56">
        <f t="shared" ca="1" si="52"/>
        <v>208</v>
      </c>
      <c r="G210" s="56">
        <f t="shared" ca="1" si="44"/>
        <v>12.1</v>
      </c>
      <c r="H210" s="116">
        <f t="shared" ca="1" si="45"/>
        <v>25.4</v>
      </c>
      <c r="I210" s="57" t="str">
        <f t="shared" ca="1" si="46"/>
        <v>12.100 + 13.300</v>
      </c>
      <c r="J210" s="131">
        <f t="shared" ca="1" si="53"/>
        <v>1.5999999999999943</v>
      </c>
      <c r="K210" s="122" t="str">
        <f t="shared" ca="1" si="47"/>
        <v/>
      </c>
      <c r="L210" s="130" t="str">
        <f t="shared" ca="1" si="48"/>
        <v/>
      </c>
      <c r="M210" s="126">
        <f t="shared" ca="1" si="49"/>
        <v>995</v>
      </c>
      <c r="N210" s="58">
        <f t="shared" ca="1" si="40"/>
        <v>13.3</v>
      </c>
      <c r="O210" s="160">
        <f t="shared" ca="1" si="40"/>
        <v>12.685818854137874</v>
      </c>
    </row>
    <row r="211" spans="1:15" x14ac:dyDescent="0.25">
      <c r="A211" s="55" t="e">
        <f t="shared" ca="1" si="50"/>
        <v>#N/A</v>
      </c>
      <c r="B211" s="55" t="e">
        <f t="shared" ca="1" si="41"/>
        <v>#N/A</v>
      </c>
      <c r="C211" s="55" t="e">
        <f t="shared" ca="1" si="42"/>
        <v>#N/A</v>
      </c>
      <c r="D211" s="55" t="e">
        <f t="shared" ca="1" si="43"/>
        <v>#N/A</v>
      </c>
      <c r="E211" s="120">
        <f t="shared" ca="1" si="51"/>
        <v>998</v>
      </c>
      <c r="F211" s="56">
        <f t="shared" ca="1" si="52"/>
        <v>208</v>
      </c>
      <c r="G211" s="56">
        <f t="shared" ca="1" si="44"/>
        <v>12.1</v>
      </c>
      <c r="H211" s="116">
        <f t="shared" ca="1" si="45"/>
        <v>25.4</v>
      </c>
      <c r="I211" s="57" t="str">
        <f t="shared" ca="1" si="46"/>
        <v>12.100 + 13.300</v>
      </c>
      <c r="J211" s="131">
        <f t="shared" ca="1" si="53"/>
        <v>1.5999999999999943</v>
      </c>
      <c r="K211" s="122" t="str">
        <f t="shared" ca="1" si="47"/>
        <v/>
      </c>
      <c r="L211" s="130" t="str">
        <f t="shared" ca="1" si="48"/>
        <v/>
      </c>
      <c r="M211" s="126">
        <f t="shared" ca="1" si="49"/>
        <v>995</v>
      </c>
      <c r="N211" s="58">
        <f t="shared" ca="1" si="40"/>
        <v>13.3</v>
      </c>
      <c r="O211" s="160">
        <f t="shared" ca="1" si="40"/>
        <v>12.685818854137874</v>
      </c>
    </row>
    <row r="212" spans="1:15" x14ac:dyDescent="0.25">
      <c r="A212" s="55" t="e">
        <f t="shared" ca="1" si="50"/>
        <v>#N/A</v>
      </c>
      <c r="B212" s="55" t="e">
        <f t="shared" ca="1" si="41"/>
        <v>#N/A</v>
      </c>
      <c r="C212" s="55" t="e">
        <f t="shared" ca="1" si="42"/>
        <v>#N/A</v>
      </c>
      <c r="D212" s="55" t="e">
        <f t="shared" ca="1" si="43"/>
        <v>#N/A</v>
      </c>
      <c r="E212" s="120">
        <f t="shared" ca="1" si="51"/>
        <v>998</v>
      </c>
      <c r="F212" s="56">
        <f t="shared" ca="1" si="52"/>
        <v>208</v>
      </c>
      <c r="G212" s="56">
        <f t="shared" ca="1" si="44"/>
        <v>12.1</v>
      </c>
      <c r="H212" s="116">
        <f t="shared" ca="1" si="45"/>
        <v>25.4</v>
      </c>
      <c r="I212" s="57" t="str">
        <f t="shared" ca="1" si="46"/>
        <v>12.100 + 13.300</v>
      </c>
      <c r="J212" s="131">
        <f t="shared" ca="1" si="53"/>
        <v>1.5999999999999943</v>
      </c>
      <c r="K212" s="122" t="str">
        <f t="shared" ca="1" si="47"/>
        <v/>
      </c>
      <c r="L212" s="130" t="str">
        <f t="shared" ca="1" si="48"/>
        <v/>
      </c>
      <c r="M212" s="126">
        <f t="shared" ca="1" si="49"/>
        <v>995</v>
      </c>
      <c r="N212" s="58">
        <f t="shared" ca="1" si="40"/>
        <v>13.3</v>
      </c>
      <c r="O212" s="160">
        <f t="shared" ca="1" si="40"/>
        <v>12.685818854137874</v>
      </c>
    </row>
    <row r="213" spans="1:15" x14ac:dyDescent="0.25">
      <c r="A213" s="55" t="e">
        <f t="shared" ca="1" si="50"/>
        <v>#N/A</v>
      </c>
      <c r="B213" s="55" t="e">
        <f t="shared" ca="1" si="41"/>
        <v>#N/A</v>
      </c>
      <c r="C213" s="55" t="e">
        <f t="shared" ca="1" si="42"/>
        <v>#N/A</v>
      </c>
      <c r="D213" s="55" t="e">
        <f t="shared" ca="1" si="43"/>
        <v>#N/A</v>
      </c>
      <c r="E213" s="120">
        <f t="shared" ca="1" si="51"/>
        <v>998</v>
      </c>
      <c r="F213" s="56">
        <f t="shared" ca="1" si="52"/>
        <v>200</v>
      </c>
      <c r="G213" s="56">
        <f t="shared" ca="1" si="44"/>
        <v>10</v>
      </c>
      <c r="H213" s="116">
        <f t="shared" ca="1" si="45"/>
        <v>24.7</v>
      </c>
      <c r="I213" s="57" t="str">
        <f t="shared" ca="1" si="46"/>
        <v>10.000 + 14.700</v>
      </c>
      <c r="J213" s="131">
        <f t="shared" ca="1" si="53"/>
        <v>1.2000000000000028</v>
      </c>
      <c r="K213" s="122" t="str">
        <f t="shared" ca="1" si="47"/>
        <v/>
      </c>
      <c r="L213" s="130" t="str">
        <f t="shared" ca="1" si="48"/>
        <v/>
      </c>
      <c r="M213" s="126">
        <f t="shared" ca="1" si="49"/>
        <v>995</v>
      </c>
      <c r="N213" s="58">
        <f t="shared" ca="1" si="40"/>
        <v>14.7</v>
      </c>
      <c r="O213" s="160">
        <f t="shared" ca="1" si="40"/>
        <v>13.982489048806725</v>
      </c>
    </row>
    <row r="214" spans="1:15" x14ac:dyDescent="0.25">
      <c r="A214" s="55" t="e">
        <f t="shared" ca="1" si="50"/>
        <v>#N/A</v>
      </c>
      <c r="B214" s="55" t="e">
        <f t="shared" ca="1" si="41"/>
        <v>#N/A</v>
      </c>
      <c r="C214" s="55" t="e">
        <f t="shared" ca="1" si="42"/>
        <v>#N/A</v>
      </c>
      <c r="D214" s="55" t="e">
        <f t="shared" ca="1" si="43"/>
        <v>#N/A</v>
      </c>
      <c r="E214" s="120">
        <f t="shared" ca="1" si="51"/>
        <v>998</v>
      </c>
      <c r="F214" s="56">
        <f t="shared" ca="1" si="52"/>
        <v>200</v>
      </c>
      <c r="G214" s="56">
        <f t="shared" ca="1" si="44"/>
        <v>10</v>
      </c>
      <c r="H214" s="116">
        <f t="shared" ca="1" si="45"/>
        <v>24.7</v>
      </c>
      <c r="I214" s="57" t="str">
        <f t="shared" ca="1" si="46"/>
        <v>10.000 + 14.700</v>
      </c>
      <c r="J214" s="131">
        <f t="shared" ca="1" si="53"/>
        <v>1.2000000000000028</v>
      </c>
      <c r="K214" s="122" t="str">
        <f t="shared" ca="1" si="47"/>
        <v/>
      </c>
      <c r="L214" s="130" t="str">
        <f t="shared" ca="1" si="48"/>
        <v/>
      </c>
      <c r="M214" s="126">
        <f t="shared" ca="1" si="49"/>
        <v>995</v>
      </c>
      <c r="N214" s="58">
        <f t="shared" ca="1" si="40"/>
        <v>14.7</v>
      </c>
      <c r="O214" s="160">
        <f t="shared" ca="1" si="40"/>
        <v>13.982489048806725</v>
      </c>
    </row>
    <row r="215" spans="1:15" x14ac:dyDescent="0.25">
      <c r="A215" s="55" t="e">
        <f t="shared" ca="1" si="50"/>
        <v>#N/A</v>
      </c>
      <c r="B215" s="55" t="e">
        <f t="shared" ca="1" si="41"/>
        <v>#N/A</v>
      </c>
      <c r="C215" s="55" t="e">
        <f t="shared" ca="1" si="42"/>
        <v>#N/A</v>
      </c>
      <c r="D215" s="55" t="e">
        <f t="shared" ca="1" si="43"/>
        <v>#N/A</v>
      </c>
      <c r="E215" s="120">
        <f t="shared" ca="1" si="51"/>
        <v>998</v>
      </c>
      <c r="F215" s="56">
        <f t="shared" ca="1" si="52"/>
        <v>200</v>
      </c>
      <c r="G215" s="56">
        <f t="shared" ca="1" si="44"/>
        <v>10</v>
      </c>
      <c r="H215" s="116">
        <f t="shared" ca="1" si="45"/>
        <v>24.7</v>
      </c>
      <c r="I215" s="57" t="str">
        <f t="shared" ca="1" si="46"/>
        <v>10.000 + 14.700</v>
      </c>
      <c r="J215" s="131">
        <f t="shared" ca="1" si="53"/>
        <v>1.2000000000000028</v>
      </c>
      <c r="K215" s="122" t="str">
        <f t="shared" ca="1" si="47"/>
        <v/>
      </c>
      <c r="L215" s="130" t="str">
        <f t="shared" ca="1" si="48"/>
        <v/>
      </c>
      <c r="M215" s="126">
        <f t="shared" ca="1" si="49"/>
        <v>995</v>
      </c>
      <c r="N215" s="58">
        <f t="shared" ca="1" si="40"/>
        <v>14.7</v>
      </c>
      <c r="O215" s="160">
        <f t="shared" ca="1" si="40"/>
        <v>13.982489048806725</v>
      </c>
    </row>
    <row r="216" spans="1:15" x14ac:dyDescent="0.25">
      <c r="A216" s="55" t="e">
        <f t="shared" ca="1" si="50"/>
        <v>#N/A</v>
      </c>
      <c r="B216" s="55" t="e">
        <f t="shared" ca="1" si="41"/>
        <v>#N/A</v>
      </c>
      <c r="C216" s="55" t="e">
        <f t="shared" ca="1" si="42"/>
        <v>#N/A</v>
      </c>
      <c r="D216" s="55" t="e">
        <f t="shared" ca="1" si="43"/>
        <v>#N/A</v>
      </c>
      <c r="E216" s="120">
        <f t="shared" ca="1" si="51"/>
        <v>998</v>
      </c>
      <c r="F216" s="56">
        <f t="shared" ca="1" si="52"/>
        <v>200</v>
      </c>
      <c r="G216" s="56">
        <f t="shared" ca="1" si="44"/>
        <v>10</v>
      </c>
      <c r="H216" s="116">
        <f t="shared" ca="1" si="45"/>
        <v>24.7</v>
      </c>
      <c r="I216" s="57" t="str">
        <f t="shared" ca="1" si="46"/>
        <v>10.000 + 14.700</v>
      </c>
      <c r="J216" s="131">
        <f t="shared" ca="1" si="53"/>
        <v>1.2000000000000028</v>
      </c>
      <c r="K216" s="122" t="str">
        <f t="shared" ca="1" si="47"/>
        <v/>
      </c>
      <c r="L216" s="130" t="str">
        <f t="shared" ca="1" si="48"/>
        <v/>
      </c>
      <c r="M216" s="126">
        <f t="shared" ca="1" si="49"/>
        <v>995</v>
      </c>
      <c r="N216" s="58">
        <f t="shared" ca="1" si="40"/>
        <v>14.7</v>
      </c>
      <c r="O216" s="160">
        <f t="shared" ca="1" si="40"/>
        <v>13.982489048806725</v>
      </c>
    </row>
    <row r="217" spans="1:15" x14ac:dyDescent="0.25">
      <c r="A217" s="55" t="e">
        <f t="shared" ca="1" si="50"/>
        <v>#N/A</v>
      </c>
      <c r="B217" s="55" t="e">
        <f t="shared" ca="1" si="41"/>
        <v>#N/A</v>
      </c>
      <c r="C217" s="55" t="e">
        <f t="shared" ca="1" si="42"/>
        <v>#N/A</v>
      </c>
      <c r="D217" s="55" t="e">
        <f t="shared" ca="1" si="43"/>
        <v>#N/A</v>
      </c>
      <c r="E217" s="120">
        <f t="shared" ca="1" si="51"/>
        <v>998</v>
      </c>
      <c r="F217" s="56">
        <f t="shared" ca="1" si="52"/>
        <v>196</v>
      </c>
      <c r="G217" s="56">
        <f t="shared" ca="1" si="44"/>
        <v>9.09</v>
      </c>
      <c r="H217" s="116">
        <f t="shared" ca="1" si="45"/>
        <v>25.290000000000003</v>
      </c>
      <c r="I217" s="57" t="str">
        <f t="shared" ca="1" si="46"/>
        <v>9.090 + 16.200</v>
      </c>
      <c r="J217" s="131">
        <f t="shared" ca="1" si="53"/>
        <v>1.1600000000000108</v>
      </c>
      <c r="K217" s="122" t="str">
        <f t="shared" ca="1" si="47"/>
        <v/>
      </c>
      <c r="L217" s="130" t="str">
        <f t="shared" ca="1" si="48"/>
        <v/>
      </c>
      <c r="M217" s="126">
        <f t="shared" ca="1" si="49"/>
        <v>995</v>
      </c>
      <c r="N217" s="58">
        <f t="shared" ca="1" si="40"/>
        <v>16.200000000000003</v>
      </c>
      <c r="O217" s="160">
        <f t="shared" ca="1" si="40"/>
        <v>15.43178537953402</v>
      </c>
    </row>
    <row r="218" spans="1:15" x14ac:dyDescent="0.25">
      <c r="A218" s="55" t="e">
        <f t="shared" ca="1" si="50"/>
        <v>#N/A</v>
      </c>
      <c r="B218" s="55" t="e">
        <f t="shared" ca="1" si="41"/>
        <v>#N/A</v>
      </c>
      <c r="C218" s="55" t="e">
        <f t="shared" ca="1" si="42"/>
        <v>#N/A</v>
      </c>
      <c r="D218" s="55" t="e">
        <f t="shared" ca="1" si="43"/>
        <v>#N/A</v>
      </c>
      <c r="E218" s="120">
        <f t="shared" ca="1" si="51"/>
        <v>998</v>
      </c>
      <c r="F218" s="56">
        <f t="shared" ca="1" si="52"/>
        <v>196</v>
      </c>
      <c r="G218" s="56">
        <f t="shared" ca="1" si="44"/>
        <v>9.09</v>
      </c>
      <c r="H218" s="116">
        <f t="shared" ca="1" si="45"/>
        <v>25.290000000000003</v>
      </c>
      <c r="I218" s="57" t="str">
        <f t="shared" ca="1" si="46"/>
        <v>9.090 + 16.200</v>
      </c>
      <c r="J218" s="131">
        <f t="shared" ca="1" si="53"/>
        <v>1.1600000000000108</v>
      </c>
      <c r="K218" s="122" t="str">
        <f t="shared" ca="1" si="47"/>
        <v/>
      </c>
      <c r="L218" s="130" t="str">
        <f t="shared" ca="1" si="48"/>
        <v/>
      </c>
      <c r="M218" s="126">
        <f t="shared" ca="1" si="49"/>
        <v>995</v>
      </c>
      <c r="N218" s="58">
        <f t="shared" ca="1" si="40"/>
        <v>16.200000000000003</v>
      </c>
      <c r="O218" s="160">
        <f t="shared" ca="1" si="40"/>
        <v>15.43178537953402</v>
      </c>
    </row>
    <row r="219" spans="1:15" x14ac:dyDescent="0.25">
      <c r="A219" s="55" t="e">
        <f t="shared" ca="1" si="50"/>
        <v>#N/A</v>
      </c>
      <c r="B219" s="55" t="e">
        <f t="shared" ca="1" si="41"/>
        <v>#N/A</v>
      </c>
      <c r="C219" s="55" t="e">
        <f t="shared" ca="1" si="42"/>
        <v>#N/A</v>
      </c>
      <c r="D219" s="55" t="e">
        <f t="shared" ca="1" si="43"/>
        <v>#N/A</v>
      </c>
      <c r="E219" s="120">
        <f t="shared" ca="1" si="51"/>
        <v>998</v>
      </c>
      <c r="F219" s="56">
        <f t="shared" ca="1" si="52"/>
        <v>196</v>
      </c>
      <c r="G219" s="56">
        <f t="shared" ca="1" si="44"/>
        <v>9.09</v>
      </c>
      <c r="H219" s="116">
        <f t="shared" ca="1" si="45"/>
        <v>25.290000000000003</v>
      </c>
      <c r="I219" s="57" t="str">
        <f t="shared" ca="1" si="46"/>
        <v>9.090 + 16.200</v>
      </c>
      <c r="J219" s="131">
        <f t="shared" ca="1" si="53"/>
        <v>1.1600000000000108</v>
      </c>
      <c r="K219" s="122" t="str">
        <f t="shared" ca="1" si="47"/>
        <v/>
      </c>
      <c r="L219" s="130" t="str">
        <f t="shared" ca="1" si="48"/>
        <v/>
      </c>
      <c r="M219" s="126">
        <f t="shared" ca="1" si="49"/>
        <v>995</v>
      </c>
      <c r="N219" s="58">
        <f t="shared" ca="1" si="40"/>
        <v>16.200000000000003</v>
      </c>
      <c r="O219" s="160">
        <f t="shared" ca="1" si="40"/>
        <v>15.43178537953402</v>
      </c>
    </row>
    <row r="220" spans="1:15" x14ac:dyDescent="0.25">
      <c r="A220" s="55" t="e">
        <f t="shared" ca="1" si="50"/>
        <v>#N/A</v>
      </c>
      <c r="B220" s="55" t="e">
        <f t="shared" ca="1" si="41"/>
        <v>#N/A</v>
      </c>
      <c r="C220" s="55" t="e">
        <f t="shared" ca="1" si="42"/>
        <v>#N/A</v>
      </c>
      <c r="D220" s="55" t="e">
        <f t="shared" ca="1" si="43"/>
        <v>#N/A</v>
      </c>
      <c r="E220" s="120">
        <f t="shared" ca="1" si="51"/>
        <v>998</v>
      </c>
      <c r="F220" s="56">
        <f t="shared" ca="1" si="52"/>
        <v>196</v>
      </c>
      <c r="G220" s="56">
        <f t="shared" ca="1" si="44"/>
        <v>9.09</v>
      </c>
      <c r="H220" s="116">
        <f t="shared" ca="1" si="45"/>
        <v>25.290000000000003</v>
      </c>
      <c r="I220" s="57" t="str">
        <f t="shared" ca="1" si="46"/>
        <v>9.090 + 16.200</v>
      </c>
      <c r="J220" s="131">
        <f t="shared" ca="1" si="53"/>
        <v>1.1600000000000108</v>
      </c>
      <c r="K220" s="122" t="str">
        <f t="shared" ca="1" si="47"/>
        <v/>
      </c>
      <c r="L220" s="130" t="str">
        <f t="shared" ca="1" si="48"/>
        <v/>
      </c>
      <c r="M220" s="126">
        <f t="shared" ca="1" si="49"/>
        <v>995</v>
      </c>
      <c r="N220" s="58">
        <f t="shared" ca="1" si="40"/>
        <v>16.200000000000003</v>
      </c>
      <c r="O220" s="160">
        <f t="shared" ca="1" si="40"/>
        <v>15.43178537953402</v>
      </c>
    </row>
    <row r="221" spans="1:15" x14ac:dyDescent="0.25">
      <c r="A221" s="55" t="e">
        <f t="shared" ca="1" si="50"/>
        <v>#N/A</v>
      </c>
      <c r="B221" s="55" t="e">
        <f t="shared" ca="1" si="41"/>
        <v>#N/A</v>
      </c>
      <c r="C221" s="55" t="e">
        <f t="shared" ca="1" si="42"/>
        <v>#N/A</v>
      </c>
      <c r="D221" s="55" t="e">
        <f t="shared" ca="1" si="43"/>
        <v>#N/A</v>
      </c>
      <c r="E221" s="120">
        <f t="shared" ca="1" si="51"/>
        <v>998</v>
      </c>
      <c r="F221" s="56">
        <f t="shared" ca="1" si="52"/>
        <v>188</v>
      </c>
      <c r="G221" s="56">
        <f t="shared" ca="1" si="44"/>
        <v>7.5</v>
      </c>
      <c r="H221" s="116">
        <f t="shared" ca="1" si="45"/>
        <v>25.299999999999997</v>
      </c>
      <c r="I221" s="57" t="str">
        <f t="shared" ca="1" si="46"/>
        <v>7.500 + 17.800</v>
      </c>
      <c r="J221" s="131">
        <f t="shared" ca="1" si="53"/>
        <v>1.1999999999999886</v>
      </c>
      <c r="K221" s="122" t="str">
        <f t="shared" ca="1" si="47"/>
        <v/>
      </c>
      <c r="L221" s="130" t="str">
        <f t="shared" ca="1" si="48"/>
        <v/>
      </c>
      <c r="M221" s="126">
        <f t="shared" ca="1" si="49"/>
        <v>995</v>
      </c>
      <c r="N221" s="58">
        <f t="shared" ca="1" si="40"/>
        <v>17.799999999999997</v>
      </c>
      <c r="O221" s="160">
        <f t="shared" ca="1" si="40"/>
        <v>16.98116603770189</v>
      </c>
    </row>
    <row r="222" spans="1:15" x14ac:dyDescent="0.25">
      <c r="A222" s="55" t="e">
        <f t="shared" ca="1" si="50"/>
        <v>#N/A</v>
      </c>
      <c r="B222" s="55" t="e">
        <f t="shared" ca="1" si="41"/>
        <v>#N/A</v>
      </c>
      <c r="C222" s="55" t="e">
        <f t="shared" ca="1" si="42"/>
        <v>#N/A</v>
      </c>
      <c r="D222" s="55" t="e">
        <f t="shared" ca="1" si="43"/>
        <v>#N/A</v>
      </c>
      <c r="E222" s="120">
        <f t="shared" ca="1" si="51"/>
        <v>998</v>
      </c>
      <c r="F222" s="56">
        <f t="shared" ca="1" si="52"/>
        <v>188</v>
      </c>
      <c r="G222" s="56">
        <f t="shared" ca="1" si="44"/>
        <v>7.5</v>
      </c>
      <c r="H222" s="116">
        <f t="shared" ca="1" si="45"/>
        <v>25.299999999999997</v>
      </c>
      <c r="I222" s="57" t="str">
        <f t="shared" ca="1" si="46"/>
        <v>7.500 + 17.800</v>
      </c>
      <c r="J222" s="131">
        <f t="shared" ca="1" si="53"/>
        <v>1.1999999999999886</v>
      </c>
      <c r="K222" s="122" t="str">
        <f t="shared" ca="1" si="47"/>
        <v/>
      </c>
      <c r="L222" s="130" t="str">
        <f t="shared" ca="1" si="48"/>
        <v/>
      </c>
      <c r="M222" s="126">
        <f t="shared" ca="1" si="49"/>
        <v>995</v>
      </c>
      <c r="N222" s="58">
        <f t="shared" ca="1" si="40"/>
        <v>17.799999999999997</v>
      </c>
      <c r="O222" s="160">
        <f t="shared" ca="1" si="40"/>
        <v>16.98116603770189</v>
      </c>
    </row>
    <row r="223" spans="1:15" x14ac:dyDescent="0.25">
      <c r="A223" s="55" t="e">
        <f t="shared" ca="1" si="50"/>
        <v>#N/A</v>
      </c>
      <c r="B223" s="55" t="e">
        <f t="shared" ca="1" si="41"/>
        <v>#N/A</v>
      </c>
      <c r="C223" s="55" t="e">
        <f t="shared" ca="1" si="42"/>
        <v>#N/A</v>
      </c>
      <c r="D223" s="55" t="e">
        <f t="shared" ca="1" si="43"/>
        <v>#N/A</v>
      </c>
      <c r="E223" s="120">
        <f t="shared" ca="1" si="51"/>
        <v>998</v>
      </c>
      <c r="F223" s="56">
        <f t="shared" ca="1" si="52"/>
        <v>188</v>
      </c>
      <c r="G223" s="56">
        <f t="shared" ca="1" si="44"/>
        <v>7.5</v>
      </c>
      <c r="H223" s="116">
        <f t="shared" ca="1" si="45"/>
        <v>25.299999999999997</v>
      </c>
      <c r="I223" s="57" t="str">
        <f t="shared" ca="1" si="46"/>
        <v>7.500 + 17.800</v>
      </c>
      <c r="J223" s="131">
        <f t="shared" ca="1" si="53"/>
        <v>1.1999999999999886</v>
      </c>
      <c r="K223" s="122" t="str">
        <f t="shared" ca="1" si="47"/>
        <v/>
      </c>
      <c r="L223" s="130" t="str">
        <f t="shared" ca="1" si="48"/>
        <v/>
      </c>
      <c r="M223" s="126">
        <f t="shared" ca="1" si="49"/>
        <v>995</v>
      </c>
      <c r="N223" s="58">
        <f t="shared" ca="1" si="40"/>
        <v>17.799999999999997</v>
      </c>
      <c r="O223" s="160">
        <f t="shared" ca="1" si="40"/>
        <v>16.98116603770189</v>
      </c>
    </row>
    <row r="224" spans="1:15" x14ac:dyDescent="0.25">
      <c r="A224" s="55" t="e">
        <f t="shared" ca="1" si="50"/>
        <v>#N/A</v>
      </c>
      <c r="B224" s="55" t="e">
        <f t="shared" ca="1" si="41"/>
        <v>#N/A</v>
      </c>
      <c r="C224" s="55" t="e">
        <f t="shared" ca="1" si="42"/>
        <v>#N/A</v>
      </c>
      <c r="D224" s="55" t="e">
        <f t="shared" ca="1" si="43"/>
        <v>#N/A</v>
      </c>
      <c r="E224" s="120">
        <f t="shared" ca="1" si="51"/>
        <v>998</v>
      </c>
      <c r="F224" s="56">
        <f t="shared" ca="1" si="52"/>
        <v>188</v>
      </c>
      <c r="G224" s="56">
        <f t="shared" ca="1" si="44"/>
        <v>7.5</v>
      </c>
      <c r="H224" s="116">
        <f t="shared" ca="1" si="45"/>
        <v>25.299999999999997</v>
      </c>
      <c r="I224" s="57" t="str">
        <f t="shared" ca="1" si="46"/>
        <v>7.500 + 17.800</v>
      </c>
      <c r="J224" s="131">
        <f t="shared" ca="1" si="53"/>
        <v>1.1999999999999886</v>
      </c>
      <c r="K224" s="122" t="str">
        <f t="shared" ca="1" si="47"/>
        <v/>
      </c>
      <c r="L224" s="130" t="str">
        <f t="shared" ca="1" si="48"/>
        <v/>
      </c>
      <c r="M224" s="126">
        <f t="shared" ca="1" si="49"/>
        <v>995</v>
      </c>
      <c r="N224" s="58">
        <f t="shared" ca="1" si="40"/>
        <v>17.799999999999997</v>
      </c>
      <c r="O224" s="160">
        <f t="shared" ca="1" si="40"/>
        <v>16.98116603770189</v>
      </c>
    </row>
    <row r="225" spans="1:15" x14ac:dyDescent="0.25">
      <c r="A225" s="55" t="e">
        <f t="shared" ca="1" si="50"/>
        <v>#N/A</v>
      </c>
      <c r="B225" s="55" t="e">
        <f t="shared" ca="1" si="41"/>
        <v>#N/A</v>
      </c>
      <c r="C225" s="55" t="e">
        <f t="shared" ca="1" si="42"/>
        <v>#N/A</v>
      </c>
      <c r="D225" s="55" t="e">
        <f t="shared" ca="1" si="43"/>
        <v>#N/A</v>
      </c>
      <c r="E225" s="120">
        <f t="shared" ca="1" si="51"/>
        <v>998</v>
      </c>
      <c r="F225" s="56">
        <f t="shared" ca="1" si="52"/>
        <v>176</v>
      </c>
      <c r="G225" s="56">
        <f t="shared" ca="1" si="44"/>
        <v>5.620000000000001</v>
      </c>
      <c r="H225" s="116">
        <f t="shared" ca="1" si="45"/>
        <v>25.220000000000002</v>
      </c>
      <c r="I225" s="57" t="str">
        <f t="shared" ca="1" si="46"/>
        <v>5.620 + 19.600</v>
      </c>
      <c r="J225" s="131">
        <f t="shared" ca="1" si="53"/>
        <v>0.88000000000000966</v>
      </c>
      <c r="K225" s="122" t="str">
        <f t="shared" ca="1" si="47"/>
        <v>5.620 + 19.600</v>
      </c>
      <c r="L225" s="130">
        <f t="shared" ca="1" si="48"/>
        <v>25.220000000000002</v>
      </c>
      <c r="M225" s="126">
        <f t="shared" ca="1" si="49"/>
        <v>0.88000000000000966</v>
      </c>
      <c r="N225" s="58">
        <f t="shared" ca="1" si="40"/>
        <v>19.600000000000001</v>
      </c>
      <c r="O225" s="160">
        <f t="shared" ca="1" si="40"/>
        <v>18.67832968977687</v>
      </c>
    </row>
    <row r="226" spans="1:15" x14ac:dyDescent="0.25">
      <c r="A226" s="55" t="e">
        <f t="shared" ca="1" si="50"/>
        <v>#N/A</v>
      </c>
      <c r="B226" s="55" t="e">
        <f t="shared" ca="1" si="41"/>
        <v>#N/A</v>
      </c>
      <c r="C226" s="55" t="e">
        <f t="shared" ca="1" si="42"/>
        <v>#N/A</v>
      </c>
      <c r="D226" s="55" t="e">
        <f t="shared" ca="1" si="43"/>
        <v>#N/A</v>
      </c>
      <c r="E226" s="120">
        <f t="shared" ca="1" si="51"/>
        <v>998</v>
      </c>
      <c r="F226" s="56">
        <f t="shared" ca="1" si="52"/>
        <v>176</v>
      </c>
      <c r="G226" s="56">
        <f t="shared" ca="1" si="44"/>
        <v>5.620000000000001</v>
      </c>
      <c r="H226" s="116">
        <f t="shared" ca="1" si="45"/>
        <v>25.220000000000002</v>
      </c>
      <c r="I226" s="57" t="str">
        <f t="shared" ca="1" si="46"/>
        <v>5.620 + 19.600</v>
      </c>
      <c r="J226" s="131">
        <f t="shared" ca="1" si="53"/>
        <v>0.88000000000000966</v>
      </c>
      <c r="K226" s="122" t="str">
        <f t="shared" ca="1" si="47"/>
        <v>5.620 + 19.600</v>
      </c>
      <c r="L226" s="130">
        <f t="shared" ca="1" si="48"/>
        <v>25.220000000000002</v>
      </c>
      <c r="M226" s="126">
        <f t="shared" ca="1" si="49"/>
        <v>0.88000000000000966</v>
      </c>
      <c r="N226" s="58">
        <f t="shared" ca="1" si="40"/>
        <v>19.600000000000001</v>
      </c>
      <c r="O226" s="160">
        <f t="shared" ca="1" si="40"/>
        <v>18.67832968977687</v>
      </c>
    </row>
    <row r="227" spans="1:15" x14ac:dyDescent="0.25">
      <c r="A227" s="55" t="e">
        <f t="shared" ca="1" si="50"/>
        <v>#N/A</v>
      </c>
      <c r="B227" s="55" t="e">
        <f t="shared" ca="1" si="41"/>
        <v>#N/A</v>
      </c>
      <c r="C227" s="55" t="e">
        <f t="shared" ca="1" si="42"/>
        <v>#N/A</v>
      </c>
      <c r="D227" s="55" t="e">
        <f t="shared" ca="1" si="43"/>
        <v>#N/A</v>
      </c>
      <c r="E227" s="120">
        <f t="shared" ca="1" si="51"/>
        <v>998</v>
      </c>
      <c r="F227" s="56">
        <f t="shared" ca="1" si="52"/>
        <v>176</v>
      </c>
      <c r="G227" s="56">
        <f t="shared" ca="1" si="44"/>
        <v>5.620000000000001</v>
      </c>
      <c r="H227" s="116">
        <f t="shared" ca="1" si="45"/>
        <v>25.220000000000002</v>
      </c>
      <c r="I227" s="57" t="str">
        <f t="shared" ca="1" si="46"/>
        <v>5.620 + 19.600</v>
      </c>
      <c r="J227" s="131">
        <f t="shared" ca="1" si="53"/>
        <v>0.88000000000000966</v>
      </c>
      <c r="K227" s="122" t="str">
        <f t="shared" ca="1" si="47"/>
        <v>5.620 + 19.600</v>
      </c>
      <c r="L227" s="130">
        <f t="shared" ca="1" si="48"/>
        <v>25.220000000000002</v>
      </c>
      <c r="M227" s="126">
        <f t="shared" ca="1" si="49"/>
        <v>0.88000000000000966</v>
      </c>
      <c r="N227" s="58">
        <f t="shared" ca="1" si="40"/>
        <v>19.600000000000001</v>
      </c>
      <c r="O227" s="160">
        <f t="shared" ca="1" si="40"/>
        <v>18.67832968977687</v>
      </c>
    </row>
    <row r="228" spans="1:15" x14ac:dyDescent="0.25">
      <c r="A228" s="55" t="e">
        <f t="shared" ca="1" si="50"/>
        <v>#N/A</v>
      </c>
      <c r="B228" s="55" t="e">
        <f t="shared" ca="1" si="41"/>
        <v>#N/A</v>
      </c>
      <c r="C228" s="55" t="e">
        <f t="shared" ca="1" si="42"/>
        <v>#N/A</v>
      </c>
      <c r="D228" s="55" t="e">
        <f t="shared" ca="1" si="43"/>
        <v>#N/A</v>
      </c>
      <c r="E228" s="120">
        <f t="shared" ca="1" si="51"/>
        <v>998</v>
      </c>
      <c r="F228" s="56">
        <f t="shared" ca="1" si="52"/>
        <v>176</v>
      </c>
      <c r="G228" s="56">
        <f t="shared" ca="1" si="44"/>
        <v>5.620000000000001</v>
      </c>
      <c r="H228" s="116">
        <f t="shared" ca="1" si="45"/>
        <v>25.220000000000002</v>
      </c>
      <c r="I228" s="57" t="str">
        <f t="shared" ca="1" si="46"/>
        <v>5.620 + 19.600</v>
      </c>
      <c r="J228" s="131">
        <f t="shared" ca="1" si="53"/>
        <v>0.88000000000000966</v>
      </c>
      <c r="K228" s="122" t="str">
        <f t="shared" ca="1" si="47"/>
        <v>5.620 + 19.600</v>
      </c>
      <c r="L228" s="130">
        <f t="shared" ca="1" si="48"/>
        <v>25.220000000000002</v>
      </c>
      <c r="M228" s="126">
        <f t="shared" ca="1" si="49"/>
        <v>0.88000000000000966</v>
      </c>
      <c r="N228" s="58">
        <f t="shared" ca="1" si="40"/>
        <v>19.600000000000001</v>
      </c>
      <c r="O228" s="160">
        <f t="shared" ca="1" si="40"/>
        <v>18.67832968977687</v>
      </c>
    </row>
    <row r="229" spans="1:15" x14ac:dyDescent="0.25">
      <c r="A229" s="55" t="e">
        <f t="shared" ca="1" si="50"/>
        <v>#N/A</v>
      </c>
      <c r="B229" s="55" t="e">
        <f t="shared" ca="1" si="41"/>
        <v>#N/A</v>
      </c>
      <c r="C229" s="55" t="e">
        <f t="shared" ca="1" si="42"/>
        <v>#N/A</v>
      </c>
      <c r="D229" s="55" t="e">
        <f t="shared" ca="1" si="43"/>
        <v>#N/A</v>
      </c>
      <c r="E229" s="120">
        <f t="shared" ca="1" si="51"/>
        <v>998</v>
      </c>
      <c r="F229" s="56">
        <f t="shared" ca="1" si="52"/>
        <v>156</v>
      </c>
      <c r="G229" s="56">
        <f t="shared" ca="1" si="44"/>
        <v>3.4799999999999995</v>
      </c>
      <c r="H229" s="116">
        <f t="shared" ca="1" si="45"/>
        <v>24.98</v>
      </c>
      <c r="I229" s="57" t="str">
        <f t="shared" ca="1" si="46"/>
        <v>3.480 + 21.500</v>
      </c>
      <c r="J229" s="131">
        <f t="shared" ca="1" si="53"/>
        <v>7.9999999999998295E-2</v>
      </c>
      <c r="K229" s="122" t="str">
        <f t="shared" ca="1" si="47"/>
        <v>3.480 + 21.500</v>
      </c>
      <c r="L229" s="130">
        <f t="shared" ca="1" si="48"/>
        <v>24.98</v>
      </c>
      <c r="M229" s="126">
        <f t="shared" ca="1" si="49"/>
        <v>7.9999999999998295E-2</v>
      </c>
      <c r="N229" s="58">
        <f t="shared" ca="1" si="40"/>
        <v>21.5</v>
      </c>
      <c r="O229" s="160">
        <f t="shared" ca="1" si="40"/>
        <v>20.528029618061254</v>
      </c>
    </row>
    <row r="230" spans="1:15" x14ac:dyDescent="0.25">
      <c r="A230" s="55" t="e">
        <f t="shared" ca="1" si="50"/>
        <v>#N/A</v>
      </c>
      <c r="B230" s="55" t="e">
        <f t="shared" ca="1" si="41"/>
        <v>#N/A</v>
      </c>
      <c r="C230" s="55" t="e">
        <f t="shared" ca="1" si="42"/>
        <v>#N/A</v>
      </c>
      <c r="D230" s="55" t="e">
        <f t="shared" ca="1" si="43"/>
        <v>#N/A</v>
      </c>
      <c r="E230" s="120">
        <f t="shared" ca="1" si="51"/>
        <v>998</v>
      </c>
      <c r="F230" s="56">
        <f t="shared" ca="1" si="52"/>
        <v>156</v>
      </c>
      <c r="G230" s="56">
        <f t="shared" ca="1" si="44"/>
        <v>3.4799999999999995</v>
      </c>
      <c r="H230" s="116">
        <f t="shared" ca="1" si="45"/>
        <v>24.98</v>
      </c>
      <c r="I230" s="57" t="str">
        <f t="shared" ca="1" si="46"/>
        <v>3.480 + 21.500</v>
      </c>
      <c r="J230" s="131">
        <f t="shared" ca="1" si="53"/>
        <v>7.9999999999998295E-2</v>
      </c>
      <c r="K230" s="122" t="str">
        <f t="shared" ca="1" si="47"/>
        <v>3.480 + 21.500</v>
      </c>
      <c r="L230" s="130">
        <f t="shared" ca="1" si="48"/>
        <v>24.98</v>
      </c>
      <c r="M230" s="126">
        <f t="shared" ca="1" si="49"/>
        <v>7.9999999999998295E-2</v>
      </c>
      <c r="N230" s="58">
        <f t="shared" ca="1" si="40"/>
        <v>21.5</v>
      </c>
      <c r="O230" s="160">
        <f t="shared" ca="1" si="40"/>
        <v>20.528029618061254</v>
      </c>
    </row>
    <row r="231" spans="1:15" x14ac:dyDescent="0.25">
      <c r="A231" s="55" t="e">
        <f t="shared" ca="1" si="50"/>
        <v>#N/A</v>
      </c>
      <c r="B231" s="55" t="e">
        <f t="shared" ca="1" si="41"/>
        <v>#N/A</v>
      </c>
      <c r="C231" s="55" t="e">
        <f t="shared" ca="1" si="42"/>
        <v>#N/A</v>
      </c>
      <c r="D231" s="55" t="e">
        <f t="shared" ca="1" si="43"/>
        <v>#N/A</v>
      </c>
      <c r="E231" s="120">
        <f t="shared" ca="1" si="51"/>
        <v>998</v>
      </c>
      <c r="F231" s="56">
        <f t="shared" ca="1" si="52"/>
        <v>156</v>
      </c>
      <c r="G231" s="56">
        <f t="shared" ca="1" si="44"/>
        <v>3.4799999999999995</v>
      </c>
      <c r="H231" s="116">
        <f t="shared" ca="1" si="45"/>
        <v>24.98</v>
      </c>
      <c r="I231" s="57" t="str">
        <f t="shared" ca="1" si="46"/>
        <v>3.480 + 21.500</v>
      </c>
      <c r="J231" s="131">
        <f t="shared" ca="1" si="53"/>
        <v>7.9999999999998295E-2</v>
      </c>
      <c r="K231" s="122" t="str">
        <f t="shared" ca="1" si="47"/>
        <v>3.480 + 21.500</v>
      </c>
      <c r="L231" s="130">
        <f t="shared" ca="1" si="48"/>
        <v>24.98</v>
      </c>
      <c r="M231" s="126">
        <f t="shared" ca="1" si="49"/>
        <v>7.9999999999998295E-2</v>
      </c>
      <c r="N231" s="58">
        <f t="shared" ca="1" si="40"/>
        <v>21.5</v>
      </c>
      <c r="O231" s="160">
        <f t="shared" ca="1" si="40"/>
        <v>20.528029618061254</v>
      </c>
    </row>
    <row r="232" spans="1:15" x14ac:dyDescent="0.25">
      <c r="A232" s="55" t="e">
        <f t="shared" ca="1" si="50"/>
        <v>#N/A</v>
      </c>
      <c r="B232" s="55" t="e">
        <f t="shared" ca="1" si="41"/>
        <v>#N/A</v>
      </c>
      <c r="C232" s="55" t="e">
        <f t="shared" ca="1" si="42"/>
        <v>#N/A</v>
      </c>
      <c r="D232" s="55" t="e">
        <f t="shared" ca="1" si="43"/>
        <v>#N/A</v>
      </c>
      <c r="E232" s="120">
        <f t="shared" ca="1" si="51"/>
        <v>998</v>
      </c>
      <c r="F232" s="56">
        <f t="shared" ca="1" si="52"/>
        <v>156</v>
      </c>
      <c r="G232" s="56">
        <f t="shared" ca="1" si="44"/>
        <v>3.4799999999999995</v>
      </c>
      <c r="H232" s="116">
        <f t="shared" ca="1" si="45"/>
        <v>24.98</v>
      </c>
      <c r="I232" s="57" t="str">
        <f t="shared" ca="1" si="46"/>
        <v>3.480 + 21.500</v>
      </c>
      <c r="J232" s="131">
        <f t="shared" ca="1" si="53"/>
        <v>7.9999999999998295E-2</v>
      </c>
      <c r="K232" s="122" t="str">
        <f t="shared" ca="1" si="47"/>
        <v>3.480 + 21.500</v>
      </c>
      <c r="L232" s="130">
        <f t="shared" ca="1" si="48"/>
        <v>24.98</v>
      </c>
      <c r="M232" s="126">
        <f t="shared" ca="1" si="49"/>
        <v>7.9999999999998295E-2</v>
      </c>
      <c r="N232" s="58">
        <f t="shared" ref="N232:O295" ca="1" si="54">N136*10</f>
        <v>21.5</v>
      </c>
      <c r="O232" s="160">
        <f t="shared" ca="1" si="54"/>
        <v>20.528029618061254</v>
      </c>
    </row>
    <row r="233" spans="1:15" x14ac:dyDescent="0.25">
      <c r="A233" s="55" t="e">
        <f t="shared" ca="1" si="50"/>
        <v>#N/A</v>
      </c>
      <c r="B233" s="55" t="e">
        <f t="shared" ca="1" si="41"/>
        <v>#N/A</v>
      </c>
      <c r="C233" s="55" t="e">
        <f t="shared" ca="1" si="42"/>
        <v>#N/A</v>
      </c>
      <c r="D233" s="55" t="e">
        <f t="shared" ca="1" si="43"/>
        <v>#N/A</v>
      </c>
      <c r="E233" s="120">
        <f t="shared" ca="1" si="51"/>
        <v>998</v>
      </c>
      <c r="F233" s="56">
        <f t="shared" ca="1" si="52"/>
        <v>116</v>
      </c>
      <c r="G233" s="56">
        <f t="shared" ca="1" si="44"/>
        <v>1.33</v>
      </c>
      <c r="H233" s="116">
        <f t="shared" ca="1" si="45"/>
        <v>25.03</v>
      </c>
      <c r="I233" s="57" t="str">
        <f t="shared" ca="1" si="46"/>
        <v>1.330 + 23.700</v>
      </c>
      <c r="J233" s="131">
        <f t="shared" ca="1" si="53"/>
        <v>0.12000000000000455</v>
      </c>
      <c r="K233" s="122" t="str">
        <f t="shared" ca="1" si="47"/>
        <v>1.330 + 23.700</v>
      </c>
      <c r="L233" s="130">
        <f t="shared" ca="1" si="48"/>
        <v>25.03</v>
      </c>
      <c r="M233" s="126">
        <f t="shared" ca="1" si="49"/>
        <v>0.12000000000000455</v>
      </c>
      <c r="N233" s="58">
        <f t="shared" ca="1" si="54"/>
        <v>23.700000000000003</v>
      </c>
      <c r="O233" s="160">
        <f t="shared" ca="1" si="54"/>
        <v>22.573214215082441</v>
      </c>
    </row>
    <row r="234" spans="1:15" x14ac:dyDescent="0.25">
      <c r="A234" s="55" t="e">
        <f t="shared" ca="1" si="50"/>
        <v>#N/A</v>
      </c>
      <c r="B234" s="55" t="e">
        <f t="shared" ca="1" si="41"/>
        <v>#N/A</v>
      </c>
      <c r="C234" s="55" t="e">
        <f t="shared" ca="1" si="42"/>
        <v>#N/A</v>
      </c>
      <c r="D234" s="55" t="e">
        <f t="shared" ca="1" si="43"/>
        <v>#N/A</v>
      </c>
      <c r="E234" s="120">
        <f t="shared" ca="1" si="51"/>
        <v>998</v>
      </c>
      <c r="F234" s="56">
        <f t="shared" ca="1" si="52"/>
        <v>116</v>
      </c>
      <c r="G234" s="56">
        <f t="shared" ca="1" si="44"/>
        <v>1.33</v>
      </c>
      <c r="H234" s="116">
        <f t="shared" ca="1" si="45"/>
        <v>25.03</v>
      </c>
      <c r="I234" s="57" t="str">
        <f t="shared" ca="1" si="46"/>
        <v>1.330 + 23.700</v>
      </c>
      <c r="J234" s="131">
        <f t="shared" ca="1" si="53"/>
        <v>0.12000000000000455</v>
      </c>
      <c r="K234" s="122" t="str">
        <f t="shared" ca="1" si="47"/>
        <v>1.330 + 23.700</v>
      </c>
      <c r="L234" s="130">
        <f t="shared" ca="1" si="48"/>
        <v>25.03</v>
      </c>
      <c r="M234" s="126">
        <f t="shared" ca="1" si="49"/>
        <v>0.12000000000000455</v>
      </c>
      <c r="N234" s="58">
        <f t="shared" ca="1" si="54"/>
        <v>23.700000000000003</v>
      </c>
      <c r="O234" s="160">
        <f t="shared" ca="1" si="54"/>
        <v>22.573214215082441</v>
      </c>
    </row>
    <row r="235" spans="1:15" x14ac:dyDescent="0.25">
      <c r="A235" s="55" t="e">
        <f t="shared" ca="1" si="50"/>
        <v>#N/A</v>
      </c>
      <c r="B235" s="55" t="e">
        <f t="shared" ca="1" si="41"/>
        <v>#N/A</v>
      </c>
      <c r="C235" s="55" t="e">
        <f t="shared" ca="1" si="42"/>
        <v>#N/A</v>
      </c>
      <c r="D235" s="55" t="e">
        <f t="shared" ca="1" si="43"/>
        <v>#N/A</v>
      </c>
      <c r="E235" s="120">
        <f t="shared" ca="1" si="51"/>
        <v>998</v>
      </c>
      <c r="F235" s="56">
        <f t="shared" ca="1" si="52"/>
        <v>116</v>
      </c>
      <c r="G235" s="56">
        <f t="shared" ca="1" si="44"/>
        <v>1.33</v>
      </c>
      <c r="H235" s="116">
        <f t="shared" ca="1" si="45"/>
        <v>25.03</v>
      </c>
      <c r="I235" s="57" t="str">
        <f t="shared" ca="1" si="46"/>
        <v>1.330 + 23.700</v>
      </c>
      <c r="J235" s="131">
        <f t="shared" ca="1" si="53"/>
        <v>0.12000000000000455</v>
      </c>
      <c r="K235" s="122" t="str">
        <f t="shared" ca="1" si="47"/>
        <v>1.330 + 23.700</v>
      </c>
      <c r="L235" s="130">
        <f t="shared" ca="1" si="48"/>
        <v>25.03</v>
      </c>
      <c r="M235" s="126">
        <f t="shared" ca="1" si="49"/>
        <v>0.12000000000000455</v>
      </c>
      <c r="N235" s="58">
        <f t="shared" ca="1" si="54"/>
        <v>23.700000000000003</v>
      </c>
      <c r="O235" s="160">
        <f t="shared" ca="1" si="54"/>
        <v>22.573214215082441</v>
      </c>
    </row>
    <row r="236" spans="1:15" x14ac:dyDescent="0.25">
      <c r="A236" s="55" t="e">
        <f t="shared" ca="1" si="50"/>
        <v>#N/A</v>
      </c>
      <c r="B236" s="55" t="e">
        <f t="shared" ca="1" si="41"/>
        <v>#N/A</v>
      </c>
      <c r="C236" s="55" t="e">
        <f t="shared" ca="1" si="42"/>
        <v>#N/A</v>
      </c>
      <c r="D236" s="55" t="e">
        <f t="shared" ca="1" si="43"/>
        <v>#N/A</v>
      </c>
      <c r="E236" s="120">
        <f t="shared" ca="1" si="51"/>
        <v>998</v>
      </c>
      <c r="F236" s="56">
        <f t="shared" ca="1" si="52"/>
        <v>116</v>
      </c>
      <c r="G236" s="56">
        <f t="shared" ca="1" si="44"/>
        <v>1.33</v>
      </c>
      <c r="H236" s="116">
        <f t="shared" ca="1" si="45"/>
        <v>25.03</v>
      </c>
      <c r="I236" s="57" t="str">
        <f t="shared" ca="1" si="46"/>
        <v>1.330 + 23.700</v>
      </c>
      <c r="J236" s="131">
        <f t="shared" ca="1" si="53"/>
        <v>0.12000000000000455</v>
      </c>
      <c r="K236" s="122" t="str">
        <f t="shared" ca="1" si="47"/>
        <v>1.330 + 23.700</v>
      </c>
      <c r="L236" s="130">
        <f t="shared" ca="1" si="48"/>
        <v>25.03</v>
      </c>
      <c r="M236" s="126">
        <f t="shared" ca="1" si="49"/>
        <v>0.12000000000000455</v>
      </c>
      <c r="N236" s="58">
        <f t="shared" ca="1" si="54"/>
        <v>23.700000000000003</v>
      </c>
      <c r="O236" s="160">
        <f t="shared" ca="1" si="54"/>
        <v>22.573214215082441</v>
      </c>
    </row>
    <row r="237" spans="1:15" x14ac:dyDescent="0.25">
      <c r="A237" s="55">
        <f t="shared" ca="1" si="50"/>
        <v>372</v>
      </c>
      <c r="B237" s="55">
        <f t="shared" ca="1" si="41"/>
        <v>618.99999999999989</v>
      </c>
      <c r="C237" s="55">
        <f t="shared" ca="1" si="42"/>
        <v>25.044024182297321</v>
      </c>
      <c r="D237" s="55" t="str">
        <f t="shared" ca="1" si="43"/>
        <v>26.100 || 619.000</v>
      </c>
      <c r="E237" s="120">
        <f t="shared" ca="1" si="51"/>
        <v>0.17609672918928254</v>
      </c>
      <c r="F237" s="56" t="e">
        <f t="shared" ca="1" si="52"/>
        <v>#N/A</v>
      </c>
      <c r="G237" s="56" t="e">
        <f t="shared" ca="1" si="44"/>
        <v>#N/A</v>
      </c>
      <c r="H237" s="116" t="e">
        <f t="shared" ca="1" si="45"/>
        <v>#N/A</v>
      </c>
      <c r="I237" s="57" t="e">
        <f t="shared" ca="1" si="46"/>
        <v>#N/A</v>
      </c>
      <c r="J237" s="131">
        <f t="shared" ca="1" si="53"/>
        <v>996</v>
      </c>
      <c r="K237" s="122" t="str">
        <f t="shared" ca="1" si="47"/>
        <v>26.100 || 619.000</v>
      </c>
      <c r="L237" s="130">
        <f t="shared" ca="1" si="48"/>
        <v>25.044024182297321</v>
      </c>
      <c r="M237" s="126">
        <f t="shared" ca="1" si="49"/>
        <v>0.17609672918928254</v>
      </c>
      <c r="N237" s="58">
        <f t="shared" ca="1" si="54"/>
        <v>26.1</v>
      </c>
      <c r="O237" s="160">
        <f t="shared" ca="1" si="54"/>
        <v>24.871067528355113</v>
      </c>
    </row>
    <row r="238" spans="1:15" x14ac:dyDescent="0.25">
      <c r="A238" s="55">
        <f t="shared" ca="1" si="50"/>
        <v>372</v>
      </c>
      <c r="B238" s="55">
        <f t="shared" ca="1" si="41"/>
        <v>618.99999999999989</v>
      </c>
      <c r="C238" s="55">
        <f t="shared" ca="1" si="42"/>
        <v>25.044024182297321</v>
      </c>
      <c r="D238" s="55" t="str">
        <f t="shared" ca="1" si="43"/>
        <v>26.100 || 619.000</v>
      </c>
      <c r="E238" s="120">
        <f t="shared" ca="1" si="51"/>
        <v>0.17609672918928254</v>
      </c>
      <c r="F238" s="56" t="e">
        <f t="shared" ca="1" si="52"/>
        <v>#N/A</v>
      </c>
      <c r="G238" s="56" t="e">
        <f t="shared" ca="1" si="44"/>
        <v>#N/A</v>
      </c>
      <c r="H238" s="116" t="e">
        <f t="shared" ca="1" si="45"/>
        <v>#N/A</v>
      </c>
      <c r="I238" s="57" t="e">
        <f t="shared" ca="1" si="46"/>
        <v>#N/A</v>
      </c>
      <c r="J238" s="131">
        <f t="shared" ca="1" si="53"/>
        <v>996</v>
      </c>
      <c r="K238" s="122" t="str">
        <f t="shared" ca="1" si="47"/>
        <v>26.100 || 619.000</v>
      </c>
      <c r="L238" s="130">
        <f t="shared" ca="1" si="48"/>
        <v>25.044024182297321</v>
      </c>
      <c r="M238" s="126">
        <f t="shared" ca="1" si="49"/>
        <v>0.17609672918928254</v>
      </c>
      <c r="N238" s="58">
        <f t="shared" ca="1" si="54"/>
        <v>26.1</v>
      </c>
      <c r="O238" s="160">
        <f t="shared" ca="1" si="54"/>
        <v>24.871067528355113</v>
      </c>
    </row>
    <row r="239" spans="1:15" x14ac:dyDescent="0.25">
      <c r="A239" s="55">
        <f t="shared" ca="1" si="50"/>
        <v>372</v>
      </c>
      <c r="B239" s="55">
        <f t="shared" ca="1" si="41"/>
        <v>618.99999999999989</v>
      </c>
      <c r="C239" s="55">
        <f t="shared" ca="1" si="42"/>
        <v>25.044024182297321</v>
      </c>
      <c r="D239" s="55" t="str">
        <f t="shared" ca="1" si="43"/>
        <v>26.100 || 619.000</v>
      </c>
      <c r="E239" s="120">
        <f t="shared" ca="1" si="51"/>
        <v>0.17609672918928254</v>
      </c>
      <c r="F239" s="56" t="e">
        <f t="shared" ca="1" si="52"/>
        <v>#N/A</v>
      </c>
      <c r="G239" s="56" t="e">
        <f t="shared" ca="1" si="44"/>
        <v>#N/A</v>
      </c>
      <c r="H239" s="116" t="e">
        <f t="shared" ca="1" si="45"/>
        <v>#N/A</v>
      </c>
      <c r="I239" s="57" t="e">
        <f t="shared" ca="1" si="46"/>
        <v>#N/A</v>
      </c>
      <c r="J239" s="131">
        <f t="shared" ca="1" si="53"/>
        <v>996</v>
      </c>
      <c r="K239" s="122" t="str">
        <f t="shared" ca="1" si="47"/>
        <v>26.100 || 619.000</v>
      </c>
      <c r="L239" s="130">
        <f t="shared" ca="1" si="48"/>
        <v>25.044024182297321</v>
      </c>
      <c r="M239" s="126">
        <f t="shared" ca="1" si="49"/>
        <v>0.17609672918928254</v>
      </c>
      <c r="N239" s="58">
        <f t="shared" ca="1" si="54"/>
        <v>26.1</v>
      </c>
      <c r="O239" s="160">
        <f t="shared" ca="1" si="54"/>
        <v>24.871067528355113</v>
      </c>
    </row>
    <row r="240" spans="1:15" x14ac:dyDescent="0.25">
      <c r="A240" s="55">
        <f t="shared" ca="1" si="50"/>
        <v>372</v>
      </c>
      <c r="B240" s="55">
        <f t="shared" ca="1" si="41"/>
        <v>618.99999999999989</v>
      </c>
      <c r="C240" s="55">
        <f t="shared" ca="1" si="42"/>
        <v>25.044024182297321</v>
      </c>
      <c r="D240" s="55" t="str">
        <f t="shared" ca="1" si="43"/>
        <v>26.100 || 619.000</v>
      </c>
      <c r="E240" s="120">
        <f t="shared" ca="1" si="51"/>
        <v>0.17609672918928254</v>
      </c>
      <c r="F240" s="56" t="e">
        <f t="shared" ca="1" si="52"/>
        <v>#N/A</v>
      </c>
      <c r="G240" s="56" t="e">
        <f t="shared" ca="1" si="44"/>
        <v>#N/A</v>
      </c>
      <c r="H240" s="116" t="e">
        <f t="shared" ca="1" si="45"/>
        <v>#N/A</v>
      </c>
      <c r="I240" s="57" t="e">
        <f t="shared" ca="1" si="46"/>
        <v>#N/A</v>
      </c>
      <c r="J240" s="131">
        <f t="shared" ca="1" si="53"/>
        <v>996</v>
      </c>
      <c r="K240" s="122" t="str">
        <f t="shared" ca="1" si="47"/>
        <v>26.100 || 619.000</v>
      </c>
      <c r="L240" s="130">
        <f t="shared" ca="1" si="48"/>
        <v>25.044024182297321</v>
      </c>
      <c r="M240" s="126">
        <f t="shared" ca="1" si="49"/>
        <v>0.17609672918928254</v>
      </c>
      <c r="N240" s="58">
        <f t="shared" ca="1" si="54"/>
        <v>26.1</v>
      </c>
      <c r="O240" s="160">
        <f t="shared" ca="1" si="54"/>
        <v>24.871067528355113</v>
      </c>
    </row>
    <row r="241" spans="1:15" x14ac:dyDescent="0.25">
      <c r="A241" s="55">
        <f t="shared" ca="1" si="50"/>
        <v>324</v>
      </c>
      <c r="B241" s="55">
        <f t="shared" ca="1" si="41"/>
        <v>196</v>
      </c>
      <c r="C241" s="55">
        <f t="shared" ca="1" si="42"/>
        <v>25.034267912772584</v>
      </c>
      <c r="D241" s="55" t="str">
        <f t="shared" ca="1" si="43"/>
        <v>28.700 || 196.000</v>
      </c>
      <c r="E241" s="120">
        <f t="shared" ca="1" si="51"/>
        <v>0.13707165109033781</v>
      </c>
      <c r="F241" s="56" t="e">
        <f t="shared" ca="1" si="52"/>
        <v>#N/A</v>
      </c>
      <c r="G241" s="56" t="e">
        <f t="shared" ca="1" si="44"/>
        <v>#N/A</v>
      </c>
      <c r="H241" s="116" t="e">
        <f t="shared" ca="1" si="45"/>
        <v>#N/A</v>
      </c>
      <c r="I241" s="57" t="e">
        <f t="shared" ca="1" si="46"/>
        <v>#N/A</v>
      </c>
      <c r="J241" s="131">
        <f t="shared" ca="1" si="53"/>
        <v>996</v>
      </c>
      <c r="K241" s="122" t="str">
        <f t="shared" ca="1" si="47"/>
        <v>28.700 || 196.000</v>
      </c>
      <c r="L241" s="130">
        <f t="shared" ca="1" si="48"/>
        <v>25.034267912772584</v>
      </c>
      <c r="M241" s="126">
        <f t="shared" ca="1" si="49"/>
        <v>0.13707165109033781</v>
      </c>
      <c r="N241" s="58">
        <f t="shared" ca="1" si="54"/>
        <v>28.699999999999996</v>
      </c>
      <c r="O241" s="160">
        <f t="shared" ca="1" si="54"/>
        <v>27.369143209095892</v>
      </c>
    </row>
    <row r="242" spans="1:15" x14ac:dyDescent="0.25">
      <c r="A242" s="55">
        <f t="shared" ca="1" si="50"/>
        <v>324</v>
      </c>
      <c r="B242" s="55">
        <f t="shared" ca="1" si="41"/>
        <v>196</v>
      </c>
      <c r="C242" s="55">
        <f t="shared" ca="1" si="42"/>
        <v>25.034267912772584</v>
      </c>
      <c r="D242" s="55" t="str">
        <f t="shared" ca="1" si="43"/>
        <v>28.700 || 196.000</v>
      </c>
      <c r="E242" s="120">
        <f t="shared" ca="1" si="51"/>
        <v>0.13707165109033781</v>
      </c>
      <c r="F242" s="56" t="e">
        <f t="shared" ca="1" si="52"/>
        <v>#N/A</v>
      </c>
      <c r="G242" s="56" t="e">
        <f t="shared" ca="1" si="44"/>
        <v>#N/A</v>
      </c>
      <c r="H242" s="116" t="e">
        <f t="shared" ca="1" si="45"/>
        <v>#N/A</v>
      </c>
      <c r="I242" s="57" t="e">
        <f t="shared" ca="1" si="46"/>
        <v>#N/A</v>
      </c>
      <c r="J242" s="131">
        <f t="shared" ca="1" si="53"/>
        <v>996</v>
      </c>
      <c r="K242" s="122" t="str">
        <f t="shared" ca="1" si="47"/>
        <v>28.700 || 196.000</v>
      </c>
      <c r="L242" s="130">
        <f t="shared" ca="1" si="48"/>
        <v>25.034267912772584</v>
      </c>
      <c r="M242" s="126">
        <f t="shared" ca="1" si="49"/>
        <v>0.13707165109033781</v>
      </c>
      <c r="N242" s="58">
        <f t="shared" ca="1" si="54"/>
        <v>28.699999999999996</v>
      </c>
      <c r="O242" s="160">
        <f t="shared" ca="1" si="54"/>
        <v>27.369143209095892</v>
      </c>
    </row>
    <row r="243" spans="1:15" x14ac:dyDescent="0.25">
      <c r="A243" s="55">
        <f t="shared" ca="1" si="50"/>
        <v>324</v>
      </c>
      <c r="B243" s="55">
        <f t="shared" ca="1" si="41"/>
        <v>196</v>
      </c>
      <c r="C243" s="55">
        <f t="shared" ca="1" si="42"/>
        <v>25.034267912772584</v>
      </c>
      <c r="D243" s="55" t="str">
        <f t="shared" ca="1" si="43"/>
        <v>28.700 || 196.000</v>
      </c>
      <c r="E243" s="120">
        <f t="shared" ca="1" si="51"/>
        <v>0.13707165109033781</v>
      </c>
      <c r="F243" s="56" t="e">
        <f t="shared" ca="1" si="52"/>
        <v>#N/A</v>
      </c>
      <c r="G243" s="56" t="e">
        <f t="shared" ca="1" si="44"/>
        <v>#N/A</v>
      </c>
      <c r="H243" s="116" t="e">
        <f t="shared" ca="1" si="45"/>
        <v>#N/A</v>
      </c>
      <c r="I243" s="57" t="e">
        <f t="shared" ca="1" si="46"/>
        <v>#N/A</v>
      </c>
      <c r="J243" s="131">
        <f t="shared" ca="1" si="53"/>
        <v>996</v>
      </c>
      <c r="K243" s="122" t="str">
        <f t="shared" ca="1" si="47"/>
        <v>28.700 || 196.000</v>
      </c>
      <c r="L243" s="130">
        <f t="shared" ca="1" si="48"/>
        <v>25.034267912772584</v>
      </c>
      <c r="M243" s="126">
        <f t="shared" ca="1" si="49"/>
        <v>0.13707165109033781</v>
      </c>
      <c r="N243" s="58">
        <f t="shared" ca="1" si="54"/>
        <v>28.699999999999996</v>
      </c>
      <c r="O243" s="160">
        <f t="shared" ca="1" si="54"/>
        <v>27.369143209095892</v>
      </c>
    </row>
    <row r="244" spans="1:15" x14ac:dyDescent="0.25">
      <c r="A244" s="55">
        <f t="shared" ca="1" si="50"/>
        <v>324</v>
      </c>
      <c r="B244" s="55">
        <f t="shared" ca="1" si="41"/>
        <v>196</v>
      </c>
      <c r="C244" s="55">
        <f t="shared" ca="1" si="42"/>
        <v>25.034267912772584</v>
      </c>
      <c r="D244" s="55" t="str">
        <f t="shared" ca="1" si="43"/>
        <v>28.700 || 196.000</v>
      </c>
      <c r="E244" s="120">
        <f t="shared" ca="1" si="51"/>
        <v>0.13707165109033781</v>
      </c>
      <c r="F244" s="56" t="e">
        <f t="shared" ca="1" si="52"/>
        <v>#N/A</v>
      </c>
      <c r="G244" s="56" t="e">
        <f t="shared" ca="1" si="44"/>
        <v>#N/A</v>
      </c>
      <c r="H244" s="116" t="e">
        <f t="shared" ca="1" si="45"/>
        <v>#N/A</v>
      </c>
      <c r="I244" s="57" t="e">
        <f t="shared" ca="1" si="46"/>
        <v>#N/A</v>
      </c>
      <c r="J244" s="131">
        <f t="shared" ca="1" si="53"/>
        <v>996</v>
      </c>
      <c r="K244" s="122" t="str">
        <f t="shared" ca="1" si="47"/>
        <v>28.700 || 196.000</v>
      </c>
      <c r="L244" s="130">
        <f t="shared" ca="1" si="48"/>
        <v>25.034267912772584</v>
      </c>
      <c r="M244" s="126">
        <f t="shared" ca="1" si="49"/>
        <v>0.13707165109033781</v>
      </c>
      <c r="N244" s="58">
        <f t="shared" ca="1" si="54"/>
        <v>28.699999999999996</v>
      </c>
      <c r="O244" s="160">
        <f t="shared" ca="1" si="54"/>
        <v>27.369143209095892</v>
      </c>
    </row>
    <row r="245" spans="1:15" x14ac:dyDescent="0.25">
      <c r="A245" s="55">
        <f t="shared" ca="1" si="50"/>
        <v>304</v>
      </c>
      <c r="B245" s="55">
        <f t="shared" ca="1" si="41"/>
        <v>121</v>
      </c>
      <c r="C245" s="55">
        <f t="shared" ca="1" si="42"/>
        <v>25.056356487549152</v>
      </c>
      <c r="D245" s="55" t="str">
        <f t="shared" ca="1" si="43"/>
        <v>31.600 || 121.000</v>
      </c>
      <c r="E245" s="120">
        <f t="shared" ca="1" si="51"/>
        <v>0.22542595019660894</v>
      </c>
      <c r="F245" s="56" t="e">
        <f t="shared" ca="1" si="52"/>
        <v>#N/A</v>
      </c>
      <c r="G245" s="56" t="e">
        <f t="shared" ca="1" si="44"/>
        <v>#N/A</v>
      </c>
      <c r="H245" s="116" t="e">
        <f t="shared" ca="1" si="45"/>
        <v>#N/A</v>
      </c>
      <c r="I245" s="57" t="e">
        <f t="shared" ca="1" si="46"/>
        <v>#N/A</v>
      </c>
      <c r="J245" s="131">
        <f t="shared" ca="1" si="53"/>
        <v>996</v>
      </c>
      <c r="K245" s="122" t="str">
        <f t="shared" ca="1" si="47"/>
        <v>31.600 || 121.000</v>
      </c>
      <c r="L245" s="130">
        <f t="shared" ca="1" si="48"/>
        <v>25.056356487549152</v>
      </c>
      <c r="M245" s="126">
        <f t="shared" ca="1" si="49"/>
        <v>0.22542595019660894</v>
      </c>
      <c r="N245" s="58">
        <f t="shared" ca="1" si="54"/>
        <v>31.6</v>
      </c>
      <c r="O245" s="160">
        <f t="shared" ca="1" si="54"/>
        <v>30.11511248526228</v>
      </c>
    </row>
    <row r="246" spans="1:15" x14ac:dyDescent="0.25">
      <c r="A246" s="55">
        <f t="shared" ca="1" si="50"/>
        <v>304</v>
      </c>
      <c r="B246" s="55">
        <f t="shared" ca="1" si="41"/>
        <v>121</v>
      </c>
      <c r="C246" s="55">
        <f t="shared" ca="1" si="42"/>
        <v>25.056356487549152</v>
      </c>
      <c r="D246" s="55" t="str">
        <f t="shared" ca="1" si="43"/>
        <v>31.600 || 121.000</v>
      </c>
      <c r="E246" s="120">
        <f t="shared" ca="1" si="51"/>
        <v>0.22542595019660894</v>
      </c>
      <c r="F246" s="56" t="e">
        <f t="shared" ca="1" si="52"/>
        <v>#N/A</v>
      </c>
      <c r="G246" s="56" t="e">
        <f t="shared" ca="1" si="44"/>
        <v>#N/A</v>
      </c>
      <c r="H246" s="116" t="e">
        <f t="shared" ca="1" si="45"/>
        <v>#N/A</v>
      </c>
      <c r="I246" s="57" t="e">
        <f t="shared" ca="1" si="46"/>
        <v>#N/A</v>
      </c>
      <c r="J246" s="131">
        <f t="shared" ca="1" si="53"/>
        <v>996</v>
      </c>
      <c r="K246" s="122" t="str">
        <f t="shared" ca="1" si="47"/>
        <v>31.600 || 121.000</v>
      </c>
      <c r="L246" s="130">
        <f t="shared" ca="1" si="48"/>
        <v>25.056356487549152</v>
      </c>
      <c r="M246" s="126">
        <f t="shared" ca="1" si="49"/>
        <v>0.22542595019660894</v>
      </c>
      <c r="N246" s="58">
        <f t="shared" ca="1" si="54"/>
        <v>31.6</v>
      </c>
      <c r="O246" s="160">
        <f t="shared" ca="1" si="54"/>
        <v>30.11511248526228</v>
      </c>
    </row>
    <row r="247" spans="1:15" x14ac:dyDescent="0.25">
      <c r="A247" s="55">
        <f t="shared" ca="1" si="50"/>
        <v>304</v>
      </c>
      <c r="B247" s="55">
        <f t="shared" ca="1" si="41"/>
        <v>121</v>
      </c>
      <c r="C247" s="55">
        <f t="shared" ca="1" si="42"/>
        <v>25.056356487549152</v>
      </c>
      <c r="D247" s="55" t="str">
        <f t="shared" ca="1" si="43"/>
        <v>31.600 || 121.000</v>
      </c>
      <c r="E247" s="120">
        <f t="shared" ca="1" si="51"/>
        <v>0.22542595019660894</v>
      </c>
      <c r="F247" s="56" t="e">
        <f t="shared" ca="1" si="52"/>
        <v>#N/A</v>
      </c>
      <c r="G247" s="56" t="e">
        <f t="shared" ca="1" si="44"/>
        <v>#N/A</v>
      </c>
      <c r="H247" s="116" t="e">
        <f t="shared" ca="1" si="45"/>
        <v>#N/A</v>
      </c>
      <c r="I247" s="57" t="e">
        <f t="shared" ca="1" si="46"/>
        <v>#N/A</v>
      </c>
      <c r="J247" s="131">
        <f t="shared" ca="1" si="53"/>
        <v>996</v>
      </c>
      <c r="K247" s="122" t="str">
        <f t="shared" ca="1" si="47"/>
        <v>31.600 || 121.000</v>
      </c>
      <c r="L247" s="130">
        <f t="shared" ca="1" si="48"/>
        <v>25.056356487549152</v>
      </c>
      <c r="M247" s="126">
        <f t="shared" ca="1" si="49"/>
        <v>0.22542595019660894</v>
      </c>
      <c r="N247" s="58">
        <f t="shared" ca="1" si="54"/>
        <v>31.6</v>
      </c>
      <c r="O247" s="160">
        <f t="shared" ca="1" si="54"/>
        <v>30.11511248526228</v>
      </c>
    </row>
    <row r="248" spans="1:15" x14ac:dyDescent="0.25">
      <c r="A248" s="55">
        <f t="shared" ca="1" si="50"/>
        <v>304</v>
      </c>
      <c r="B248" s="55">
        <f t="shared" ca="1" si="41"/>
        <v>121</v>
      </c>
      <c r="C248" s="55">
        <f t="shared" ca="1" si="42"/>
        <v>25.056356487549152</v>
      </c>
      <c r="D248" s="55" t="str">
        <f t="shared" ca="1" si="43"/>
        <v>31.600 || 121.000</v>
      </c>
      <c r="E248" s="120">
        <f t="shared" ca="1" si="51"/>
        <v>0.22542595019660894</v>
      </c>
      <c r="F248" s="56" t="e">
        <f t="shared" ca="1" si="52"/>
        <v>#N/A</v>
      </c>
      <c r="G248" s="56" t="e">
        <f t="shared" ca="1" si="44"/>
        <v>#N/A</v>
      </c>
      <c r="H248" s="116" t="e">
        <f t="shared" ca="1" si="45"/>
        <v>#N/A</v>
      </c>
      <c r="I248" s="57" t="e">
        <f t="shared" ca="1" si="46"/>
        <v>#N/A</v>
      </c>
      <c r="J248" s="131">
        <f t="shared" ca="1" si="53"/>
        <v>996</v>
      </c>
      <c r="K248" s="122" t="str">
        <f t="shared" ca="1" si="47"/>
        <v>31.600 || 121.000</v>
      </c>
      <c r="L248" s="130">
        <f t="shared" ca="1" si="48"/>
        <v>25.056356487549152</v>
      </c>
      <c r="M248" s="126">
        <f t="shared" ca="1" si="49"/>
        <v>0.22542595019660894</v>
      </c>
      <c r="N248" s="58">
        <f t="shared" ca="1" si="54"/>
        <v>31.6</v>
      </c>
      <c r="O248" s="160">
        <f t="shared" ca="1" si="54"/>
        <v>30.11511248526228</v>
      </c>
    </row>
    <row r="249" spans="1:15" x14ac:dyDescent="0.25">
      <c r="A249" s="55">
        <f t="shared" ca="1" si="50"/>
        <v>292</v>
      </c>
      <c r="B249" s="55">
        <f t="shared" ca="1" si="41"/>
        <v>90.9</v>
      </c>
      <c r="C249" s="55">
        <f t="shared" ca="1" si="42"/>
        <v>25.165632458233887</v>
      </c>
      <c r="D249" s="55" t="str">
        <f t="shared" ca="1" si="43"/>
        <v>34.800 || 90.900</v>
      </c>
      <c r="E249" s="120">
        <f t="shared" ca="1" si="51"/>
        <v>0.66252983293554735</v>
      </c>
      <c r="F249" s="56" t="e">
        <f t="shared" ca="1" si="52"/>
        <v>#N/A</v>
      </c>
      <c r="G249" s="56" t="e">
        <f t="shared" ca="1" si="44"/>
        <v>#N/A</v>
      </c>
      <c r="H249" s="116" t="e">
        <f t="shared" ca="1" si="45"/>
        <v>#N/A</v>
      </c>
      <c r="I249" s="57" t="e">
        <f t="shared" ca="1" si="46"/>
        <v>#N/A</v>
      </c>
      <c r="J249" s="131">
        <f t="shared" ca="1" si="53"/>
        <v>996</v>
      </c>
      <c r="K249" s="122" t="str">
        <f t="shared" ca="1" si="47"/>
        <v>34.800 || 90.900</v>
      </c>
      <c r="L249" s="130">
        <f t="shared" ca="1" si="48"/>
        <v>25.165632458233887</v>
      </c>
      <c r="M249" s="126">
        <f t="shared" ca="1" si="49"/>
        <v>0.66252983293554735</v>
      </c>
      <c r="N249" s="58">
        <f t="shared" ca="1" si="54"/>
        <v>34.799999999999997</v>
      </c>
      <c r="O249" s="160">
        <f t="shared" ca="1" si="54"/>
        <v>33.161423371140145</v>
      </c>
    </row>
    <row r="250" spans="1:15" x14ac:dyDescent="0.25">
      <c r="A250" s="55">
        <f t="shared" ca="1" si="50"/>
        <v>292</v>
      </c>
      <c r="B250" s="55">
        <f t="shared" ca="1" si="41"/>
        <v>90.9</v>
      </c>
      <c r="C250" s="55">
        <f t="shared" ca="1" si="42"/>
        <v>25.165632458233887</v>
      </c>
      <c r="D250" s="55" t="str">
        <f t="shared" ca="1" si="43"/>
        <v>34.800 || 90.900</v>
      </c>
      <c r="E250" s="120">
        <f t="shared" ca="1" si="51"/>
        <v>0.66252983293554735</v>
      </c>
      <c r="F250" s="56" t="e">
        <f t="shared" ca="1" si="52"/>
        <v>#N/A</v>
      </c>
      <c r="G250" s="56" t="e">
        <f t="shared" ca="1" si="44"/>
        <v>#N/A</v>
      </c>
      <c r="H250" s="116" t="e">
        <f t="shared" ca="1" si="45"/>
        <v>#N/A</v>
      </c>
      <c r="I250" s="57" t="e">
        <f t="shared" ca="1" si="46"/>
        <v>#N/A</v>
      </c>
      <c r="J250" s="131">
        <f t="shared" ca="1" si="53"/>
        <v>996</v>
      </c>
      <c r="K250" s="122" t="str">
        <f t="shared" ca="1" si="47"/>
        <v>34.800 || 90.900</v>
      </c>
      <c r="L250" s="130">
        <f t="shared" ca="1" si="48"/>
        <v>25.165632458233887</v>
      </c>
      <c r="M250" s="126">
        <f t="shared" ca="1" si="49"/>
        <v>0.66252983293554735</v>
      </c>
      <c r="N250" s="58">
        <f t="shared" ca="1" si="54"/>
        <v>34.799999999999997</v>
      </c>
      <c r="O250" s="160">
        <f t="shared" ca="1" si="54"/>
        <v>33.161423371140145</v>
      </c>
    </row>
    <row r="251" spans="1:15" x14ac:dyDescent="0.25">
      <c r="A251" s="55">
        <f t="shared" ca="1" si="50"/>
        <v>292</v>
      </c>
      <c r="B251" s="55">
        <f t="shared" ca="1" si="41"/>
        <v>90.9</v>
      </c>
      <c r="C251" s="55">
        <f t="shared" ca="1" si="42"/>
        <v>25.165632458233887</v>
      </c>
      <c r="D251" s="55" t="str">
        <f t="shared" ca="1" si="43"/>
        <v>34.800 || 90.900</v>
      </c>
      <c r="E251" s="120">
        <f t="shared" ca="1" si="51"/>
        <v>0.66252983293554735</v>
      </c>
      <c r="F251" s="56" t="e">
        <f t="shared" ca="1" si="52"/>
        <v>#N/A</v>
      </c>
      <c r="G251" s="56" t="e">
        <f t="shared" ca="1" si="44"/>
        <v>#N/A</v>
      </c>
      <c r="H251" s="116" t="e">
        <f t="shared" ca="1" si="45"/>
        <v>#N/A</v>
      </c>
      <c r="I251" s="57" t="e">
        <f t="shared" ca="1" si="46"/>
        <v>#N/A</v>
      </c>
      <c r="J251" s="131">
        <f t="shared" ca="1" si="53"/>
        <v>996</v>
      </c>
      <c r="K251" s="122" t="str">
        <f t="shared" ca="1" si="47"/>
        <v>34.800 || 90.900</v>
      </c>
      <c r="L251" s="130">
        <f t="shared" ca="1" si="48"/>
        <v>25.165632458233887</v>
      </c>
      <c r="M251" s="126">
        <f t="shared" ca="1" si="49"/>
        <v>0.66252983293554735</v>
      </c>
      <c r="N251" s="58">
        <f t="shared" ca="1" si="54"/>
        <v>34.799999999999997</v>
      </c>
      <c r="O251" s="160">
        <f t="shared" ca="1" si="54"/>
        <v>33.161423371140145</v>
      </c>
    </row>
    <row r="252" spans="1:15" x14ac:dyDescent="0.25">
      <c r="A252" s="55">
        <f t="shared" ca="1" si="50"/>
        <v>292</v>
      </c>
      <c r="B252" s="55">
        <f t="shared" ca="1" si="41"/>
        <v>90.9</v>
      </c>
      <c r="C252" s="55">
        <f t="shared" ca="1" si="42"/>
        <v>25.165632458233887</v>
      </c>
      <c r="D252" s="55" t="str">
        <f t="shared" ca="1" si="43"/>
        <v>34.800 || 90.900</v>
      </c>
      <c r="E252" s="120">
        <f t="shared" ca="1" si="51"/>
        <v>0.66252983293554735</v>
      </c>
      <c r="F252" s="56" t="e">
        <f t="shared" ca="1" si="52"/>
        <v>#N/A</v>
      </c>
      <c r="G252" s="56" t="e">
        <f t="shared" ca="1" si="44"/>
        <v>#N/A</v>
      </c>
      <c r="H252" s="116" t="e">
        <f t="shared" ca="1" si="45"/>
        <v>#N/A</v>
      </c>
      <c r="I252" s="57" t="e">
        <f t="shared" ca="1" si="46"/>
        <v>#N/A</v>
      </c>
      <c r="J252" s="131">
        <f t="shared" ca="1" si="53"/>
        <v>996</v>
      </c>
      <c r="K252" s="122" t="str">
        <f t="shared" ca="1" si="47"/>
        <v>34.800 || 90.900</v>
      </c>
      <c r="L252" s="130">
        <f t="shared" ca="1" si="48"/>
        <v>25.165632458233887</v>
      </c>
      <c r="M252" s="126">
        <f t="shared" ca="1" si="49"/>
        <v>0.66252983293554735</v>
      </c>
      <c r="N252" s="58">
        <f t="shared" ca="1" si="54"/>
        <v>34.799999999999997</v>
      </c>
      <c r="O252" s="160">
        <f t="shared" ca="1" si="54"/>
        <v>33.161423371140145</v>
      </c>
    </row>
    <row r="253" spans="1:15" x14ac:dyDescent="0.25">
      <c r="A253" s="55">
        <f t="shared" ca="1" si="50"/>
        <v>284</v>
      </c>
      <c r="B253" s="55">
        <f t="shared" ca="1" si="41"/>
        <v>75</v>
      </c>
      <c r="C253" s="55">
        <f t="shared" ca="1" si="42"/>
        <v>25.353045013239186</v>
      </c>
      <c r="D253" s="55" t="str">
        <f t="shared" ca="1" si="43"/>
        <v>38.300 || 75.000</v>
      </c>
      <c r="E253" s="120">
        <f t="shared" ca="1" si="51"/>
        <v>1.4121800529567423</v>
      </c>
      <c r="F253" s="56" t="e">
        <f t="shared" ca="1" si="52"/>
        <v>#N/A</v>
      </c>
      <c r="G253" s="56" t="e">
        <f t="shared" ca="1" si="44"/>
        <v>#N/A</v>
      </c>
      <c r="H253" s="116" t="e">
        <f t="shared" ca="1" si="45"/>
        <v>#N/A</v>
      </c>
      <c r="I253" s="57" t="e">
        <f t="shared" ca="1" si="46"/>
        <v>#N/A</v>
      </c>
      <c r="J253" s="131">
        <f t="shared" ca="1" si="53"/>
        <v>996</v>
      </c>
      <c r="K253" s="122" t="str">
        <f t="shared" ca="1" si="47"/>
        <v/>
      </c>
      <c r="L253" s="130" t="str">
        <f t="shared" ca="1" si="48"/>
        <v/>
      </c>
      <c r="M253" s="126">
        <f t="shared" ca="1" si="49"/>
        <v>995</v>
      </c>
      <c r="N253" s="58">
        <f t="shared" ca="1" si="54"/>
        <v>38.299999999999997</v>
      </c>
      <c r="O253" s="160">
        <f t="shared" ca="1" si="54"/>
        <v>36.508081297159393</v>
      </c>
    </row>
    <row r="254" spans="1:15" x14ac:dyDescent="0.25">
      <c r="A254" s="55">
        <f t="shared" ca="1" si="50"/>
        <v>284</v>
      </c>
      <c r="B254" s="55">
        <f t="shared" ca="1" si="41"/>
        <v>75</v>
      </c>
      <c r="C254" s="55">
        <f t="shared" ca="1" si="42"/>
        <v>25.353045013239186</v>
      </c>
      <c r="D254" s="55" t="str">
        <f t="shared" ca="1" si="43"/>
        <v>38.300 || 75.000</v>
      </c>
      <c r="E254" s="120">
        <f t="shared" ca="1" si="51"/>
        <v>1.4121800529567423</v>
      </c>
      <c r="F254" s="56" t="e">
        <f t="shared" ca="1" si="52"/>
        <v>#N/A</v>
      </c>
      <c r="G254" s="56" t="e">
        <f t="shared" ca="1" si="44"/>
        <v>#N/A</v>
      </c>
      <c r="H254" s="116" t="e">
        <f t="shared" ca="1" si="45"/>
        <v>#N/A</v>
      </c>
      <c r="I254" s="57" t="e">
        <f t="shared" ca="1" si="46"/>
        <v>#N/A</v>
      </c>
      <c r="J254" s="131">
        <f t="shared" ca="1" si="53"/>
        <v>996</v>
      </c>
      <c r="K254" s="122" t="str">
        <f t="shared" ca="1" si="47"/>
        <v/>
      </c>
      <c r="L254" s="130" t="str">
        <f t="shared" ca="1" si="48"/>
        <v/>
      </c>
      <c r="M254" s="126">
        <f t="shared" ca="1" si="49"/>
        <v>995</v>
      </c>
      <c r="N254" s="58">
        <f t="shared" ca="1" si="54"/>
        <v>38.299999999999997</v>
      </c>
      <c r="O254" s="160">
        <f t="shared" ca="1" si="54"/>
        <v>36.508081297159393</v>
      </c>
    </row>
    <row r="255" spans="1:15" x14ac:dyDescent="0.25">
      <c r="A255" s="55">
        <f t="shared" ca="1" si="50"/>
        <v>284</v>
      </c>
      <c r="B255" s="55">
        <f t="shared" ca="1" si="41"/>
        <v>75</v>
      </c>
      <c r="C255" s="55">
        <f t="shared" ca="1" si="42"/>
        <v>25.353045013239186</v>
      </c>
      <c r="D255" s="55" t="str">
        <f t="shared" ca="1" si="43"/>
        <v>38.300 || 75.000</v>
      </c>
      <c r="E255" s="120">
        <f t="shared" ca="1" si="51"/>
        <v>1.4121800529567423</v>
      </c>
      <c r="F255" s="56" t="e">
        <f t="shared" ca="1" si="52"/>
        <v>#N/A</v>
      </c>
      <c r="G255" s="56" t="e">
        <f t="shared" ca="1" si="44"/>
        <v>#N/A</v>
      </c>
      <c r="H255" s="116" t="e">
        <f t="shared" ca="1" si="45"/>
        <v>#N/A</v>
      </c>
      <c r="I255" s="57" t="e">
        <f t="shared" ca="1" si="46"/>
        <v>#N/A</v>
      </c>
      <c r="J255" s="131">
        <f t="shared" ca="1" si="53"/>
        <v>996</v>
      </c>
      <c r="K255" s="122" t="str">
        <f t="shared" ca="1" si="47"/>
        <v/>
      </c>
      <c r="L255" s="130" t="str">
        <f t="shared" ca="1" si="48"/>
        <v/>
      </c>
      <c r="M255" s="126">
        <f t="shared" ca="1" si="49"/>
        <v>995</v>
      </c>
      <c r="N255" s="58">
        <f t="shared" ca="1" si="54"/>
        <v>38.299999999999997</v>
      </c>
      <c r="O255" s="160">
        <f t="shared" ca="1" si="54"/>
        <v>36.508081297159393</v>
      </c>
    </row>
    <row r="256" spans="1:15" x14ac:dyDescent="0.25">
      <c r="A256" s="55">
        <f t="shared" ca="1" si="50"/>
        <v>284</v>
      </c>
      <c r="B256" s="55">
        <f t="shared" ca="1" si="41"/>
        <v>75</v>
      </c>
      <c r="C256" s="55">
        <f t="shared" ca="1" si="42"/>
        <v>25.353045013239186</v>
      </c>
      <c r="D256" s="55" t="str">
        <f t="shared" ca="1" si="43"/>
        <v>38.300 || 75.000</v>
      </c>
      <c r="E256" s="120">
        <f t="shared" ca="1" si="51"/>
        <v>1.4121800529567423</v>
      </c>
      <c r="F256" s="56" t="e">
        <f t="shared" ca="1" si="52"/>
        <v>#N/A</v>
      </c>
      <c r="G256" s="56" t="e">
        <f t="shared" ca="1" si="44"/>
        <v>#N/A</v>
      </c>
      <c r="H256" s="116" t="e">
        <f t="shared" ca="1" si="45"/>
        <v>#N/A</v>
      </c>
      <c r="I256" s="57" t="e">
        <f t="shared" ca="1" si="46"/>
        <v>#N/A</v>
      </c>
      <c r="J256" s="131">
        <f t="shared" ca="1" si="53"/>
        <v>996</v>
      </c>
      <c r="K256" s="122" t="str">
        <f t="shared" ca="1" si="47"/>
        <v/>
      </c>
      <c r="L256" s="130" t="str">
        <f t="shared" ca="1" si="48"/>
        <v/>
      </c>
      <c r="M256" s="126">
        <f t="shared" ca="1" si="49"/>
        <v>995</v>
      </c>
      <c r="N256" s="58">
        <f t="shared" ca="1" si="54"/>
        <v>38.299999999999997</v>
      </c>
      <c r="O256" s="160">
        <f t="shared" ca="1" si="54"/>
        <v>36.508081297159393</v>
      </c>
    </row>
    <row r="257" spans="1:15" x14ac:dyDescent="0.25">
      <c r="A257" s="55">
        <f t="shared" ca="1" si="50"/>
        <v>276</v>
      </c>
      <c r="B257" s="55">
        <f t="shared" ca="1" si="41"/>
        <v>61.899999999999991</v>
      </c>
      <c r="C257" s="55">
        <f t="shared" ca="1" si="42"/>
        <v>25.092987512007678</v>
      </c>
      <c r="D257" s="55" t="str">
        <f t="shared" ca="1" si="43"/>
        <v>42.200 || 61.900</v>
      </c>
      <c r="E257" s="120">
        <f t="shared" ca="1" si="51"/>
        <v>0.37195004803071186</v>
      </c>
      <c r="F257" s="56" t="e">
        <f t="shared" ca="1" si="52"/>
        <v>#N/A</v>
      </c>
      <c r="G257" s="56" t="e">
        <f t="shared" ca="1" si="44"/>
        <v>#N/A</v>
      </c>
      <c r="H257" s="116" t="e">
        <f t="shared" ca="1" si="45"/>
        <v>#N/A</v>
      </c>
      <c r="I257" s="57" t="e">
        <f t="shared" ca="1" si="46"/>
        <v>#N/A</v>
      </c>
      <c r="J257" s="131">
        <f t="shared" ca="1" si="53"/>
        <v>996</v>
      </c>
      <c r="K257" s="122" t="str">
        <f t="shared" ca="1" si="47"/>
        <v>42.200 || 61.900</v>
      </c>
      <c r="L257" s="130">
        <f t="shared" ca="1" si="48"/>
        <v>25.092987512007678</v>
      </c>
      <c r="M257" s="126">
        <f t="shared" ca="1" si="49"/>
        <v>0.37195004803071186</v>
      </c>
      <c r="N257" s="58">
        <f t="shared" ca="1" si="54"/>
        <v>42.199999999999996</v>
      </c>
      <c r="O257" s="160">
        <f t="shared" ca="1" si="54"/>
        <v>40.202736225286948</v>
      </c>
    </row>
    <row r="258" spans="1:15" x14ac:dyDescent="0.25">
      <c r="A258" s="55">
        <f t="shared" ca="1" si="50"/>
        <v>276</v>
      </c>
      <c r="B258" s="55">
        <f t="shared" ca="1" si="41"/>
        <v>61.899999999999991</v>
      </c>
      <c r="C258" s="55">
        <f t="shared" ca="1" si="42"/>
        <v>25.092987512007678</v>
      </c>
      <c r="D258" s="55" t="str">
        <f t="shared" ca="1" si="43"/>
        <v>42.200 || 61.900</v>
      </c>
      <c r="E258" s="120">
        <f t="shared" ca="1" si="51"/>
        <v>0.37195004803071186</v>
      </c>
      <c r="F258" s="56" t="e">
        <f t="shared" ca="1" si="52"/>
        <v>#N/A</v>
      </c>
      <c r="G258" s="56" t="e">
        <f t="shared" ca="1" si="44"/>
        <v>#N/A</v>
      </c>
      <c r="H258" s="116" t="e">
        <f t="shared" ca="1" si="45"/>
        <v>#N/A</v>
      </c>
      <c r="I258" s="57" t="e">
        <f t="shared" ca="1" si="46"/>
        <v>#N/A</v>
      </c>
      <c r="J258" s="131">
        <f t="shared" ca="1" si="53"/>
        <v>996</v>
      </c>
      <c r="K258" s="122" t="str">
        <f t="shared" ca="1" si="47"/>
        <v>42.200 || 61.900</v>
      </c>
      <c r="L258" s="130">
        <f t="shared" ca="1" si="48"/>
        <v>25.092987512007678</v>
      </c>
      <c r="M258" s="126">
        <f t="shared" ca="1" si="49"/>
        <v>0.37195004803071186</v>
      </c>
      <c r="N258" s="58">
        <f t="shared" ca="1" si="54"/>
        <v>42.199999999999996</v>
      </c>
      <c r="O258" s="160">
        <f t="shared" ca="1" si="54"/>
        <v>40.202736225286948</v>
      </c>
    </row>
    <row r="259" spans="1:15" x14ac:dyDescent="0.25">
      <c r="A259" s="55">
        <f t="shared" ca="1" si="50"/>
        <v>276</v>
      </c>
      <c r="B259" s="55">
        <f t="shared" ca="1" si="41"/>
        <v>61.899999999999991</v>
      </c>
      <c r="C259" s="55">
        <f t="shared" ca="1" si="42"/>
        <v>25.092987512007678</v>
      </c>
      <c r="D259" s="55" t="str">
        <f t="shared" ca="1" si="43"/>
        <v>42.200 || 61.900</v>
      </c>
      <c r="E259" s="120">
        <f t="shared" ca="1" si="51"/>
        <v>0.37195004803071186</v>
      </c>
      <c r="F259" s="56" t="e">
        <f t="shared" ca="1" si="52"/>
        <v>#N/A</v>
      </c>
      <c r="G259" s="56" t="e">
        <f t="shared" ca="1" si="44"/>
        <v>#N/A</v>
      </c>
      <c r="H259" s="116" t="e">
        <f t="shared" ca="1" si="45"/>
        <v>#N/A</v>
      </c>
      <c r="I259" s="57" t="e">
        <f t="shared" ca="1" si="46"/>
        <v>#N/A</v>
      </c>
      <c r="J259" s="131">
        <f t="shared" ca="1" si="53"/>
        <v>996</v>
      </c>
      <c r="K259" s="122" t="str">
        <f t="shared" ca="1" si="47"/>
        <v>42.200 || 61.900</v>
      </c>
      <c r="L259" s="130">
        <f t="shared" ca="1" si="48"/>
        <v>25.092987512007678</v>
      </c>
      <c r="M259" s="126">
        <f t="shared" ca="1" si="49"/>
        <v>0.37195004803071186</v>
      </c>
      <c r="N259" s="58">
        <f t="shared" ca="1" si="54"/>
        <v>42.199999999999996</v>
      </c>
      <c r="O259" s="160">
        <f t="shared" ca="1" si="54"/>
        <v>40.202736225286948</v>
      </c>
    </row>
    <row r="260" spans="1:15" x14ac:dyDescent="0.25">
      <c r="A260" s="55">
        <f t="shared" ca="1" si="50"/>
        <v>276</v>
      </c>
      <c r="B260" s="55">
        <f t="shared" ca="1" si="41"/>
        <v>61.899999999999991</v>
      </c>
      <c r="C260" s="55">
        <f t="shared" ca="1" si="42"/>
        <v>25.092987512007678</v>
      </c>
      <c r="D260" s="55" t="str">
        <f t="shared" ca="1" si="43"/>
        <v>42.200 || 61.900</v>
      </c>
      <c r="E260" s="120">
        <f t="shared" ca="1" si="51"/>
        <v>0.37195004803071186</v>
      </c>
      <c r="F260" s="56" t="e">
        <f t="shared" ca="1" si="52"/>
        <v>#N/A</v>
      </c>
      <c r="G260" s="56" t="e">
        <f t="shared" ca="1" si="44"/>
        <v>#N/A</v>
      </c>
      <c r="H260" s="116" t="e">
        <f t="shared" ca="1" si="45"/>
        <v>#N/A</v>
      </c>
      <c r="I260" s="57" t="e">
        <f t="shared" ca="1" si="46"/>
        <v>#N/A</v>
      </c>
      <c r="J260" s="131">
        <f t="shared" ca="1" si="53"/>
        <v>996</v>
      </c>
      <c r="K260" s="122" t="str">
        <f t="shared" ca="1" si="47"/>
        <v>42.200 || 61.900</v>
      </c>
      <c r="L260" s="130">
        <f t="shared" ca="1" si="48"/>
        <v>25.092987512007678</v>
      </c>
      <c r="M260" s="126">
        <f t="shared" ca="1" si="49"/>
        <v>0.37195004803071186</v>
      </c>
      <c r="N260" s="58">
        <f t="shared" ca="1" si="54"/>
        <v>42.199999999999996</v>
      </c>
      <c r="O260" s="160">
        <f t="shared" ca="1" si="54"/>
        <v>40.202736225286948</v>
      </c>
    </row>
    <row r="261" spans="1:15" x14ac:dyDescent="0.25">
      <c r="A261" s="55">
        <f t="shared" ca="1" si="50"/>
        <v>272</v>
      </c>
      <c r="B261" s="55">
        <f t="shared" ca="1" si="41"/>
        <v>56.20000000000001</v>
      </c>
      <c r="C261" s="55">
        <f t="shared" ca="1" si="42"/>
        <v>25.41598440545809</v>
      </c>
      <c r="D261" s="55" t="str">
        <f t="shared" ca="1" si="43"/>
        <v>46.400 || 56.200</v>
      </c>
      <c r="E261" s="120">
        <f t="shared" ca="1" si="51"/>
        <v>1.6639376218323605</v>
      </c>
      <c r="F261" s="56" t="e">
        <f t="shared" ca="1" si="52"/>
        <v>#N/A</v>
      </c>
      <c r="G261" s="56" t="e">
        <f t="shared" ca="1" si="44"/>
        <v>#N/A</v>
      </c>
      <c r="H261" s="116" t="e">
        <f t="shared" ca="1" si="45"/>
        <v>#N/A</v>
      </c>
      <c r="I261" s="57" t="e">
        <f t="shared" ca="1" si="46"/>
        <v>#N/A</v>
      </c>
      <c r="J261" s="131">
        <f t="shared" ca="1" si="53"/>
        <v>996</v>
      </c>
      <c r="K261" s="122" t="str">
        <f t="shared" ca="1" si="47"/>
        <v/>
      </c>
      <c r="L261" s="130" t="str">
        <f t="shared" ca="1" si="48"/>
        <v/>
      </c>
      <c r="M261" s="126">
        <f t="shared" ca="1" si="49"/>
        <v>995</v>
      </c>
      <c r="N261" s="58">
        <f t="shared" ca="1" si="54"/>
        <v>46.400000000000006</v>
      </c>
      <c r="O261" s="160">
        <f t="shared" ca="1" si="54"/>
        <v>44.250197739671179</v>
      </c>
    </row>
    <row r="262" spans="1:15" x14ac:dyDescent="0.25">
      <c r="A262" s="55">
        <f t="shared" ca="1" si="50"/>
        <v>272</v>
      </c>
      <c r="B262" s="55">
        <f t="shared" ref="B262:B325" ca="1" si="55">INDEX($N$1:$N$774,A262)</f>
        <v>56.20000000000001</v>
      </c>
      <c r="C262" s="55">
        <f t="shared" ref="C262:C325" ca="1" si="56">1/(1/B262+1/N262)</f>
        <v>25.41598440545809</v>
      </c>
      <c r="D262" s="55" t="str">
        <f t="shared" ref="D262:D325" ca="1" si="57">CONCATENATE(TEXT(MIN(B262,N262),"#0.000#")," || ",TEXT(MAX(B262,N262),"#0.000#"))</f>
        <v>46.400 || 56.200</v>
      </c>
      <c r="E262" s="120">
        <f t="shared" ca="1" si="51"/>
        <v>1.6639376218323605</v>
      </c>
      <c r="F262" s="56" t="e">
        <f t="shared" ca="1" si="52"/>
        <v>#N/A</v>
      </c>
      <c r="G262" s="56" t="e">
        <f t="shared" ref="G262:G325" ca="1" si="58">INDEX($N$1:$N$774,F262)</f>
        <v>#N/A</v>
      </c>
      <c r="H262" s="116" t="e">
        <f t="shared" ref="H262:H325" ca="1" si="59">G262+N262</f>
        <v>#N/A</v>
      </c>
      <c r="I262" s="57" t="e">
        <f t="shared" ref="I262:I325" ca="1" si="60">CONCATENATE(TEXT(MIN(G262,N262),"#0.000#")," + ",TEXT(MAX(G262,N262),"#0.000#"))</f>
        <v>#N/A</v>
      </c>
      <c r="J262" s="131">
        <f t="shared" ca="1" si="53"/>
        <v>996</v>
      </c>
      <c r="K262" s="122" t="str">
        <f t="shared" ref="K262:K325" ca="1" si="61">IF(E262&lt;$C$4,D262,IF(J262&lt;$C$4,I262,""))</f>
        <v/>
      </c>
      <c r="L262" s="130" t="str">
        <f t="shared" ref="L262:L325" ca="1" si="62">IF(E262&lt;$C$4,C262,IF(J262&lt;$C$4,H262,""))</f>
        <v/>
      </c>
      <c r="M262" s="126">
        <f t="shared" ref="M262:M325" ca="1" si="63">IF(E262&lt;=$C$4,E262,IF(J262&lt;=$C$4,J262,995))</f>
        <v>995</v>
      </c>
      <c r="N262" s="58">
        <f t="shared" ca="1" si="54"/>
        <v>46.400000000000006</v>
      </c>
      <c r="O262" s="160">
        <f t="shared" ca="1" si="54"/>
        <v>44.250197739671179</v>
      </c>
    </row>
    <row r="263" spans="1:15" x14ac:dyDescent="0.25">
      <c r="A263" s="55">
        <f t="shared" ref="A263:A326" ca="1" si="64">MATCH(1/($A$5-(1/N263)),$O$1:$O$775,1)</f>
        <v>272</v>
      </c>
      <c r="B263" s="55">
        <f t="shared" ca="1" si="55"/>
        <v>56.20000000000001</v>
      </c>
      <c r="C263" s="55">
        <f t="shared" ca="1" si="56"/>
        <v>25.41598440545809</v>
      </c>
      <c r="D263" s="55" t="str">
        <f t="shared" ca="1" si="57"/>
        <v>46.400 || 56.200</v>
      </c>
      <c r="E263" s="120">
        <f t="shared" ref="E263:E326" ca="1" si="65">IFERROR(IF(OR(B263=0,AND(B263&lt;&gt;$A$4,N263&lt;&gt;$A$4)),ABS($A$4-C263)/$E$5,999),998)</f>
        <v>1.6639376218323605</v>
      </c>
      <c r="F263" s="56" t="e">
        <f t="shared" ref="F263:F326" ca="1" si="66">MATCH($A$4-N263,$O$1:$O$774,1)</f>
        <v>#N/A</v>
      </c>
      <c r="G263" s="56" t="e">
        <f t="shared" ca="1" si="58"/>
        <v>#N/A</v>
      </c>
      <c r="H263" s="116" t="e">
        <f t="shared" ca="1" si="59"/>
        <v>#N/A</v>
      </c>
      <c r="I263" s="57" t="e">
        <f t="shared" ca="1" si="60"/>
        <v>#N/A</v>
      </c>
      <c r="J263" s="131">
        <f t="shared" ref="J263:J326" ca="1" si="67">IFERROR(IF(OR(G263=0,AND(G263&lt;&gt;$A$4,N263&lt;&gt;$A$4)),ABS($A$4-H263)/$E$5,997),996)</f>
        <v>996</v>
      </c>
      <c r="K263" s="122" t="str">
        <f t="shared" ca="1" si="61"/>
        <v/>
      </c>
      <c r="L263" s="130" t="str">
        <f t="shared" ca="1" si="62"/>
        <v/>
      </c>
      <c r="M263" s="126">
        <f t="shared" ca="1" si="63"/>
        <v>995</v>
      </c>
      <c r="N263" s="58">
        <f t="shared" ca="1" si="54"/>
        <v>46.400000000000006</v>
      </c>
      <c r="O263" s="160">
        <f t="shared" ca="1" si="54"/>
        <v>44.250197739671179</v>
      </c>
    </row>
    <row r="264" spans="1:15" x14ac:dyDescent="0.25">
      <c r="A264" s="55">
        <f t="shared" ca="1" si="64"/>
        <v>272</v>
      </c>
      <c r="B264" s="55">
        <f t="shared" ca="1" si="55"/>
        <v>56.20000000000001</v>
      </c>
      <c r="C264" s="55">
        <f t="shared" ca="1" si="56"/>
        <v>25.41598440545809</v>
      </c>
      <c r="D264" s="55" t="str">
        <f t="shared" ca="1" si="57"/>
        <v>46.400 || 56.200</v>
      </c>
      <c r="E264" s="120">
        <f t="shared" ca="1" si="65"/>
        <v>1.6639376218323605</v>
      </c>
      <c r="F264" s="56" t="e">
        <f t="shared" ca="1" si="66"/>
        <v>#N/A</v>
      </c>
      <c r="G264" s="56" t="e">
        <f t="shared" ca="1" si="58"/>
        <v>#N/A</v>
      </c>
      <c r="H264" s="116" t="e">
        <f t="shared" ca="1" si="59"/>
        <v>#N/A</v>
      </c>
      <c r="I264" s="57" t="e">
        <f t="shared" ca="1" si="60"/>
        <v>#N/A</v>
      </c>
      <c r="J264" s="131">
        <f t="shared" ca="1" si="67"/>
        <v>996</v>
      </c>
      <c r="K264" s="122" t="str">
        <f t="shared" ca="1" si="61"/>
        <v/>
      </c>
      <c r="L264" s="130" t="str">
        <f t="shared" ca="1" si="62"/>
        <v/>
      </c>
      <c r="M264" s="126">
        <f t="shared" ca="1" si="63"/>
        <v>995</v>
      </c>
      <c r="N264" s="58">
        <f t="shared" ca="1" si="54"/>
        <v>46.400000000000006</v>
      </c>
      <c r="O264" s="160">
        <f t="shared" ca="1" si="54"/>
        <v>44.250197739671179</v>
      </c>
    </row>
    <row r="265" spans="1:15" x14ac:dyDescent="0.25">
      <c r="A265" s="55">
        <f t="shared" ca="1" si="64"/>
        <v>268</v>
      </c>
      <c r="B265" s="55">
        <f t="shared" ca="1" si="55"/>
        <v>51.1</v>
      </c>
      <c r="C265" s="55">
        <f t="shared" ca="1" si="56"/>
        <v>25.55</v>
      </c>
      <c r="D265" s="55" t="str">
        <f t="shared" ca="1" si="57"/>
        <v>51.100 || 51.100</v>
      </c>
      <c r="E265" s="120">
        <f t="shared" ca="1" si="65"/>
        <v>2.2000000000000028</v>
      </c>
      <c r="F265" s="56" t="e">
        <f t="shared" ca="1" si="66"/>
        <v>#N/A</v>
      </c>
      <c r="G265" s="56" t="e">
        <f t="shared" ca="1" si="58"/>
        <v>#N/A</v>
      </c>
      <c r="H265" s="116" t="e">
        <f t="shared" ca="1" si="59"/>
        <v>#N/A</v>
      </c>
      <c r="I265" s="57" t="e">
        <f t="shared" ca="1" si="60"/>
        <v>#N/A</v>
      </c>
      <c r="J265" s="131">
        <f t="shared" ca="1" si="67"/>
        <v>996</v>
      </c>
      <c r="K265" s="122" t="str">
        <f t="shared" ca="1" si="61"/>
        <v/>
      </c>
      <c r="L265" s="130" t="str">
        <f t="shared" ca="1" si="62"/>
        <v/>
      </c>
      <c r="M265" s="126">
        <f t="shared" ca="1" si="63"/>
        <v>995</v>
      </c>
      <c r="N265" s="58">
        <f t="shared" ca="1" si="54"/>
        <v>51.1</v>
      </c>
      <c r="O265" s="160">
        <f t="shared" ca="1" si="54"/>
        <v>48.693326031397774</v>
      </c>
    </row>
    <row r="266" spans="1:15" x14ac:dyDescent="0.25">
      <c r="A266" s="55">
        <f t="shared" ca="1" si="64"/>
        <v>268</v>
      </c>
      <c r="B266" s="55">
        <f t="shared" ca="1" si="55"/>
        <v>51.1</v>
      </c>
      <c r="C266" s="55">
        <f t="shared" ca="1" si="56"/>
        <v>25.55</v>
      </c>
      <c r="D266" s="55" t="str">
        <f t="shared" ca="1" si="57"/>
        <v>51.100 || 51.100</v>
      </c>
      <c r="E266" s="120">
        <f t="shared" ca="1" si="65"/>
        <v>2.2000000000000028</v>
      </c>
      <c r="F266" s="56" t="e">
        <f t="shared" ca="1" si="66"/>
        <v>#N/A</v>
      </c>
      <c r="G266" s="56" t="e">
        <f t="shared" ca="1" si="58"/>
        <v>#N/A</v>
      </c>
      <c r="H266" s="116" t="e">
        <f t="shared" ca="1" si="59"/>
        <v>#N/A</v>
      </c>
      <c r="I266" s="57" t="e">
        <f t="shared" ca="1" si="60"/>
        <v>#N/A</v>
      </c>
      <c r="J266" s="131">
        <f t="shared" ca="1" si="67"/>
        <v>996</v>
      </c>
      <c r="K266" s="122" t="str">
        <f t="shared" ca="1" si="61"/>
        <v/>
      </c>
      <c r="L266" s="130" t="str">
        <f t="shared" ca="1" si="62"/>
        <v/>
      </c>
      <c r="M266" s="126">
        <f t="shared" ca="1" si="63"/>
        <v>995</v>
      </c>
      <c r="N266" s="58">
        <f t="shared" ca="1" si="54"/>
        <v>51.1</v>
      </c>
      <c r="O266" s="160">
        <f t="shared" ca="1" si="54"/>
        <v>48.693326031397774</v>
      </c>
    </row>
    <row r="267" spans="1:15" x14ac:dyDescent="0.25">
      <c r="A267" s="55">
        <f t="shared" ca="1" si="64"/>
        <v>268</v>
      </c>
      <c r="B267" s="55">
        <f t="shared" ca="1" si="55"/>
        <v>51.1</v>
      </c>
      <c r="C267" s="55">
        <f t="shared" ca="1" si="56"/>
        <v>25.55</v>
      </c>
      <c r="D267" s="55" t="str">
        <f t="shared" ca="1" si="57"/>
        <v>51.100 || 51.100</v>
      </c>
      <c r="E267" s="120">
        <f t="shared" ca="1" si="65"/>
        <v>2.2000000000000028</v>
      </c>
      <c r="F267" s="56" t="e">
        <f t="shared" ca="1" si="66"/>
        <v>#N/A</v>
      </c>
      <c r="G267" s="56" t="e">
        <f t="shared" ca="1" si="58"/>
        <v>#N/A</v>
      </c>
      <c r="H267" s="116" t="e">
        <f t="shared" ca="1" si="59"/>
        <v>#N/A</v>
      </c>
      <c r="I267" s="57" t="e">
        <f t="shared" ca="1" si="60"/>
        <v>#N/A</v>
      </c>
      <c r="J267" s="131">
        <f t="shared" ca="1" si="67"/>
        <v>996</v>
      </c>
      <c r="K267" s="122" t="str">
        <f t="shared" ca="1" si="61"/>
        <v/>
      </c>
      <c r="L267" s="130" t="str">
        <f t="shared" ca="1" si="62"/>
        <v/>
      </c>
      <c r="M267" s="126">
        <f t="shared" ca="1" si="63"/>
        <v>995</v>
      </c>
      <c r="N267" s="58">
        <f t="shared" ca="1" si="54"/>
        <v>51.1</v>
      </c>
      <c r="O267" s="160">
        <f t="shared" ca="1" si="54"/>
        <v>48.693326031397774</v>
      </c>
    </row>
    <row r="268" spans="1:15" x14ac:dyDescent="0.25">
      <c r="A268" s="55">
        <f t="shared" ca="1" si="64"/>
        <v>268</v>
      </c>
      <c r="B268" s="55">
        <f t="shared" ca="1" si="55"/>
        <v>51.1</v>
      </c>
      <c r="C268" s="55">
        <f t="shared" ca="1" si="56"/>
        <v>25.55</v>
      </c>
      <c r="D268" s="55" t="str">
        <f t="shared" ca="1" si="57"/>
        <v>51.100 || 51.100</v>
      </c>
      <c r="E268" s="120">
        <f t="shared" ca="1" si="65"/>
        <v>2.2000000000000028</v>
      </c>
      <c r="F268" s="56" t="e">
        <f t="shared" ca="1" si="66"/>
        <v>#N/A</v>
      </c>
      <c r="G268" s="56" t="e">
        <f t="shared" ca="1" si="58"/>
        <v>#N/A</v>
      </c>
      <c r="H268" s="116" t="e">
        <f t="shared" ca="1" si="59"/>
        <v>#N/A</v>
      </c>
      <c r="I268" s="57" t="e">
        <f t="shared" ca="1" si="60"/>
        <v>#N/A</v>
      </c>
      <c r="J268" s="131">
        <f t="shared" ca="1" si="67"/>
        <v>996</v>
      </c>
      <c r="K268" s="122" t="str">
        <f t="shared" ca="1" si="61"/>
        <v/>
      </c>
      <c r="L268" s="130" t="str">
        <f t="shared" ca="1" si="62"/>
        <v/>
      </c>
      <c r="M268" s="126">
        <f t="shared" ca="1" si="63"/>
        <v>995</v>
      </c>
      <c r="N268" s="58">
        <f t="shared" ca="1" si="54"/>
        <v>51.1</v>
      </c>
      <c r="O268" s="160">
        <f t="shared" ca="1" si="54"/>
        <v>48.693326031397774</v>
      </c>
    </row>
    <row r="269" spans="1:15" x14ac:dyDescent="0.25">
      <c r="A269" s="55">
        <f t="shared" ca="1" si="64"/>
        <v>264</v>
      </c>
      <c r="B269" s="55">
        <f t="shared" ca="1" si="55"/>
        <v>46.400000000000006</v>
      </c>
      <c r="C269" s="55">
        <f t="shared" ca="1" si="56"/>
        <v>25.41598440545809</v>
      </c>
      <c r="D269" s="55" t="str">
        <f t="shared" ca="1" si="57"/>
        <v>46.400 || 56.200</v>
      </c>
      <c r="E269" s="120">
        <f t="shared" ca="1" si="65"/>
        <v>1.6639376218323605</v>
      </c>
      <c r="F269" s="56" t="e">
        <f t="shared" ca="1" si="66"/>
        <v>#N/A</v>
      </c>
      <c r="G269" s="56" t="e">
        <f t="shared" ca="1" si="58"/>
        <v>#N/A</v>
      </c>
      <c r="H269" s="116" t="e">
        <f t="shared" ca="1" si="59"/>
        <v>#N/A</v>
      </c>
      <c r="I269" s="57" t="e">
        <f t="shared" ca="1" si="60"/>
        <v>#N/A</v>
      </c>
      <c r="J269" s="131">
        <f t="shared" ca="1" si="67"/>
        <v>996</v>
      </c>
      <c r="K269" s="122" t="str">
        <f t="shared" ca="1" si="61"/>
        <v/>
      </c>
      <c r="L269" s="130" t="str">
        <f t="shared" ca="1" si="62"/>
        <v/>
      </c>
      <c r="M269" s="126">
        <f t="shared" ca="1" si="63"/>
        <v>995</v>
      </c>
      <c r="N269" s="58">
        <f t="shared" ca="1" si="54"/>
        <v>56.20000000000001</v>
      </c>
      <c r="O269" s="160">
        <f t="shared" ca="1" si="54"/>
        <v>53.589364616498301</v>
      </c>
    </row>
    <row r="270" spans="1:15" x14ac:dyDescent="0.25">
      <c r="A270" s="55">
        <f t="shared" ca="1" si="64"/>
        <v>264</v>
      </c>
      <c r="B270" s="55">
        <f t="shared" ca="1" si="55"/>
        <v>46.400000000000006</v>
      </c>
      <c r="C270" s="55">
        <f t="shared" ca="1" si="56"/>
        <v>25.41598440545809</v>
      </c>
      <c r="D270" s="55" t="str">
        <f t="shared" ca="1" si="57"/>
        <v>46.400 || 56.200</v>
      </c>
      <c r="E270" s="120">
        <f t="shared" ca="1" si="65"/>
        <v>1.6639376218323605</v>
      </c>
      <c r="F270" s="56" t="e">
        <f t="shared" ca="1" si="66"/>
        <v>#N/A</v>
      </c>
      <c r="G270" s="56" t="e">
        <f t="shared" ca="1" si="58"/>
        <v>#N/A</v>
      </c>
      <c r="H270" s="116" t="e">
        <f t="shared" ca="1" si="59"/>
        <v>#N/A</v>
      </c>
      <c r="I270" s="57" t="e">
        <f t="shared" ca="1" si="60"/>
        <v>#N/A</v>
      </c>
      <c r="J270" s="131">
        <f t="shared" ca="1" si="67"/>
        <v>996</v>
      </c>
      <c r="K270" s="122" t="str">
        <f t="shared" ca="1" si="61"/>
        <v/>
      </c>
      <c r="L270" s="130" t="str">
        <f t="shared" ca="1" si="62"/>
        <v/>
      </c>
      <c r="M270" s="126">
        <f t="shared" ca="1" si="63"/>
        <v>995</v>
      </c>
      <c r="N270" s="58">
        <f t="shared" ca="1" si="54"/>
        <v>56.20000000000001</v>
      </c>
      <c r="O270" s="160">
        <f t="shared" ca="1" si="54"/>
        <v>53.589364616498301</v>
      </c>
    </row>
    <row r="271" spans="1:15" x14ac:dyDescent="0.25">
      <c r="A271" s="55">
        <f t="shared" ca="1" si="64"/>
        <v>264</v>
      </c>
      <c r="B271" s="55">
        <f t="shared" ca="1" si="55"/>
        <v>46.400000000000006</v>
      </c>
      <c r="C271" s="55">
        <f t="shared" ca="1" si="56"/>
        <v>25.41598440545809</v>
      </c>
      <c r="D271" s="55" t="str">
        <f t="shared" ca="1" si="57"/>
        <v>46.400 || 56.200</v>
      </c>
      <c r="E271" s="120">
        <f t="shared" ca="1" si="65"/>
        <v>1.6639376218323605</v>
      </c>
      <c r="F271" s="56" t="e">
        <f t="shared" ca="1" si="66"/>
        <v>#N/A</v>
      </c>
      <c r="G271" s="56" t="e">
        <f t="shared" ca="1" si="58"/>
        <v>#N/A</v>
      </c>
      <c r="H271" s="116" t="e">
        <f t="shared" ca="1" si="59"/>
        <v>#N/A</v>
      </c>
      <c r="I271" s="57" t="e">
        <f t="shared" ca="1" si="60"/>
        <v>#N/A</v>
      </c>
      <c r="J271" s="131">
        <f t="shared" ca="1" si="67"/>
        <v>996</v>
      </c>
      <c r="K271" s="122" t="str">
        <f t="shared" ca="1" si="61"/>
        <v/>
      </c>
      <c r="L271" s="130" t="str">
        <f t="shared" ca="1" si="62"/>
        <v/>
      </c>
      <c r="M271" s="126">
        <f t="shared" ca="1" si="63"/>
        <v>995</v>
      </c>
      <c r="N271" s="58">
        <f t="shared" ca="1" si="54"/>
        <v>56.20000000000001</v>
      </c>
      <c r="O271" s="160">
        <f t="shared" ca="1" si="54"/>
        <v>53.589364616498301</v>
      </c>
    </row>
    <row r="272" spans="1:15" x14ac:dyDescent="0.25">
      <c r="A272" s="55">
        <f t="shared" ca="1" si="64"/>
        <v>264</v>
      </c>
      <c r="B272" s="55">
        <f t="shared" ca="1" si="55"/>
        <v>46.400000000000006</v>
      </c>
      <c r="C272" s="55">
        <f t="shared" ca="1" si="56"/>
        <v>25.41598440545809</v>
      </c>
      <c r="D272" s="55" t="str">
        <f t="shared" ca="1" si="57"/>
        <v>46.400 || 56.200</v>
      </c>
      <c r="E272" s="120">
        <f t="shared" ca="1" si="65"/>
        <v>1.6639376218323605</v>
      </c>
      <c r="F272" s="56" t="e">
        <f t="shared" ca="1" si="66"/>
        <v>#N/A</v>
      </c>
      <c r="G272" s="56" t="e">
        <f t="shared" ca="1" si="58"/>
        <v>#N/A</v>
      </c>
      <c r="H272" s="116" t="e">
        <f t="shared" ca="1" si="59"/>
        <v>#N/A</v>
      </c>
      <c r="I272" s="57" t="e">
        <f t="shared" ca="1" si="60"/>
        <v>#N/A</v>
      </c>
      <c r="J272" s="131">
        <f t="shared" ca="1" si="67"/>
        <v>996</v>
      </c>
      <c r="K272" s="122" t="str">
        <f t="shared" ca="1" si="61"/>
        <v/>
      </c>
      <c r="L272" s="130" t="str">
        <f t="shared" ca="1" si="62"/>
        <v/>
      </c>
      <c r="M272" s="126">
        <f t="shared" ca="1" si="63"/>
        <v>995</v>
      </c>
      <c r="N272" s="58">
        <f t="shared" ca="1" si="54"/>
        <v>56.20000000000001</v>
      </c>
      <c r="O272" s="160">
        <f t="shared" ca="1" si="54"/>
        <v>53.589364616498301</v>
      </c>
    </row>
    <row r="273" spans="1:15" x14ac:dyDescent="0.25">
      <c r="A273" s="55">
        <f t="shared" ca="1" si="64"/>
        <v>260</v>
      </c>
      <c r="B273" s="55">
        <f t="shared" ca="1" si="55"/>
        <v>42.199999999999996</v>
      </c>
      <c r="C273" s="55">
        <f t="shared" ca="1" si="56"/>
        <v>25.092987512007678</v>
      </c>
      <c r="D273" s="55" t="str">
        <f t="shared" ca="1" si="57"/>
        <v>42.200 || 61.900</v>
      </c>
      <c r="E273" s="120">
        <f t="shared" ca="1" si="65"/>
        <v>0.37195004803071186</v>
      </c>
      <c r="F273" s="56" t="e">
        <f t="shared" ca="1" si="66"/>
        <v>#N/A</v>
      </c>
      <c r="G273" s="56" t="e">
        <f t="shared" ca="1" si="58"/>
        <v>#N/A</v>
      </c>
      <c r="H273" s="116" t="e">
        <f t="shared" ca="1" si="59"/>
        <v>#N/A</v>
      </c>
      <c r="I273" s="57" t="e">
        <f t="shared" ca="1" si="60"/>
        <v>#N/A</v>
      </c>
      <c r="J273" s="131">
        <f t="shared" ca="1" si="67"/>
        <v>996</v>
      </c>
      <c r="K273" s="122" t="str">
        <f t="shared" ca="1" si="61"/>
        <v>42.200 || 61.900</v>
      </c>
      <c r="L273" s="130">
        <f t="shared" ca="1" si="62"/>
        <v>25.092987512007678</v>
      </c>
      <c r="M273" s="126">
        <f t="shared" ca="1" si="63"/>
        <v>0.37195004803071186</v>
      </c>
      <c r="N273" s="58">
        <f t="shared" ca="1" si="54"/>
        <v>61.899999999999991</v>
      </c>
      <c r="O273" s="160">
        <f t="shared" ca="1" si="54"/>
        <v>58.98118344014469</v>
      </c>
    </row>
    <row r="274" spans="1:15" x14ac:dyDescent="0.25">
      <c r="A274" s="55">
        <f t="shared" ca="1" si="64"/>
        <v>260</v>
      </c>
      <c r="B274" s="55">
        <f t="shared" ca="1" si="55"/>
        <v>42.199999999999996</v>
      </c>
      <c r="C274" s="55">
        <f t="shared" ca="1" si="56"/>
        <v>25.092987512007678</v>
      </c>
      <c r="D274" s="55" t="str">
        <f t="shared" ca="1" si="57"/>
        <v>42.200 || 61.900</v>
      </c>
      <c r="E274" s="120">
        <f t="shared" ca="1" si="65"/>
        <v>0.37195004803071186</v>
      </c>
      <c r="F274" s="56" t="e">
        <f t="shared" ca="1" si="66"/>
        <v>#N/A</v>
      </c>
      <c r="G274" s="56" t="e">
        <f t="shared" ca="1" si="58"/>
        <v>#N/A</v>
      </c>
      <c r="H274" s="116" t="e">
        <f t="shared" ca="1" si="59"/>
        <v>#N/A</v>
      </c>
      <c r="I274" s="57" t="e">
        <f t="shared" ca="1" si="60"/>
        <v>#N/A</v>
      </c>
      <c r="J274" s="131">
        <f t="shared" ca="1" si="67"/>
        <v>996</v>
      </c>
      <c r="K274" s="122" t="str">
        <f t="shared" ca="1" si="61"/>
        <v>42.200 || 61.900</v>
      </c>
      <c r="L274" s="130">
        <f t="shared" ca="1" si="62"/>
        <v>25.092987512007678</v>
      </c>
      <c r="M274" s="126">
        <f t="shared" ca="1" si="63"/>
        <v>0.37195004803071186</v>
      </c>
      <c r="N274" s="58">
        <f t="shared" ca="1" si="54"/>
        <v>61.899999999999991</v>
      </c>
      <c r="O274" s="160">
        <f t="shared" ca="1" si="54"/>
        <v>58.98118344014469</v>
      </c>
    </row>
    <row r="275" spans="1:15" x14ac:dyDescent="0.25">
      <c r="A275" s="55">
        <f t="shared" ca="1" si="64"/>
        <v>260</v>
      </c>
      <c r="B275" s="55">
        <f t="shared" ca="1" si="55"/>
        <v>42.199999999999996</v>
      </c>
      <c r="C275" s="55">
        <f t="shared" ca="1" si="56"/>
        <v>25.092987512007678</v>
      </c>
      <c r="D275" s="55" t="str">
        <f t="shared" ca="1" si="57"/>
        <v>42.200 || 61.900</v>
      </c>
      <c r="E275" s="120">
        <f t="shared" ca="1" si="65"/>
        <v>0.37195004803071186</v>
      </c>
      <c r="F275" s="56" t="e">
        <f t="shared" ca="1" si="66"/>
        <v>#N/A</v>
      </c>
      <c r="G275" s="56" t="e">
        <f t="shared" ca="1" si="58"/>
        <v>#N/A</v>
      </c>
      <c r="H275" s="116" t="e">
        <f t="shared" ca="1" si="59"/>
        <v>#N/A</v>
      </c>
      <c r="I275" s="57" t="e">
        <f t="shared" ca="1" si="60"/>
        <v>#N/A</v>
      </c>
      <c r="J275" s="131">
        <f t="shared" ca="1" si="67"/>
        <v>996</v>
      </c>
      <c r="K275" s="122" t="str">
        <f t="shared" ca="1" si="61"/>
        <v>42.200 || 61.900</v>
      </c>
      <c r="L275" s="130">
        <f t="shared" ca="1" si="62"/>
        <v>25.092987512007678</v>
      </c>
      <c r="M275" s="126">
        <f t="shared" ca="1" si="63"/>
        <v>0.37195004803071186</v>
      </c>
      <c r="N275" s="58">
        <f t="shared" ca="1" si="54"/>
        <v>61.899999999999991</v>
      </c>
      <c r="O275" s="160">
        <f t="shared" ca="1" si="54"/>
        <v>58.98118344014469</v>
      </c>
    </row>
    <row r="276" spans="1:15" x14ac:dyDescent="0.25">
      <c r="A276" s="55">
        <f t="shared" ca="1" si="64"/>
        <v>260</v>
      </c>
      <c r="B276" s="55">
        <f t="shared" ca="1" si="55"/>
        <v>42.199999999999996</v>
      </c>
      <c r="C276" s="55">
        <f t="shared" ca="1" si="56"/>
        <v>25.092987512007678</v>
      </c>
      <c r="D276" s="55" t="str">
        <f t="shared" ca="1" si="57"/>
        <v>42.200 || 61.900</v>
      </c>
      <c r="E276" s="120">
        <f t="shared" ca="1" si="65"/>
        <v>0.37195004803071186</v>
      </c>
      <c r="F276" s="56" t="e">
        <f t="shared" ca="1" si="66"/>
        <v>#N/A</v>
      </c>
      <c r="G276" s="56" t="e">
        <f t="shared" ca="1" si="58"/>
        <v>#N/A</v>
      </c>
      <c r="H276" s="116" t="e">
        <f t="shared" ca="1" si="59"/>
        <v>#N/A</v>
      </c>
      <c r="I276" s="57" t="e">
        <f t="shared" ca="1" si="60"/>
        <v>#N/A</v>
      </c>
      <c r="J276" s="131">
        <f t="shared" ca="1" si="67"/>
        <v>996</v>
      </c>
      <c r="K276" s="122" t="str">
        <f t="shared" ca="1" si="61"/>
        <v>42.200 || 61.900</v>
      </c>
      <c r="L276" s="130">
        <f t="shared" ca="1" si="62"/>
        <v>25.092987512007678</v>
      </c>
      <c r="M276" s="126">
        <f t="shared" ca="1" si="63"/>
        <v>0.37195004803071186</v>
      </c>
      <c r="N276" s="58">
        <f t="shared" ca="1" si="54"/>
        <v>61.899999999999991</v>
      </c>
      <c r="O276" s="160">
        <f t="shared" ca="1" si="54"/>
        <v>58.98118344014469</v>
      </c>
    </row>
    <row r="277" spans="1:15" x14ac:dyDescent="0.25">
      <c r="A277" s="55">
        <f t="shared" ca="1" si="64"/>
        <v>256</v>
      </c>
      <c r="B277" s="55">
        <f t="shared" ca="1" si="55"/>
        <v>38.299999999999997</v>
      </c>
      <c r="C277" s="55">
        <f t="shared" ca="1" si="56"/>
        <v>24.51343984962406</v>
      </c>
      <c r="D277" s="55" t="str">
        <f t="shared" ca="1" si="57"/>
        <v>38.300 || 68.100</v>
      </c>
      <c r="E277" s="120">
        <f t="shared" ca="1" si="65"/>
        <v>1.9462406015037601</v>
      </c>
      <c r="F277" s="56" t="e">
        <f t="shared" ca="1" si="66"/>
        <v>#N/A</v>
      </c>
      <c r="G277" s="56" t="e">
        <f t="shared" ca="1" si="58"/>
        <v>#N/A</v>
      </c>
      <c r="H277" s="116" t="e">
        <f t="shared" ca="1" si="59"/>
        <v>#N/A</v>
      </c>
      <c r="I277" s="57" t="e">
        <f t="shared" ca="1" si="60"/>
        <v>#N/A</v>
      </c>
      <c r="J277" s="131">
        <f t="shared" ca="1" si="67"/>
        <v>996</v>
      </c>
      <c r="K277" s="122" t="str">
        <f t="shared" ca="1" si="61"/>
        <v/>
      </c>
      <c r="L277" s="130" t="str">
        <f t="shared" ca="1" si="62"/>
        <v/>
      </c>
      <c r="M277" s="126">
        <f t="shared" ca="1" si="63"/>
        <v>995</v>
      </c>
      <c r="N277" s="58">
        <f t="shared" ca="1" si="54"/>
        <v>68.100000000000009</v>
      </c>
      <c r="O277" s="160">
        <f t="shared" ca="1" si="54"/>
        <v>64.926034839654278</v>
      </c>
    </row>
    <row r="278" spans="1:15" x14ac:dyDescent="0.25">
      <c r="A278" s="55">
        <f t="shared" ca="1" si="64"/>
        <v>256</v>
      </c>
      <c r="B278" s="55">
        <f t="shared" ca="1" si="55"/>
        <v>38.299999999999997</v>
      </c>
      <c r="C278" s="55">
        <f t="shared" ca="1" si="56"/>
        <v>24.51343984962406</v>
      </c>
      <c r="D278" s="55" t="str">
        <f t="shared" ca="1" si="57"/>
        <v>38.300 || 68.100</v>
      </c>
      <c r="E278" s="120">
        <f t="shared" ca="1" si="65"/>
        <v>1.9462406015037601</v>
      </c>
      <c r="F278" s="56" t="e">
        <f t="shared" ca="1" si="66"/>
        <v>#N/A</v>
      </c>
      <c r="G278" s="56" t="e">
        <f t="shared" ca="1" si="58"/>
        <v>#N/A</v>
      </c>
      <c r="H278" s="116" t="e">
        <f t="shared" ca="1" si="59"/>
        <v>#N/A</v>
      </c>
      <c r="I278" s="57" t="e">
        <f t="shared" ca="1" si="60"/>
        <v>#N/A</v>
      </c>
      <c r="J278" s="131">
        <f t="shared" ca="1" si="67"/>
        <v>996</v>
      </c>
      <c r="K278" s="122" t="str">
        <f t="shared" ca="1" si="61"/>
        <v/>
      </c>
      <c r="L278" s="130" t="str">
        <f t="shared" ca="1" si="62"/>
        <v/>
      </c>
      <c r="M278" s="126">
        <f t="shared" ca="1" si="63"/>
        <v>995</v>
      </c>
      <c r="N278" s="58">
        <f t="shared" ca="1" si="54"/>
        <v>68.100000000000009</v>
      </c>
      <c r="O278" s="160">
        <f t="shared" ca="1" si="54"/>
        <v>64.926034839654278</v>
      </c>
    </row>
    <row r="279" spans="1:15" x14ac:dyDescent="0.25">
      <c r="A279" s="55">
        <f t="shared" ca="1" si="64"/>
        <v>256</v>
      </c>
      <c r="B279" s="55">
        <f t="shared" ca="1" si="55"/>
        <v>38.299999999999997</v>
      </c>
      <c r="C279" s="55">
        <f t="shared" ca="1" si="56"/>
        <v>24.51343984962406</v>
      </c>
      <c r="D279" s="55" t="str">
        <f t="shared" ca="1" si="57"/>
        <v>38.300 || 68.100</v>
      </c>
      <c r="E279" s="120">
        <f t="shared" ca="1" si="65"/>
        <v>1.9462406015037601</v>
      </c>
      <c r="F279" s="56" t="e">
        <f t="shared" ca="1" si="66"/>
        <v>#N/A</v>
      </c>
      <c r="G279" s="56" t="e">
        <f t="shared" ca="1" si="58"/>
        <v>#N/A</v>
      </c>
      <c r="H279" s="116" t="e">
        <f t="shared" ca="1" si="59"/>
        <v>#N/A</v>
      </c>
      <c r="I279" s="57" t="e">
        <f t="shared" ca="1" si="60"/>
        <v>#N/A</v>
      </c>
      <c r="J279" s="131">
        <f t="shared" ca="1" si="67"/>
        <v>996</v>
      </c>
      <c r="K279" s="122" t="str">
        <f t="shared" ca="1" si="61"/>
        <v/>
      </c>
      <c r="L279" s="130" t="str">
        <f t="shared" ca="1" si="62"/>
        <v/>
      </c>
      <c r="M279" s="126">
        <f t="shared" ca="1" si="63"/>
        <v>995</v>
      </c>
      <c r="N279" s="58">
        <f t="shared" ca="1" si="54"/>
        <v>68.100000000000009</v>
      </c>
      <c r="O279" s="160">
        <f t="shared" ca="1" si="54"/>
        <v>64.926034839654278</v>
      </c>
    </row>
    <row r="280" spans="1:15" x14ac:dyDescent="0.25">
      <c r="A280" s="55">
        <f t="shared" ca="1" si="64"/>
        <v>256</v>
      </c>
      <c r="B280" s="55">
        <f t="shared" ca="1" si="55"/>
        <v>38.299999999999997</v>
      </c>
      <c r="C280" s="55">
        <f t="shared" ca="1" si="56"/>
        <v>24.51343984962406</v>
      </c>
      <c r="D280" s="55" t="str">
        <f t="shared" ca="1" si="57"/>
        <v>38.300 || 68.100</v>
      </c>
      <c r="E280" s="120">
        <f t="shared" ca="1" si="65"/>
        <v>1.9462406015037601</v>
      </c>
      <c r="F280" s="56" t="e">
        <f t="shared" ca="1" si="66"/>
        <v>#N/A</v>
      </c>
      <c r="G280" s="56" t="e">
        <f t="shared" ca="1" si="58"/>
        <v>#N/A</v>
      </c>
      <c r="H280" s="116" t="e">
        <f t="shared" ca="1" si="59"/>
        <v>#N/A</v>
      </c>
      <c r="I280" s="57" t="e">
        <f t="shared" ca="1" si="60"/>
        <v>#N/A</v>
      </c>
      <c r="J280" s="131">
        <f t="shared" ca="1" si="67"/>
        <v>996</v>
      </c>
      <c r="K280" s="122" t="str">
        <f t="shared" ca="1" si="61"/>
        <v/>
      </c>
      <c r="L280" s="130" t="str">
        <f t="shared" ca="1" si="62"/>
        <v/>
      </c>
      <c r="M280" s="126">
        <f t="shared" ca="1" si="63"/>
        <v>995</v>
      </c>
      <c r="N280" s="58">
        <f t="shared" ca="1" si="54"/>
        <v>68.100000000000009</v>
      </c>
      <c r="O280" s="160">
        <f t="shared" ca="1" si="54"/>
        <v>64.926034839654278</v>
      </c>
    </row>
    <row r="281" spans="1:15" x14ac:dyDescent="0.25">
      <c r="A281" s="55">
        <f t="shared" ca="1" si="64"/>
        <v>256</v>
      </c>
      <c r="B281" s="55">
        <f t="shared" ca="1" si="55"/>
        <v>38.299999999999997</v>
      </c>
      <c r="C281" s="55">
        <f t="shared" ca="1" si="56"/>
        <v>25.353045013239186</v>
      </c>
      <c r="D281" s="55" t="str">
        <f t="shared" ca="1" si="57"/>
        <v>38.300 || 75.000</v>
      </c>
      <c r="E281" s="120">
        <f t="shared" ca="1" si="65"/>
        <v>1.4121800529567423</v>
      </c>
      <c r="F281" s="56" t="e">
        <f t="shared" ca="1" si="66"/>
        <v>#N/A</v>
      </c>
      <c r="G281" s="56" t="e">
        <f t="shared" ca="1" si="58"/>
        <v>#N/A</v>
      </c>
      <c r="H281" s="116" t="e">
        <f t="shared" ca="1" si="59"/>
        <v>#N/A</v>
      </c>
      <c r="I281" s="57" t="e">
        <f t="shared" ca="1" si="60"/>
        <v>#N/A</v>
      </c>
      <c r="J281" s="131">
        <f t="shared" ca="1" si="67"/>
        <v>996</v>
      </c>
      <c r="K281" s="122" t="str">
        <f t="shared" ca="1" si="61"/>
        <v/>
      </c>
      <c r="L281" s="130" t="str">
        <f t="shared" ca="1" si="62"/>
        <v/>
      </c>
      <c r="M281" s="126">
        <f t="shared" ca="1" si="63"/>
        <v>995</v>
      </c>
      <c r="N281" s="58">
        <f t="shared" ca="1" si="54"/>
        <v>75</v>
      </c>
      <c r="O281" s="160">
        <f t="shared" ca="1" si="54"/>
        <v>71.46677549742958</v>
      </c>
    </row>
    <row r="282" spans="1:15" x14ac:dyDescent="0.25">
      <c r="A282" s="55">
        <f t="shared" ca="1" si="64"/>
        <v>256</v>
      </c>
      <c r="B282" s="55">
        <f t="shared" ca="1" si="55"/>
        <v>38.299999999999997</v>
      </c>
      <c r="C282" s="55">
        <f t="shared" ca="1" si="56"/>
        <v>25.353045013239186</v>
      </c>
      <c r="D282" s="55" t="str">
        <f t="shared" ca="1" si="57"/>
        <v>38.300 || 75.000</v>
      </c>
      <c r="E282" s="120">
        <f t="shared" ca="1" si="65"/>
        <v>1.4121800529567423</v>
      </c>
      <c r="F282" s="56" t="e">
        <f t="shared" ca="1" si="66"/>
        <v>#N/A</v>
      </c>
      <c r="G282" s="56" t="e">
        <f t="shared" ca="1" si="58"/>
        <v>#N/A</v>
      </c>
      <c r="H282" s="116" t="e">
        <f t="shared" ca="1" si="59"/>
        <v>#N/A</v>
      </c>
      <c r="I282" s="57" t="e">
        <f t="shared" ca="1" si="60"/>
        <v>#N/A</v>
      </c>
      <c r="J282" s="131">
        <f t="shared" ca="1" si="67"/>
        <v>996</v>
      </c>
      <c r="K282" s="122" t="str">
        <f t="shared" ca="1" si="61"/>
        <v/>
      </c>
      <c r="L282" s="130" t="str">
        <f t="shared" ca="1" si="62"/>
        <v/>
      </c>
      <c r="M282" s="126">
        <f t="shared" ca="1" si="63"/>
        <v>995</v>
      </c>
      <c r="N282" s="58">
        <f t="shared" ca="1" si="54"/>
        <v>75</v>
      </c>
      <c r="O282" s="160">
        <f t="shared" ca="1" si="54"/>
        <v>71.46677549742958</v>
      </c>
    </row>
    <row r="283" spans="1:15" x14ac:dyDescent="0.25">
      <c r="A283" s="55">
        <f t="shared" ca="1" si="64"/>
        <v>256</v>
      </c>
      <c r="B283" s="55">
        <f t="shared" ca="1" si="55"/>
        <v>38.299999999999997</v>
      </c>
      <c r="C283" s="55">
        <f t="shared" ca="1" si="56"/>
        <v>25.353045013239186</v>
      </c>
      <c r="D283" s="55" t="str">
        <f t="shared" ca="1" si="57"/>
        <v>38.300 || 75.000</v>
      </c>
      <c r="E283" s="120">
        <f t="shared" ca="1" si="65"/>
        <v>1.4121800529567423</v>
      </c>
      <c r="F283" s="56" t="e">
        <f t="shared" ca="1" si="66"/>
        <v>#N/A</v>
      </c>
      <c r="G283" s="56" t="e">
        <f t="shared" ca="1" si="58"/>
        <v>#N/A</v>
      </c>
      <c r="H283" s="116" t="e">
        <f t="shared" ca="1" si="59"/>
        <v>#N/A</v>
      </c>
      <c r="I283" s="57" t="e">
        <f t="shared" ca="1" si="60"/>
        <v>#N/A</v>
      </c>
      <c r="J283" s="131">
        <f t="shared" ca="1" si="67"/>
        <v>996</v>
      </c>
      <c r="K283" s="122" t="str">
        <f t="shared" ca="1" si="61"/>
        <v/>
      </c>
      <c r="L283" s="130" t="str">
        <f t="shared" ca="1" si="62"/>
        <v/>
      </c>
      <c r="M283" s="126">
        <f t="shared" ca="1" si="63"/>
        <v>995</v>
      </c>
      <c r="N283" s="58">
        <f t="shared" ca="1" si="54"/>
        <v>75</v>
      </c>
      <c r="O283" s="160">
        <f t="shared" ca="1" si="54"/>
        <v>71.46677549742958</v>
      </c>
    </row>
    <row r="284" spans="1:15" x14ac:dyDescent="0.25">
      <c r="A284" s="55">
        <f t="shared" ca="1" si="64"/>
        <v>256</v>
      </c>
      <c r="B284" s="55">
        <f t="shared" ca="1" si="55"/>
        <v>38.299999999999997</v>
      </c>
      <c r="C284" s="55">
        <f t="shared" ca="1" si="56"/>
        <v>25.353045013239186</v>
      </c>
      <c r="D284" s="55" t="str">
        <f t="shared" ca="1" si="57"/>
        <v>38.300 || 75.000</v>
      </c>
      <c r="E284" s="120">
        <f t="shared" ca="1" si="65"/>
        <v>1.4121800529567423</v>
      </c>
      <c r="F284" s="56" t="e">
        <f t="shared" ca="1" si="66"/>
        <v>#N/A</v>
      </c>
      <c r="G284" s="56" t="e">
        <f t="shared" ca="1" si="58"/>
        <v>#N/A</v>
      </c>
      <c r="H284" s="116" t="e">
        <f t="shared" ca="1" si="59"/>
        <v>#N/A</v>
      </c>
      <c r="I284" s="57" t="e">
        <f t="shared" ca="1" si="60"/>
        <v>#N/A</v>
      </c>
      <c r="J284" s="131">
        <f t="shared" ca="1" si="67"/>
        <v>996</v>
      </c>
      <c r="K284" s="122" t="str">
        <f t="shared" ca="1" si="61"/>
        <v/>
      </c>
      <c r="L284" s="130" t="str">
        <f t="shared" ca="1" si="62"/>
        <v/>
      </c>
      <c r="M284" s="126">
        <f t="shared" ca="1" si="63"/>
        <v>995</v>
      </c>
      <c r="N284" s="58">
        <f t="shared" ca="1" si="54"/>
        <v>75</v>
      </c>
      <c r="O284" s="160">
        <f t="shared" ca="1" si="54"/>
        <v>71.46677549742958</v>
      </c>
    </row>
    <row r="285" spans="1:15" x14ac:dyDescent="0.25">
      <c r="A285" s="55">
        <f t="shared" ca="1" si="64"/>
        <v>252</v>
      </c>
      <c r="B285" s="55">
        <f t="shared" ca="1" si="55"/>
        <v>34.799999999999997</v>
      </c>
      <c r="C285" s="55">
        <f t="shared" ca="1" si="56"/>
        <v>24.475703324808183</v>
      </c>
      <c r="D285" s="55" t="str">
        <f t="shared" ca="1" si="57"/>
        <v>34.800 || 82.500</v>
      </c>
      <c r="E285" s="120">
        <f t="shared" ca="1" si="65"/>
        <v>2.0971867007672671</v>
      </c>
      <c r="F285" s="56" t="e">
        <f t="shared" ca="1" si="66"/>
        <v>#N/A</v>
      </c>
      <c r="G285" s="56" t="e">
        <f t="shared" ca="1" si="58"/>
        <v>#N/A</v>
      </c>
      <c r="H285" s="116" t="e">
        <f t="shared" ca="1" si="59"/>
        <v>#N/A</v>
      </c>
      <c r="I285" s="57" t="e">
        <f t="shared" ca="1" si="60"/>
        <v>#N/A</v>
      </c>
      <c r="J285" s="131">
        <f t="shared" ca="1" si="67"/>
        <v>996</v>
      </c>
      <c r="K285" s="122" t="str">
        <f t="shared" ca="1" si="61"/>
        <v/>
      </c>
      <c r="L285" s="130" t="str">
        <f t="shared" ca="1" si="62"/>
        <v/>
      </c>
      <c r="M285" s="126">
        <f t="shared" ca="1" si="63"/>
        <v>995</v>
      </c>
      <c r="N285" s="58">
        <f t="shared" ca="1" si="54"/>
        <v>82.5</v>
      </c>
      <c r="O285" s="160">
        <f t="shared" ca="1" si="54"/>
        <v>78.660663612761368</v>
      </c>
    </row>
    <row r="286" spans="1:15" x14ac:dyDescent="0.25">
      <c r="A286" s="55">
        <f t="shared" ca="1" si="64"/>
        <v>252</v>
      </c>
      <c r="B286" s="55">
        <f t="shared" ca="1" si="55"/>
        <v>34.799999999999997</v>
      </c>
      <c r="C286" s="55">
        <f t="shared" ca="1" si="56"/>
        <v>24.475703324808183</v>
      </c>
      <c r="D286" s="55" t="str">
        <f t="shared" ca="1" si="57"/>
        <v>34.800 || 82.500</v>
      </c>
      <c r="E286" s="120">
        <f t="shared" ca="1" si="65"/>
        <v>2.0971867007672671</v>
      </c>
      <c r="F286" s="56" t="e">
        <f t="shared" ca="1" si="66"/>
        <v>#N/A</v>
      </c>
      <c r="G286" s="56" t="e">
        <f t="shared" ca="1" si="58"/>
        <v>#N/A</v>
      </c>
      <c r="H286" s="116" t="e">
        <f t="shared" ca="1" si="59"/>
        <v>#N/A</v>
      </c>
      <c r="I286" s="57" t="e">
        <f t="shared" ca="1" si="60"/>
        <v>#N/A</v>
      </c>
      <c r="J286" s="131">
        <f t="shared" ca="1" si="67"/>
        <v>996</v>
      </c>
      <c r="K286" s="122" t="str">
        <f t="shared" ca="1" si="61"/>
        <v/>
      </c>
      <c r="L286" s="130" t="str">
        <f t="shared" ca="1" si="62"/>
        <v/>
      </c>
      <c r="M286" s="126">
        <f t="shared" ca="1" si="63"/>
        <v>995</v>
      </c>
      <c r="N286" s="58">
        <f t="shared" ca="1" si="54"/>
        <v>82.5</v>
      </c>
      <c r="O286" s="160">
        <f t="shared" ca="1" si="54"/>
        <v>78.660663612761368</v>
      </c>
    </row>
    <row r="287" spans="1:15" x14ac:dyDescent="0.25">
      <c r="A287" s="55">
        <f t="shared" ca="1" si="64"/>
        <v>252</v>
      </c>
      <c r="B287" s="55">
        <f t="shared" ca="1" si="55"/>
        <v>34.799999999999997</v>
      </c>
      <c r="C287" s="55">
        <f t="shared" ca="1" si="56"/>
        <v>24.475703324808183</v>
      </c>
      <c r="D287" s="55" t="str">
        <f t="shared" ca="1" si="57"/>
        <v>34.800 || 82.500</v>
      </c>
      <c r="E287" s="120">
        <f t="shared" ca="1" si="65"/>
        <v>2.0971867007672671</v>
      </c>
      <c r="F287" s="56" t="e">
        <f t="shared" ca="1" si="66"/>
        <v>#N/A</v>
      </c>
      <c r="G287" s="56" t="e">
        <f t="shared" ca="1" si="58"/>
        <v>#N/A</v>
      </c>
      <c r="H287" s="116" t="e">
        <f t="shared" ca="1" si="59"/>
        <v>#N/A</v>
      </c>
      <c r="I287" s="57" t="e">
        <f t="shared" ca="1" si="60"/>
        <v>#N/A</v>
      </c>
      <c r="J287" s="131">
        <f t="shared" ca="1" si="67"/>
        <v>996</v>
      </c>
      <c r="K287" s="122" t="str">
        <f t="shared" ca="1" si="61"/>
        <v/>
      </c>
      <c r="L287" s="130" t="str">
        <f t="shared" ca="1" si="62"/>
        <v/>
      </c>
      <c r="M287" s="126">
        <f t="shared" ca="1" si="63"/>
        <v>995</v>
      </c>
      <c r="N287" s="58">
        <f t="shared" ca="1" si="54"/>
        <v>82.5</v>
      </c>
      <c r="O287" s="160">
        <f t="shared" ca="1" si="54"/>
        <v>78.660663612761368</v>
      </c>
    </row>
    <row r="288" spans="1:15" x14ac:dyDescent="0.25">
      <c r="A288" s="55">
        <f t="shared" ca="1" si="64"/>
        <v>252</v>
      </c>
      <c r="B288" s="55">
        <f t="shared" ca="1" si="55"/>
        <v>34.799999999999997</v>
      </c>
      <c r="C288" s="55">
        <f t="shared" ca="1" si="56"/>
        <v>24.475703324808183</v>
      </c>
      <c r="D288" s="55" t="str">
        <f t="shared" ca="1" si="57"/>
        <v>34.800 || 82.500</v>
      </c>
      <c r="E288" s="120">
        <f t="shared" ca="1" si="65"/>
        <v>2.0971867007672671</v>
      </c>
      <c r="F288" s="56" t="e">
        <f t="shared" ca="1" si="66"/>
        <v>#N/A</v>
      </c>
      <c r="G288" s="56" t="e">
        <f t="shared" ca="1" si="58"/>
        <v>#N/A</v>
      </c>
      <c r="H288" s="116" t="e">
        <f t="shared" ca="1" si="59"/>
        <v>#N/A</v>
      </c>
      <c r="I288" s="57" t="e">
        <f t="shared" ca="1" si="60"/>
        <v>#N/A</v>
      </c>
      <c r="J288" s="131">
        <f t="shared" ca="1" si="67"/>
        <v>996</v>
      </c>
      <c r="K288" s="122" t="str">
        <f t="shared" ca="1" si="61"/>
        <v/>
      </c>
      <c r="L288" s="130" t="str">
        <f t="shared" ca="1" si="62"/>
        <v/>
      </c>
      <c r="M288" s="126">
        <f t="shared" ca="1" si="63"/>
        <v>995</v>
      </c>
      <c r="N288" s="58">
        <f t="shared" ca="1" si="54"/>
        <v>82.5</v>
      </c>
      <c r="O288" s="160">
        <f t="shared" ca="1" si="54"/>
        <v>78.660663612761368</v>
      </c>
    </row>
    <row r="289" spans="1:15" x14ac:dyDescent="0.25">
      <c r="A289" s="55">
        <f t="shared" ca="1" si="64"/>
        <v>252</v>
      </c>
      <c r="B289" s="55">
        <f t="shared" ca="1" si="55"/>
        <v>34.799999999999997</v>
      </c>
      <c r="C289" s="55">
        <f t="shared" ca="1" si="56"/>
        <v>25.165632458233887</v>
      </c>
      <c r="D289" s="55" t="str">
        <f t="shared" ca="1" si="57"/>
        <v>34.800 || 90.900</v>
      </c>
      <c r="E289" s="120">
        <f t="shared" ca="1" si="65"/>
        <v>0.66252983293554735</v>
      </c>
      <c r="F289" s="56" t="e">
        <f t="shared" ca="1" si="66"/>
        <v>#N/A</v>
      </c>
      <c r="G289" s="56" t="e">
        <f t="shared" ca="1" si="58"/>
        <v>#N/A</v>
      </c>
      <c r="H289" s="116" t="e">
        <f t="shared" ca="1" si="59"/>
        <v>#N/A</v>
      </c>
      <c r="I289" s="57" t="e">
        <f t="shared" ca="1" si="60"/>
        <v>#N/A</v>
      </c>
      <c r="J289" s="131">
        <f t="shared" ca="1" si="67"/>
        <v>996</v>
      </c>
      <c r="K289" s="122" t="str">
        <f t="shared" ca="1" si="61"/>
        <v>34.800 || 90.900</v>
      </c>
      <c r="L289" s="130">
        <f t="shared" ca="1" si="62"/>
        <v>25.165632458233887</v>
      </c>
      <c r="M289" s="126">
        <f t="shared" ca="1" si="63"/>
        <v>0.66252983293554735</v>
      </c>
      <c r="N289" s="58">
        <f t="shared" ca="1" si="54"/>
        <v>90.9</v>
      </c>
      <c r="O289" s="160">
        <f t="shared" ca="1" si="54"/>
        <v>86.598210143166355</v>
      </c>
    </row>
    <row r="290" spans="1:15" x14ac:dyDescent="0.25">
      <c r="A290" s="55">
        <f t="shared" ca="1" si="64"/>
        <v>252</v>
      </c>
      <c r="B290" s="55">
        <f t="shared" ca="1" si="55"/>
        <v>34.799999999999997</v>
      </c>
      <c r="C290" s="55">
        <f t="shared" ca="1" si="56"/>
        <v>25.165632458233887</v>
      </c>
      <c r="D290" s="55" t="str">
        <f t="shared" ca="1" si="57"/>
        <v>34.800 || 90.900</v>
      </c>
      <c r="E290" s="120">
        <f t="shared" ca="1" si="65"/>
        <v>0.66252983293554735</v>
      </c>
      <c r="F290" s="56" t="e">
        <f t="shared" ca="1" si="66"/>
        <v>#N/A</v>
      </c>
      <c r="G290" s="56" t="e">
        <f t="shared" ca="1" si="58"/>
        <v>#N/A</v>
      </c>
      <c r="H290" s="116" t="e">
        <f t="shared" ca="1" si="59"/>
        <v>#N/A</v>
      </c>
      <c r="I290" s="57" t="e">
        <f t="shared" ca="1" si="60"/>
        <v>#N/A</v>
      </c>
      <c r="J290" s="131">
        <f t="shared" ca="1" si="67"/>
        <v>996</v>
      </c>
      <c r="K290" s="122" t="str">
        <f t="shared" ca="1" si="61"/>
        <v>34.800 || 90.900</v>
      </c>
      <c r="L290" s="130">
        <f t="shared" ca="1" si="62"/>
        <v>25.165632458233887</v>
      </c>
      <c r="M290" s="126">
        <f t="shared" ca="1" si="63"/>
        <v>0.66252983293554735</v>
      </c>
      <c r="N290" s="58">
        <f t="shared" ca="1" si="54"/>
        <v>90.9</v>
      </c>
      <c r="O290" s="160">
        <f t="shared" ca="1" si="54"/>
        <v>86.598210143166355</v>
      </c>
    </row>
    <row r="291" spans="1:15" x14ac:dyDescent="0.25">
      <c r="A291" s="55">
        <f t="shared" ca="1" si="64"/>
        <v>252</v>
      </c>
      <c r="B291" s="55">
        <f t="shared" ca="1" si="55"/>
        <v>34.799999999999997</v>
      </c>
      <c r="C291" s="55">
        <f t="shared" ca="1" si="56"/>
        <v>25.165632458233887</v>
      </c>
      <c r="D291" s="55" t="str">
        <f t="shared" ca="1" si="57"/>
        <v>34.800 || 90.900</v>
      </c>
      <c r="E291" s="120">
        <f t="shared" ca="1" si="65"/>
        <v>0.66252983293554735</v>
      </c>
      <c r="F291" s="56" t="e">
        <f t="shared" ca="1" si="66"/>
        <v>#N/A</v>
      </c>
      <c r="G291" s="56" t="e">
        <f t="shared" ca="1" si="58"/>
        <v>#N/A</v>
      </c>
      <c r="H291" s="116" t="e">
        <f t="shared" ca="1" si="59"/>
        <v>#N/A</v>
      </c>
      <c r="I291" s="57" t="e">
        <f t="shared" ca="1" si="60"/>
        <v>#N/A</v>
      </c>
      <c r="J291" s="131">
        <f t="shared" ca="1" si="67"/>
        <v>996</v>
      </c>
      <c r="K291" s="122" t="str">
        <f t="shared" ca="1" si="61"/>
        <v>34.800 || 90.900</v>
      </c>
      <c r="L291" s="130">
        <f t="shared" ca="1" si="62"/>
        <v>25.165632458233887</v>
      </c>
      <c r="M291" s="126">
        <f t="shared" ca="1" si="63"/>
        <v>0.66252983293554735</v>
      </c>
      <c r="N291" s="58">
        <f t="shared" ca="1" si="54"/>
        <v>90.9</v>
      </c>
      <c r="O291" s="160">
        <f t="shared" ca="1" si="54"/>
        <v>86.598210143166355</v>
      </c>
    </row>
    <row r="292" spans="1:15" x14ac:dyDescent="0.25">
      <c r="A292" s="55">
        <f t="shared" ca="1" si="64"/>
        <v>252</v>
      </c>
      <c r="B292" s="55">
        <f t="shared" ca="1" si="55"/>
        <v>34.799999999999997</v>
      </c>
      <c r="C292" s="55">
        <f t="shared" ca="1" si="56"/>
        <v>25.165632458233887</v>
      </c>
      <c r="D292" s="55" t="str">
        <f t="shared" ca="1" si="57"/>
        <v>34.800 || 90.900</v>
      </c>
      <c r="E292" s="120">
        <f t="shared" ca="1" si="65"/>
        <v>0.66252983293554735</v>
      </c>
      <c r="F292" s="56" t="e">
        <f t="shared" ca="1" si="66"/>
        <v>#N/A</v>
      </c>
      <c r="G292" s="56" t="e">
        <f t="shared" ca="1" si="58"/>
        <v>#N/A</v>
      </c>
      <c r="H292" s="116" t="e">
        <f t="shared" ca="1" si="59"/>
        <v>#N/A</v>
      </c>
      <c r="I292" s="57" t="e">
        <f t="shared" ca="1" si="60"/>
        <v>#N/A</v>
      </c>
      <c r="J292" s="131">
        <f t="shared" ca="1" si="67"/>
        <v>996</v>
      </c>
      <c r="K292" s="122" t="str">
        <f t="shared" ca="1" si="61"/>
        <v>34.800 || 90.900</v>
      </c>
      <c r="L292" s="130">
        <f t="shared" ca="1" si="62"/>
        <v>25.165632458233887</v>
      </c>
      <c r="M292" s="126">
        <f t="shared" ca="1" si="63"/>
        <v>0.66252983293554735</v>
      </c>
      <c r="N292" s="58">
        <f t="shared" ca="1" si="54"/>
        <v>90.9</v>
      </c>
      <c r="O292" s="160">
        <f t="shared" ca="1" si="54"/>
        <v>86.598210143166355</v>
      </c>
    </row>
    <row r="293" spans="1:15" x14ac:dyDescent="0.25">
      <c r="A293" s="55">
        <f t="shared" ca="1" si="64"/>
        <v>252</v>
      </c>
      <c r="B293" s="55">
        <f t="shared" ca="1" si="55"/>
        <v>34.799999999999997</v>
      </c>
      <c r="C293" s="55">
        <f t="shared" ca="1" si="56"/>
        <v>25.816023738872403</v>
      </c>
      <c r="D293" s="55" t="str">
        <f t="shared" ca="1" si="57"/>
        <v>34.800 || 100.000</v>
      </c>
      <c r="E293" s="120">
        <f t="shared" ca="1" si="65"/>
        <v>3.264094955489611</v>
      </c>
      <c r="F293" s="56" t="e">
        <f t="shared" ca="1" si="66"/>
        <v>#N/A</v>
      </c>
      <c r="G293" s="56" t="e">
        <f t="shared" ca="1" si="58"/>
        <v>#N/A</v>
      </c>
      <c r="H293" s="116" t="e">
        <f t="shared" ca="1" si="59"/>
        <v>#N/A</v>
      </c>
      <c r="I293" s="57" t="e">
        <f t="shared" ca="1" si="60"/>
        <v>#N/A</v>
      </c>
      <c r="J293" s="131">
        <f t="shared" ca="1" si="67"/>
        <v>996</v>
      </c>
      <c r="K293" s="122" t="str">
        <f t="shared" ca="1" si="61"/>
        <v/>
      </c>
      <c r="L293" s="130" t="str">
        <f t="shared" ca="1" si="62"/>
        <v/>
      </c>
      <c r="M293" s="126">
        <f t="shared" ca="1" si="63"/>
        <v>995</v>
      </c>
      <c r="N293" s="58">
        <f t="shared" ca="1" si="54"/>
        <v>100</v>
      </c>
      <c r="O293" s="160">
        <f t="shared" ca="1" si="54"/>
        <v>95.341491492424225</v>
      </c>
    </row>
    <row r="294" spans="1:15" x14ac:dyDescent="0.25">
      <c r="A294" s="55">
        <f t="shared" ca="1" si="64"/>
        <v>252</v>
      </c>
      <c r="B294" s="55">
        <f t="shared" ca="1" si="55"/>
        <v>34.799999999999997</v>
      </c>
      <c r="C294" s="55">
        <f t="shared" ca="1" si="56"/>
        <v>25.816023738872403</v>
      </c>
      <c r="D294" s="55" t="str">
        <f t="shared" ca="1" si="57"/>
        <v>34.800 || 100.000</v>
      </c>
      <c r="E294" s="120">
        <f t="shared" ca="1" si="65"/>
        <v>3.264094955489611</v>
      </c>
      <c r="F294" s="56" t="e">
        <f t="shared" ca="1" si="66"/>
        <v>#N/A</v>
      </c>
      <c r="G294" s="56" t="e">
        <f t="shared" ca="1" si="58"/>
        <v>#N/A</v>
      </c>
      <c r="H294" s="116" t="e">
        <f t="shared" ca="1" si="59"/>
        <v>#N/A</v>
      </c>
      <c r="I294" s="57" t="e">
        <f t="shared" ca="1" si="60"/>
        <v>#N/A</v>
      </c>
      <c r="J294" s="131">
        <f t="shared" ca="1" si="67"/>
        <v>996</v>
      </c>
      <c r="K294" s="122" t="str">
        <f t="shared" ca="1" si="61"/>
        <v/>
      </c>
      <c r="L294" s="130" t="str">
        <f t="shared" ca="1" si="62"/>
        <v/>
      </c>
      <c r="M294" s="126">
        <f t="shared" ca="1" si="63"/>
        <v>995</v>
      </c>
      <c r="N294" s="58">
        <f t="shared" ca="1" si="54"/>
        <v>100</v>
      </c>
      <c r="O294" s="160">
        <f t="shared" ca="1" si="54"/>
        <v>95.341491492424211</v>
      </c>
    </row>
    <row r="295" spans="1:15" x14ac:dyDescent="0.25">
      <c r="A295" s="55">
        <f t="shared" ca="1" si="64"/>
        <v>252</v>
      </c>
      <c r="B295" s="55">
        <f t="shared" ca="1" si="55"/>
        <v>34.799999999999997</v>
      </c>
      <c r="C295" s="55">
        <f t="shared" ca="1" si="56"/>
        <v>25.816023738872403</v>
      </c>
      <c r="D295" s="55" t="str">
        <f t="shared" ca="1" si="57"/>
        <v>34.800 || 100.000</v>
      </c>
      <c r="E295" s="120">
        <f t="shared" ca="1" si="65"/>
        <v>3.264094955489611</v>
      </c>
      <c r="F295" s="56" t="e">
        <f t="shared" ca="1" si="66"/>
        <v>#N/A</v>
      </c>
      <c r="G295" s="56" t="e">
        <f t="shared" ca="1" si="58"/>
        <v>#N/A</v>
      </c>
      <c r="H295" s="116" t="e">
        <f t="shared" ca="1" si="59"/>
        <v>#N/A</v>
      </c>
      <c r="I295" s="57" t="e">
        <f t="shared" ca="1" si="60"/>
        <v>#N/A</v>
      </c>
      <c r="J295" s="131">
        <f t="shared" ca="1" si="67"/>
        <v>996</v>
      </c>
      <c r="K295" s="122" t="str">
        <f t="shared" ca="1" si="61"/>
        <v/>
      </c>
      <c r="L295" s="130" t="str">
        <f t="shared" ca="1" si="62"/>
        <v/>
      </c>
      <c r="M295" s="126">
        <f t="shared" ca="1" si="63"/>
        <v>995</v>
      </c>
      <c r="N295" s="58">
        <f t="shared" ca="1" si="54"/>
        <v>100</v>
      </c>
      <c r="O295" s="160">
        <f t="shared" ca="1" si="54"/>
        <v>95.341491492424211</v>
      </c>
    </row>
    <row r="296" spans="1:15" x14ac:dyDescent="0.25">
      <c r="A296" s="55">
        <f t="shared" ca="1" si="64"/>
        <v>252</v>
      </c>
      <c r="B296" s="55">
        <f t="shared" ca="1" si="55"/>
        <v>34.799999999999997</v>
      </c>
      <c r="C296" s="55">
        <f t="shared" ca="1" si="56"/>
        <v>25.816023738872403</v>
      </c>
      <c r="D296" s="55" t="str">
        <f t="shared" ca="1" si="57"/>
        <v>34.800 || 100.000</v>
      </c>
      <c r="E296" s="120">
        <f t="shared" ca="1" si="65"/>
        <v>3.264094955489611</v>
      </c>
      <c r="F296" s="56" t="e">
        <f t="shared" ca="1" si="66"/>
        <v>#N/A</v>
      </c>
      <c r="G296" s="56" t="e">
        <f t="shared" ca="1" si="58"/>
        <v>#N/A</v>
      </c>
      <c r="H296" s="116" t="e">
        <f t="shared" ca="1" si="59"/>
        <v>#N/A</v>
      </c>
      <c r="I296" s="57" t="e">
        <f t="shared" ca="1" si="60"/>
        <v>#N/A</v>
      </c>
      <c r="J296" s="131">
        <f t="shared" ca="1" si="67"/>
        <v>996</v>
      </c>
      <c r="K296" s="122" t="str">
        <f t="shared" ca="1" si="61"/>
        <v/>
      </c>
      <c r="L296" s="130" t="str">
        <f t="shared" ca="1" si="62"/>
        <v/>
      </c>
      <c r="M296" s="126">
        <f t="shared" ca="1" si="63"/>
        <v>995</v>
      </c>
      <c r="N296" s="58">
        <f t="shared" ref="N296:O359" ca="1" si="68">N200*10</f>
        <v>100</v>
      </c>
      <c r="O296" s="160">
        <f t="shared" ca="1" si="68"/>
        <v>95.341491492424211</v>
      </c>
    </row>
    <row r="297" spans="1:15" x14ac:dyDescent="0.25">
      <c r="A297" s="55">
        <f t="shared" ca="1" si="64"/>
        <v>248</v>
      </c>
      <c r="B297" s="55">
        <f t="shared" ca="1" si="55"/>
        <v>31.6</v>
      </c>
      <c r="C297" s="55">
        <f t="shared" ca="1" si="56"/>
        <v>24.548022598870062</v>
      </c>
      <c r="D297" s="55" t="str">
        <f t="shared" ca="1" si="57"/>
        <v>31.600 || 110.000</v>
      </c>
      <c r="E297" s="120">
        <f t="shared" ca="1" si="65"/>
        <v>1.8079096045197502</v>
      </c>
      <c r="F297" s="56" t="e">
        <f t="shared" ca="1" si="66"/>
        <v>#N/A</v>
      </c>
      <c r="G297" s="56" t="e">
        <f t="shared" ca="1" si="58"/>
        <v>#N/A</v>
      </c>
      <c r="H297" s="116" t="e">
        <f t="shared" ca="1" si="59"/>
        <v>#N/A</v>
      </c>
      <c r="I297" s="57" t="e">
        <f t="shared" ca="1" si="60"/>
        <v>#N/A</v>
      </c>
      <c r="J297" s="131">
        <f t="shared" ca="1" si="67"/>
        <v>996</v>
      </c>
      <c r="K297" s="122" t="str">
        <f t="shared" ca="1" si="61"/>
        <v/>
      </c>
      <c r="L297" s="130" t="str">
        <f t="shared" ca="1" si="62"/>
        <v/>
      </c>
      <c r="M297" s="126">
        <f t="shared" ca="1" si="63"/>
        <v>995</v>
      </c>
      <c r="N297" s="58">
        <f t="shared" ca="1" si="68"/>
        <v>110</v>
      </c>
      <c r="O297" s="160">
        <f t="shared" ca="1" si="68"/>
        <v>104.88088481701517</v>
      </c>
    </row>
    <row r="298" spans="1:15" x14ac:dyDescent="0.25">
      <c r="A298" s="55">
        <f t="shared" ca="1" si="64"/>
        <v>248</v>
      </c>
      <c r="B298" s="55">
        <f t="shared" ca="1" si="55"/>
        <v>31.6</v>
      </c>
      <c r="C298" s="55">
        <f t="shared" ca="1" si="56"/>
        <v>24.548022598870062</v>
      </c>
      <c r="D298" s="55" t="str">
        <f t="shared" ca="1" si="57"/>
        <v>31.600 || 110.000</v>
      </c>
      <c r="E298" s="120">
        <f t="shared" ca="1" si="65"/>
        <v>1.8079096045197502</v>
      </c>
      <c r="F298" s="56" t="e">
        <f t="shared" ca="1" si="66"/>
        <v>#N/A</v>
      </c>
      <c r="G298" s="56" t="e">
        <f t="shared" ca="1" si="58"/>
        <v>#N/A</v>
      </c>
      <c r="H298" s="116" t="e">
        <f t="shared" ca="1" si="59"/>
        <v>#N/A</v>
      </c>
      <c r="I298" s="57" t="e">
        <f t="shared" ca="1" si="60"/>
        <v>#N/A</v>
      </c>
      <c r="J298" s="131">
        <f t="shared" ca="1" si="67"/>
        <v>996</v>
      </c>
      <c r="K298" s="122" t="str">
        <f t="shared" ca="1" si="61"/>
        <v/>
      </c>
      <c r="L298" s="130" t="str">
        <f t="shared" ca="1" si="62"/>
        <v/>
      </c>
      <c r="M298" s="126">
        <f t="shared" ca="1" si="63"/>
        <v>995</v>
      </c>
      <c r="N298" s="58">
        <f t="shared" ca="1" si="68"/>
        <v>110</v>
      </c>
      <c r="O298" s="160">
        <f t="shared" ca="1" si="68"/>
        <v>104.88088481701517</v>
      </c>
    </row>
    <row r="299" spans="1:15" x14ac:dyDescent="0.25">
      <c r="A299" s="55">
        <f t="shared" ca="1" si="64"/>
        <v>248</v>
      </c>
      <c r="B299" s="55">
        <f t="shared" ca="1" si="55"/>
        <v>31.6</v>
      </c>
      <c r="C299" s="55">
        <f t="shared" ca="1" si="56"/>
        <v>24.548022598870062</v>
      </c>
      <c r="D299" s="55" t="str">
        <f t="shared" ca="1" si="57"/>
        <v>31.600 || 110.000</v>
      </c>
      <c r="E299" s="120">
        <f t="shared" ca="1" si="65"/>
        <v>1.8079096045197502</v>
      </c>
      <c r="F299" s="56" t="e">
        <f t="shared" ca="1" si="66"/>
        <v>#N/A</v>
      </c>
      <c r="G299" s="56" t="e">
        <f t="shared" ca="1" si="58"/>
        <v>#N/A</v>
      </c>
      <c r="H299" s="116" t="e">
        <f t="shared" ca="1" si="59"/>
        <v>#N/A</v>
      </c>
      <c r="I299" s="57" t="e">
        <f t="shared" ca="1" si="60"/>
        <v>#N/A</v>
      </c>
      <c r="J299" s="131">
        <f t="shared" ca="1" si="67"/>
        <v>996</v>
      </c>
      <c r="K299" s="122" t="str">
        <f t="shared" ca="1" si="61"/>
        <v/>
      </c>
      <c r="L299" s="130" t="str">
        <f t="shared" ca="1" si="62"/>
        <v/>
      </c>
      <c r="M299" s="126">
        <f t="shared" ca="1" si="63"/>
        <v>995</v>
      </c>
      <c r="N299" s="58">
        <f t="shared" ca="1" si="68"/>
        <v>110</v>
      </c>
      <c r="O299" s="160">
        <f t="shared" ca="1" si="68"/>
        <v>104.88088481701517</v>
      </c>
    </row>
    <row r="300" spans="1:15" x14ac:dyDescent="0.25">
      <c r="A300" s="55">
        <f t="shared" ca="1" si="64"/>
        <v>248</v>
      </c>
      <c r="B300" s="55">
        <f t="shared" ca="1" si="55"/>
        <v>31.6</v>
      </c>
      <c r="C300" s="55">
        <f t="shared" ca="1" si="56"/>
        <v>24.548022598870062</v>
      </c>
      <c r="D300" s="55" t="str">
        <f t="shared" ca="1" si="57"/>
        <v>31.600 || 110.000</v>
      </c>
      <c r="E300" s="120">
        <f t="shared" ca="1" si="65"/>
        <v>1.8079096045197502</v>
      </c>
      <c r="F300" s="56" t="e">
        <f t="shared" ca="1" si="66"/>
        <v>#N/A</v>
      </c>
      <c r="G300" s="56" t="e">
        <f t="shared" ca="1" si="58"/>
        <v>#N/A</v>
      </c>
      <c r="H300" s="116" t="e">
        <f t="shared" ca="1" si="59"/>
        <v>#N/A</v>
      </c>
      <c r="I300" s="57" t="e">
        <f t="shared" ca="1" si="60"/>
        <v>#N/A</v>
      </c>
      <c r="J300" s="131">
        <f t="shared" ca="1" si="67"/>
        <v>996</v>
      </c>
      <c r="K300" s="122" t="str">
        <f t="shared" ca="1" si="61"/>
        <v/>
      </c>
      <c r="L300" s="130" t="str">
        <f t="shared" ca="1" si="62"/>
        <v/>
      </c>
      <c r="M300" s="126">
        <f t="shared" ca="1" si="63"/>
        <v>995</v>
      </c>
      <c r="N300" s="58">
        <f t="shared" ca="1" si="68"/>
        <v>110</v>
      </c>
      <c r="O300" s="160">
        <f t="shared" ca="1" si="68"/>
        <v>104.88088481701517</v>
      </c>
    </row>
    <row r="301" spans="1:15" x14ac:dyDescent="0.25">
      <c r="A301" s="55">
        <f t="shared" ca="1" si="64"/>
        <v>248</v>
      </c>
      <c r="B301" s="55">
        <f t="shared" ca="1" si="55"/>
        <v>31.6</v>
      </c>
      <c r="C301" s="55">
        <f t="shared" ca="1" si="56"/>
        <v>25.056356487549152</v>
      </c>
      <c r="D301" s="55" t="str">
        <f t="shared" ca="1" si="57"/>
        <v>31.600 || 121.000</v>
      </c>
      <c r="E301" s="120">
        <f t="shared" ca="1" si="65"/>
        <v>0.22542595019660894</v>
      </c>
      <c r="F301" s="56" t="e">
        <f t="shared" ca="1" si="66"/>
        <v>#N/A</v>
      </c>
      <c r="G301" s="56" t="e">
        <f t="shared" ca="1" si="58"/>
        <v>#N/A</v>
      </c>
      <c r="H301" s="116" t="e">
        <f t="shared" ca="1" si="59"/>
        <v>#N/A</v>
      </c>
      <c r="I301" s="57" t="e">
        <f t="shared" ca="1" si="60"/>
        <v>#N/A</v>
      </c>
      <c r="J301" s="131">
        <f t="shared" ca="1" si="67"/>
        <v>996</v>
      </c>
      <c r="K301" s="122" t="str">
        <f t="shared" ca="1" si="61"/>
        <v>31.600 || 121.000</v>
      </c>
      <c r="L301" s="130">
        <f t="shared" ca="1" si="62"/>
        <v>25.056356487549152</v>
      </c>
      <c r="M301" s="126">
        <f t="shared" ca="1" si="63"/>
        <v>0.22542595019660894</v>
      </c>
      <c r="N301" s="58">
        <f t="shared" ca="1" si="68"/>
        <v>121</v>
      </c>
      <c r="O301" s="160">
        <f t="shared" ca="1" si="68"/>
        <v>115.36897329871667</v>
      </c>
    </row>
    <row r="302" spans="1:15" x14ac:dyDescent="0.25">
      <c r="A302" s="55">
        <f t="shared" ca="1" si="64"/>
        <v>248</v>
      </c>
      <c r="B302" s="55">
        <f t="shared" ca="1" si="55"/>
        <v>31.6</v>
      </c>
      <c r="C302" s="55">
        <f t="shared" ca="1" si="56"/>
        <v>25.056356487549152</v>
      </c>
      <c r="D302" s="55" t="str">
        <f t="shared" ca="1" si="57"/>
        <v>31.600 || 121.000</v>
      </c>
      <c r="E302" s="120">
        <f t="shared" ca="1" si="65"/>
        <v>0.22542595019660894</v>
      </c>
      <c r="F302" s="56" t="e">
        <f t="shared" ca="1" si="66"/>
        <v>#N/A</v>
      </c>
      <c r="G302" s="56" t="e">
        <f t="shared" ca="1" si="58"/>
        <v>#N/A</v>
      </c>
      <c r="H302" s="116" t="e">
        <f t="shared" ca="1" si="59"/>
        <v>#N/A</v>
      </c>
      <c r="I302" s="57" t="e">
        <f t="shared" ca="1" si="60"/>
        <v>#N/A</v>
      </c>
      <c r="J302" s="131">
        <f t="shared" ca="1" si="67"/>
        <v>996</v>
      </c>
      <c r="K302" s="122" t="str">
        <f t="shared" ca="1" si="61"/>
        <v>31.600 || 121.000</v>
      </c>
      <c r="L302" s="130">
        <f t="shared" ca="1" si="62"/>
        <v>25.056356487549152</v>
      </c>
      <c r="M302" s="126">
        <f t="shared" ca="1" si="63"/>
        <v>0.22542595019660894</v>
      </c>
      <c r="N302" s="58">
        <f t="shared" ca="1" si="68"/>
        <v>121</v>
      </c>
      <c r="O302" s="160">
        <f t="shared" ca="1" si="68"/>
        <v>115.36897329871667</v>
      </c>
    </row>
    <row r="303" spans="1:15" x14ac:dyDescent="0.25">
      <c r="A303" s="55">
        <f t="shared" ca="1" si="64"/>
        <v>248</v>
      </c>
      <c r="B303" s="55">
        <f t="shared" ca="1" si="55"/>
        <v>31.6</v>
      </c>
      <c r="C303" s="55">
        <f t="shared" ca="1" si="56"/>
        <v>25.056356487549152</v>
      </c>
      <c r="D303" s="55" t="str">
        <f t="shared" ca="1" si="57"/>
        <v>31.600 || 121.000</v>
      </c>
      <c r="E303" s="120">
        <f t="shared" ca="1" si="65"/>
        <v>0.22542595019660894</v>
      </c>
      <c r="F303" s="56" t="e">
        <f t="shared" ca="1" si="66"/>
        <v>#N/A</v>
      </c>
      <c r="G303" s="56" t="e">
        <f t="shared" ca="1" si="58"/>
        <v>#N/A</v>
      </c>
      <c r="H303" s="116" t="e">
        <f t="shared" ca="1" si="59"/>
        <v>#N/A</v>
      </c>
      <c r="I303" s="57" t="e">
        <f t="shared" ca="1" si="60"/>
        <v>#N/A</v>
      </c>
      <c r="J303" s="131">
        <f t="shared" ca="1" si="67"/>
        <v>996</v>
      </c>
      <c r="K303" s="122" t="str">
        <f t="shared" ca="1" si="61"/>
        <v>31.600 || 121.000</v>
      </c>
      <c r="L303" s="130">
        <f t="shared" ca="1" si="62"/>
        <v>25.056356487549152</v>
      </c>
      <c r="M303" s="126">
        <f t="shared" ca="1" si="63"/>
        <v>0.22542595019660894</v>
      </c>
      <c r="N303" s="58">
        <f t="shared" ca="1" si="68"/>
        <v>121</v>
      </c>
      <c r="O303" s="160">
        <f t="shared" ca="1" si="68"/>
        <v>115.36897329871667</v>
      </c>
    </row>
    <row r="304" spans="1:15" x14ac:dyDescent="0.25">
      <c r="A304" s="55">
        <f t="shared" ca="1" si="64"/>
        <v>248</v>
      </c>
      <c r="B304" s="55">
        <f t="shared" ca="1" si="55"/>
        <v>31.6</v>
      </c>
      <c r="C304" s="55">
        <f t="shared" ca="1" si="56"/>
        <v>25.056356487549152</v>
      </c>
      <c r="D304" s="55" t="str">
        <f t="shared" ca="1" si="57"/>
        <v>31.600 || 121.000</v>
      </c>
      <c r="E304" s="120">
        <f t="shared" ca="1" si="65"/>
        <v>0.22542595019660894</v>
      </c>
      <c r="F304" s="56" t="e">
        <f t="shared" ca="1" si="66"/>
        <v>#N/A</v>
      </c>
      <c r="G304" s="56" t="e">
        <f t="shared" ca="1" si="58"/>
        <v>#N/A</v>
      </c>
      <c r="H304" s="116" t="e">
        <f t="shared" ca="1" si="59"/>
        <v>#N/A</v>
      </c>
      <c r="I304" s="57" t="e">
        <f t="shared" ca="1" si="60"/>
        <v>#N/A</v>
      </c>
      <c r="J304" s="131">
        <f t="shared" ca="1" si="67"/>
        <v>996</v>
      </c>
      <c r="K304" s="122" t="str">
        <f t="shared" ca="1" si="61"/>
        <v>31.600 || 121.000</v>
      </c>
      <c r="L304" s="130">
        <f t="shared" ca="1" si="62"/>
        <v>25.056356487549152</v>
      </c>
      <c r="M304" s="126">
        <f t="shared" ca="1" si="63"/>
        <v>0.22542595019660894</v>
      </c>
      <c r="N304" s="58">
        <f t="shared" ca="1" si="68"/>
        <v>121</v>
      </c>
      <c r="O304" s="160">
        <f t="shared" ca="1" si="68"/>
        <v>115.36897329871667</v>
      </c>
    </row>
    <row r="305" spans="1:15" x14ac:dyDescent="0.25">
      <c r="A305" s="55">
        <f t="shared" ca="1" si="64"/>
        <v>248</v>
      </c>
      <c r="B305" s="55">
        <f t="shared" ca="1" si="55"/>
        <v>31.6</v>
      </c>
      <c r="C305" s="55">
        <f t="shared" ca="1" si="56"/>
        <v>25.533414337788582</v>
      </c>
      <c r="D305" s="55" t="str">
        <f t="shared" ca="1" si="57"/>
        <v>31.600 || 133.000</v>
      </c>
      <c r="E305" s="120">
        <f t="shared" ca="1" si="65"/>
        <v>2.1336573511543264</v>
      </c>
      <c r="F305" s="56" t="e">
        <f t="shared" ca="1" si="66"/>
        <v>#N/A</v>
      </c>
      <c r="G305" s="56" t="e">
        <f t="shared" ca="1" si="58"/>
        <v>#N/A</v>
      </c>
      <c r="H305" s="116" t="e">
        <f t="shared" ca="1" si="59"/>
        <v>#N/A</v>
      </c>
      <c r="I305" s="57" t="e">
        <f t="shared" ca="1" si="60"/>
        <v>#N/A</v>
      </c>
      <c r="J305" s="131">
        <f t="shared" ca="1" si="67"/>
        <v>996</v>
      </c>
      <c r="K305" s="122" t="str">
        <f t="shared" ca="1" si="61"/>
        <v/>
      </c>
      <c r="L305" s="130" t="str">
        <f t="shared" ca="1" si="62"/>
        <v/>
      </c>
      <c r="M305" s="126">
        <f t="shared" ca="1" si="63"/>
        <v>995</v>
      </c>
      <c r="N305" s="58">
        <f t="shared" ca="1" si="68"/>
        <v>133</v>
      </c>
      <c r="O305" s="160">
        <f t="shared" ca="1" si="68"/>
        <v>126.85818854137875</v>
      </c>
    </row>
    <row r="306" spans="1:15" x14ac:dyDescent="0.25">
      <c r="A306" s="55">
        <f t="shared" ca="1" si="64"/>
        <v>248</v>
      </c>
      <c r="B306" s="55">
        <f t="shared" ca="1" si="55"/>
        <v>31.6</v>
      </c>
      <c r="C306" s="55">
        <f t="shared" ca="1" si="56"/>
        <v>25.533414337788582</v>
      </c>
      <c r="D306" s="55" t="str">
        <f t="shared" ca="1" si="57"/>
        <v>31.600 || 133.000</v>
      </c>
      <c r="E306" s="120">
        <f t="shared" ca="1" si="65"/>
        <v>2.1336573511543264</v>
      </c>
      <c r="F306" s="56" t="e">
        <f t="shared" ca="1" si="66"/>
        <v>#N/A</v>
      </c>
      <c r="G306" s="56" t="e">
        <f t="shared" ca="1" si="58"/>
        <v>#N/A</v>
      </c>
      <c r="H306" s="116" t="e">
        <f t="shared" ca="1" si="59"/>
        <v>#N/A</v>
      </c>
      <c r="I306" s="57" t="e">
        <f t="shared" ca="1" si="60"/>
        <v>#N/A</v>
      </c>
      <c r="J306" s="131">
        <f t="shared" ca="1" si="67"/>
        <v>996</v>
      </c>
      <c r="K306" s="122" t="str">
        <f t="shared" ca="1" si="61"/>
        <v/>
      </c>
      <c r="L306" s="130" t="str">
        <f t="shared" ca="1" si="62"/>
        <v/>
      </c>
      <c r="M306" s="126">
        <f t="shared" ca="1" si="63"/>
        <v>995</v>
      </c>
      <c r="N306" s="58">
        <f t="shared" ca="1" si="68"/>
        <v>133</v>
      </c>
      <c r="O306" s="160">
        <f t="shared" ca="1" si="68"/>
        <v>126.85818854137875</v>
      </c>
    </row>
    <row r="307" spans="1:15" x14ac:dyDescent="0.25">
      <c r="A307" s="55">
        <f t="shared" ca="1" si="64"/>
        <v>248</v>
      </c>
      <c r="B307" s="55">
        <f t="shared" ca="1" si="55"/>
        <v>31.6</v>
      </c>
      <c r="C307" s="55">
        <f t="shared" ca="1" si="56"/>
        <v>25.533414337788582</v>
      </c>
      <c r="D307" s="55" t="str">
        <f t="shared" ca="1" si="57"/>
        <v>31.600 || 133.000</v>
      </c>
      <c r="E307" s="120">
        <f t="shared" ca="1" si="65"/>
        <v>2.1336573511543264</v>
      </c>
      <c r="F307" s="56" t="e">
        <f t="shared" ca="1" si="66"/>
        <v>#N/A</v>
      </c>
      <c r="G307" s="56" t="e">
        <f t="shared" ca="1" si="58"/>
        <v>#N/A</v>
      </c>
      <c r="H307" s="116" t="e">
        <f t="shared" ca="1" si="59"/>
        <v>#N/A</v>
      </c>
      <c r="I307" s="57" t="e">
        <f t="shared" ca="1" si="60"/>
        <v>#N/A</v>
      </c>
      <c r="J307" s="131">
        <f t="shared" ca="1" si="67"/>
        <v>996</v>
      </c>
      <c r="K307" s="122" t="str">
        <f t="shared" ca="1" si="61"/>
        <v/>
      </c>
      <c r="L307" s="130" t="str">
        <f t="shared" ca="1" si="62"/>
        <v/>
      </c>
      <c r="M307" s="126">
        <f t="shared" ca="1" si="63"/>
        <v>995</v>
      </c>
      <c r="N307" s="58">
        <f t="shared" ca="1" si="68"/>
        <v>133</v>
      </c>
      <c r="O307" s="160">
        <f t="shared" ca="1" si="68"/>
        <v>126.85818854137875</v>
      </c>
    </row>
    <row r="308" spans="1:15" x14ac:dyDescent="0.25">
      <c r="A308" s="55">
        <f t="shared" ca="1" si="64"/>
        <v>248</v>
      </c>
      <c r="B308" s="55">
        <f t="shared" ca="1" si="55"/>
        <v>31.6</v>
      </c>
      <c r="C308" s="55">
        <f t="shared" ca="1" si="56"/>
        <v>25.533414337788582</v>
      </c>
      <c r="D308" s="55" t="str">
        <f t="shared" ca="1" si="57"/>
        <v>31.600 || 133.000</v>
      </c>
      <c r="E308" s="120">
        <f t="shared" ca="1" si="65"/>
        <v>2.1336573511543264</v>
      </c>
      <c r="F308" s="56" t="e">
        <f t="shared" ca="1" si="66"/>
        <v>#N/A</v>
      </c>
      <c r="G308" s="56" t="e">
        <f t="shared" ca="1" si="58"/>
        <v>#N/A</v>
      </c>
      <c r="H308" s="116" t="e">
        <f t="shared" ca="1" si="59"/>
        <v>#N/A</v>
      </c>
      <c r="I308" s="57" t="e">
        <f t="shared" ca="1" si="60"/>
        <v>#N/A</v>
      </c>
      <c r="J308" s="131">
        <f t="shared" ca="1" si="67"/>
        <v>996</v>
      </c>
      <c r="K308" s="122" t="str">
        <f t="shared" ca="1" si="61"/>
        <v/>
      </c>
      <c r="L308" s="130" t="str">
        <f t="shared" ca="1" si="62"/>
        <v/>
      </c>
      <c r="M308" s="126">
        <f t="shared" ca="1" si="63"/>
        <v>995</v>
      </c>
      <c r="N308" s="58">
        <f t="shared" ca="1" si="68"/>
        <v>133</v>
      </c>
      <c r="O308" s="160">
        <f t="shared" ca="1" si="68"/>
        <v>126.85818854137875</v>
      </c>
    </row>
    <row r="309" spans="1:15" x14ac:dyDescent="0.25">
      <c r="A309" s="55">
        <f t="shared" ca="1" si="64"/>
        <v>248</v>
      </c>
      <c r="B309" s="55">
        <f t="shared" ca="1" si="55"/>
        <v>31.6</v>
      </c>
      <c r="C309" s="55">
        <f t="shared" ca="1" si="56"/>
        <v>26.008958566629342</v>
      </c>
      <c r="D309" s="55" t="str">
        <f t="shared" ca="1" si="57"/>
        <v>31.600 || 147.000</v>
      </c>
      <c r="E309" s="120">
        <f t="shared" ca="1" si="65"/>
        <v>4.0358342665173694</v>
      </c>
      <c r="F309" s="56" t="e">
        <f t="shared" ca="1" si="66"/>
        <v>#N/A</v>
      </c>
      <c r="G309" s="56" t="e">
        <f t="shared" ca="1" si="58"/>
        <v>#N/A</v>
      </c>
      <c r="H309" s="116" t="e">
        <f t="shared" ca="1" si="59"/>
        <v>#N/A</v>
      </c>
      <c r="I309" s="57" t="e">
        <f t="shared" ca="1" si="60"/>
        <v>#N/A</v>
      </c>
      <c r="J309" s="131">
        <f t="shared" ca="1" si="67"/>
        <v>996</v>
      </c>
      <c r="K309" s="122" t="str">
        <f t="shared" ca="1" si="61"/>
        <v/>
      </c>
      <c r="L309" s="130" t="str">
        <f t="shared" ca="1" si="62"/>
        <v/>
      </c>
      <c r="M309" s="126">
        <f t="shared" ca="1" si="63"/>
        <v>995</v>
      </c>
      <c r="N309" s="58">
        <f t="shared" ca="1" si="68"/>
        <v>147</v>
      </c>
      <c r="O309" s="160">
        <f t="shared" ca="1" si="68"/>
        <v>139.82489048806724</v>
      </c>
    </row>
    <row r="310" spans="1:15" x14ac:dyDescent="0.25">
      <c r="A310" s="55">
        <f t="shared" ca="1" si="64"/>
        <v>248</v>
      </c>
      <c r="B310" s="55">
        <f t="shared" ca="1" si="55"/>
        <v>31.6</v>
      </c>
      <c r="C310" s="55">
        <f t="shared" ca="1" si="56"/>
        <v>26.008958566629342</v>
      </c>
      <c r="D310" s="55" t="str">
        <f t="shared" ca="1" si="57"/>
        <v>31.600 || 147.000</v>
      </c>
      <c r="E310" s="120">
        <f t="shared" ca="1" si="65"/>
        <v>4.0358342665173694</v>
      </c>
      <c r="F310" s="56" t="e">
        <f t="shared" ca="1" si="66"/>
        <v>#N/A</v>
      </c>
      <c r="G310" s="56" t="e">
        <f t="shared" ca="1" si="58"/>
        <v>#N/A</v>
      </c>
      <c r="H310" s="116" t="e">
        <f t="shared" ca="1" si="59"/>
        <v>#N/A</v>
      </c>
      <c r="I310" s="57" t="e">
        <f t="shared" ca="1" si="60"/>
        <v>#N/A</v>
      </c>
      <c r="J310" s="131">
        <f t="shared" ca="1" si="67"/>
        <v>996</v>
      </c>
      <c r="K310" s="122" t="str">
        <f t="shared" ca="1" si="61"/>
        <v/>
      </c>
      <c r="L310" s="130" t="str">
        <f t="shared" ca="1" si="62"/>
        <v/>
      </c>
      <c r="M310" s="126">
        <f t="shared" ca="1" si="63"/>
        <v>995</v>
      </c>
      <c r="N310" s="58">
        <f t="shared" ca="1" si="68"/>
        <v>147</v>
      </c>
      <c r="O310" s="160">
        <f t="shared" ca="1" si="68"/>
        <v>139.82489048806724</v>
      </c>
    </row>
    <row r="311" spans="1:15" x14ac:dyDescent="0.25">
      <c r="A311" s="55">
        <f t="shared" ca="1" si="64"/>
        <v>248</v>
      </c>
      <c r="B311" s="55">
        <f t="shared" ca="1" si="55"/>
        <v>31.6</v>
      </c>
      <c r="C311" s="55">
        <f t="shared" ca="1" si="56"/>
        <v>26.008958566629342</v>
      </c>
      <c r="D311" s="55" t="str">
        <f t="shared" ca="1" si="57"/>
        <v>31.600 || 147.000</v>
      </c>
      <c r="E311" s="120">
        <f t="shared" ca="1" si="65"/>
        <v>4.0358342665173694</v>
      </c>
      <c r="F311" s="56" t="e">
        <f t="shared" ca="1" si="66"/>
        <v>#N/A</v>
      </c>
      <c r="G311" s="56" t="e">
        <f t="shared" ca="1" si="58"/>
        <v>#N/A</v>
      </c>
      <c r="H311" s="116" t="e">
        <f t="shared" ca="1" si="59"/>
        <v>#N/A</v>
      </c>
      <c r="I311" s="57" t="e">
        <f t="shared" ca="1" si="60"/>
        <v>#N/A</v>
      </c>
      <c r="J311" s="131">
        <f t="shared" ca="1" si="67"/>
        <v>996</v>
      </c>
      <c r="K311" s="122" t="str">
        <f t="shared" ca="1" si="61"/>
        <v/>
      </c>
      <c r="L311" s="130" t="str">
        <f t="shared" ca="1" si="62"/>
        <v/>
      </c>
      <c r="M311" s="126">
        <f t="shared" ca="1" si="63"/>
        <v>995</v>
      </c>
      <c r="N311" s="58">
        <f t="shared" ca="1" si="68"/>
        <v>147</v>
      </c>
      <c r="O311" s="160">
        <f t="shared" ca="1" si="68"/>
        <v>139.82489048806724</v>
      </c>
    </row>
    <row r="312" spans="1:15" x14ac:dyDescent="0.25">
      <c r="A312" s="55">
        <f t="shared" ca="1" si="64"/>
        <v>248</v>
      </c>
      <c r="B312" s="55">
        <f t="shared" ca="1" si="55"/>
        <v>31.6</v>
      </c>
      <c r="C312" s="55">
        <f t="shared" ca="1" si="56"/>
        <v>26.008958566629342</v>
      </c>
      <c r="D312" s="55" t="str">
        <f t="shared" ca="1" si="57"/>
        <v>31.600 || 147.000</v>
      </c>
      <c r="E312" s="120">
        <f t="shared" ca="1" si="65"/>
        <v>4.0358342665173694</v>
      </c>
      <c r="F312" s="56" t="e">
        <f t="shared" ca="1" si="66"/>
        <v>#N/A</v>
      </c>
      <c r="G312" s="56" t="e">
        <f t="shared" ca="1" si="58"/>
        <v>#N/A</v>
      </c>
      <c r="H312" s="116" t="e">
        <f t="shared" ca="1" si="59"/>
        <v>#N/A</v>
      </c>
      <c r="I312" s="57" t="e">
        <f t="shared" ca="1" si="60"/>
        <v>#N/A</v>
      </c>
      <c r="J312" s="131">
        <f t="shared" ca="1" si="67"/>
        <v>996</v>
      </c>
      <c r="K312" s="122" t="str">
        <f t="shared" ca="1" si="61"/>
        <v/>
      </c>
      <c r="L312" s="130" t="str">
        <f t="shared" ca="1" si="62"/>
        <v/>
      </c>
      <c r="M312" s="126">
        <f t="shared" ca="1" si="63"/>
        <v>995</v>
      </c>
      <c r="N312" s="58">
        <f t="shared" ca="1" si="68"/>
        <v>147</v>
      </c>
      <c r="O312" s="160">
        <f t="shared" ca="1" si="68"/>
        <v>139.82489048806724</v>
      </c>
    </row>
    <row r="313" spans="1:15" x14ac:dyDescent="0.25">
      <c r="A313" s="55">
        <f t="shared" ca="1" si="64"/>
        <v>244</v>
      </c>
      <c r="B313" s="55">
        <f t="shared" ca="1" si="55"/>
        <v>28.699999999999996</v>
      </c>
      <c r="C313" s="55">
        <f t="shared" ca="1" si="56"/>
        <v>24.380702674357625</v>
      </c>
      <c r="D313" s="55" t="str">
        <f t="shared" ca="1" si="57"/>
        <v>28.700 || 162.000</v>
      </c>
      <c r="E313" s="120">
        <f t="shared" ca="1" si="65"/>
        <v>2.4771893025694993</v>
      </c>
      <c r="F313" s="56" t="e">
        <f t="shared" ca="1" si="66"/>
        <v>#N/A</v>
      </c>
      <c r="G313" s="56" t="e">
        <f t="shared" ca="1" si="58"/>
        <v>#N/A</v>
      </c>
      <c r="H313" s="116" t="e">
        <f t="shared" ca="1" si="59"/>
        <v>#N/A</v>
      </c>
      <c r="I313" s="57" t="e">
        <f t="shared" ca="1" si="60"/>
        <v>#N/A</v>
      </c>
      <c r="J313" s="131">
        <f t="shared" ca="1" si="67"/>
        <v>996</v>
      </c>
      <c r="K313" s="122" t="str">
        <f t="shared" ca="1" si="61"/>
        <v/>
      </c>
      <c r="L313" s="130" t="str">
        <f t="shared" ca="1" si="62"/>
        <v/>
      </c>
      <c r="M313" s="126">
        <f t="shared" ca="1" si="63"/>
        <v>995</v>
      </c>
      <c r="N313" s="58">
        <f t="shared" ca="1" si="68"/>
        <v>162.00000000000003</v>
      </c>
      <c r="O313" s="160">
        <f t="shared" ca="1" si="68"/>
        <v>154.3178537953402</v>
      </c>
    </row>
    <row r="314" spans="1:15" x14ac:dyDescent="0.25">
      <c r="A314" s="55">
        <f t="shared" ca="1" si="64"/>
        <v>244</v>
      </c>
      <c r="B314" s="55">
        <f t="shared" ca="1" si="55"/>
        <v>28.699999999999996</v>
      </c>
      <c r="C314" s="55">
        <f t="shared" ca="1" si="56"/>
        <v>24.380702674357625</v>
      </c>
      <c r="D314" s="55" t="str">
        <f t="shared" ca="1" si="57"/>
        <v>28.700 || 162.000</v>
      </c>
      <c r="E314" s="120">
        <f t="shared" ca="1" si="65"/>
        <v>2.4771893025694993</v>
      </c>
      <c r="F314" s="56" t="e">
        <f t="shared" ca="1" si="66"/>
        <v>#N/A</v>
      </c>
      <c r="G314" s="56" t="e">
        <f t="shared" ca="1" si="58"/>
        <v>#N/A</v>
      </c>
      <c r="H314" s="116" t="e">
        <f t="shared" ca="1" si="59"/>
        <v>#N/A</v>
      </c>
      <c r="I314" s="57" t="e">
        <f t="shared" ca="1" si="60"/>
        <v>#N/A</v>
      </c>
      <c r="J314" s="131">
        <f t="shared" ca="1" si="67"/>
        <v>996</v>
      </c>
      <c r="K314" s="122" t="str">
        <f t="shared" ca="1" si="61"/>
        <v/>
      </c>
      <c r="L314" s="130" t="str">
        <f t="shared" ca="1" si="62"/>
        <v/>
      </c>
      <c r="M314" s="126">
        <f t="shared" ca="1" si="63"/>
        <v>995</v>
      </c>
      <c r="N314" s="58">
        <f t="shared" ca="1" si="68"/>
        <v>162.00000000000003</v>
      </c>
      <c r="O314" s="160">
        <f t="shared" ca="1" si="68"/>
        <v>154.3178537953402</v>
      </c>
    </row>
    <row r="315" spans="1:15" x14ac:dyDescent="0.25">
      <c r="A315" s="55">
        <f t="shared" ca="1" si="64"/>
        <v>244</v>
      </c>
      <c r="B315" s="55">
        <f t="shared" ca="1" si="55"/>
        <v>28.699999999999996</v>
      </c>
      <c r="C315" s="55">
        <f t="shared" ca="1" si="56"/>
        <v>24.380702674357625</v>
      </c>
      <c r="D315" s="55" t="str">
        <f t="shared" ca="1" si="57"/>
        <v>28.700 || 162.000</v>
      </c>
      <c r="E315" s="120">
        <f t="shared" ca="1" si="65"/>
        <v>2.4771893025694993</v>
      </c>
      <c r="F315" s="56" t="e">
        <f t="shared" ca="1" si="66"/>
        <v>#N/A</v>
      </c>
      <c r="G315" s="56" t="e">
        <f t="shared" ca="1" si="58"/>
        <v>#N/A</v>
      </c>
      <c r="H315" s="116" t="e">
        <f t="shared" ca="1" si="59"/>
        <v>#N/A</v>
      </c>
      <c r="I315" s="57" t="e">
        <f t="shared" ca="1" si="60"/>
        <v>#N/A</v>
      </c>
      <c r="J315" s="131">
        <f t="shared" ca="1" si="67"/>
        <v>996</v>
      </c>
      <c r="K315" s="122" t="str">
        <f t="shared" ca="1" si="61"/>
        <v/>
      </c>
      <c r="L315" s="130" t="str">
        <f t="shared" ca="1" si="62"/>
        <v/>
      </c>
      <c r="M315" s="126">
        <f t="shared" ca="1" si="63"/>
        <v>995</v>
      </c>
      <c r="N315" s="58">
        <f t="shared" ca="1" si="68"/>
        <v>162.00000000000003</v>
      </c>
      <c r="O315" s="160">
        <f t="shared" ca="1" si="68"/>
        <v>154.3178537953402</v>
      </c>
    </row>
    <row r="316" spans="1:15" x14ac:dyDescent="0.25">
      <c r="A316" s="55">
        <f t="shared" ca="1" si="64"/>
        <v>244</v>
      </c>
      <c r="B316" s="55">
        <f t="shared" ca="1" si="55"/>
        <v>28.699999999999996</v>
      </c>
      <c r="C316" s="55">
        <f t="shared" ca="1" si="56"/>
        <v>24.380702674357625</v>
      </c>
      <c r="D316" s="55" t="str">
        <f t="shared" ca="1" si="57"/>
        <v>28.700 || 162.000</v>
      </c>
      <c r="E316" s="120">
        <f t="shared" ca="1" si="65"/>
        <v>2.4771893025694993</v>
      </c>
      <c r="F316" s="56" t="e">
        <f t="shared" ca="1" si="66"/>
        <v>#N/A</v>
      </c>
      <c r="G316" s="56" t="e">
        <f t="shared" ca="1" si="58"/>
        <v>#N/A</v>
      </c>
      <c r="H316" s="116" t="e">
        <f t="shared" ca="1" si="59"/>
        <v>#N/A</v>
      </c>
      <c r="I316" s="57" t="e">
        <f t="shared" ca="1" si="60"/>
        <v>#N/A</v>
      </c>
      <c r="J316" s="131">
        <f t="shared" ca="1" si="67"/>
        <v>996</v>
      </c>
      <c r="K316" s="122" t="str">
        <f t="shared" ca="1" si="61"/>
        <v/>
      </c>
      <c r="L316" s="130" t="str">
        <f t="shared" ca="1" si="62"/>
        <v/>
      </c>
      <c r="M316" s="126">
        <f t="shared" ca="1" si="63"/>
        <v>995</v>
      </c>
      <c r="N316" s="58">
        <f t="shared" ca="1" si="68"/>
        <v>162.00000000000003</v>
      </c>
      <c r="O316" s="160">
        <f t="shared" ca="1" si="68"/>
        <v>154.3178537953402</v>
      </c>
    </row>
    <row r="317" spans="1:15" x14ac:dyDescent="0.25">
      <c r="A317" s="55">
        <f t="shared" ca="1" si="64"/>
        <v>244</v>
      </c>
      <c r="B317" s="55">
        <f t="shared" ca="1" si="55"/>
        <v>28.699999999999996</v>
      </c>
      <c r="C317" s="55">
        <f t="shared" ca="1" si="56"/>
        <v>24.715045960328975</v>
      </c>
      <c r="D317" s="55" t="str">
        <f t="shared" ca="1" si="57"/>
        <v>28.700 || 178.000</v>
      </c>
      <c r="E317" s="120">
        <f t="shared" ca="1" si="65"/>
        <v>1.1398161586840985</v>
      </c>
      <c r="F317" s="56" t="e">
        <f t="shared" ca="1" si="66"/>
        <v>#N/A</v>
      </c>
      <c r="G317" s="56" t="e">
        <f t="shared" ca="1" si="58"/>
        <v>#N/A</v>
      </c>
      <c r="H317" s="116" t="e">
        <f t="shared" ca="1" si="59"/>
        <v>#N/A</v>
      </c>
      <c r="I317" s="57" t="e">
        <f t="shared" ca="1" si="60"/>
        <v>#N/A</v>
      </c>
      <c r="J317" s="131">
        <f t="shared" ca="1" si="67"/>
        <v>996</v>
      </c>
      <c r="K317" s="122" t="str">
        <f t="shared" ca="1" si="61"/>
        <v/>
      </c>
      <c r="L317" s="130" t="str">
        <f t="shared" ca="1" si="62"/>
        <v/>
      </c>
      <c r="M317" s="126">
        <f t="shared" ca="1" si="63"/>
        <v>995</v>
      </c>
      <c r="N317" s="58">
        <f t="shared" ca="1" si="68"/>
        <v>177.99999999999997</v>
      </c>
      <c r="O317" s="160">
        <f t="shared" ca="1" si="68"/>
        <v>169.81166037701888</v>
      </c>
    </row>
    <row r="318" spans="1:15" x14ac:dyDescent="0.25">
      <c r="A318" s="55">
        <f t="shared" ca="1" si="64"/>
        <v>244</v>
      </c>
      <c r="B318" s="55">
        <f t="shared" ca="1" si="55"/>
        <v>28.699999999999996</v>
      </c>
      <c r="C318" s="55">
        <f t="shared" ca="1" si="56"/>
        <v>24.715045960328975</v>
      </c>
      <c r="D318" s="55" t="str">
        <f t="shared" ca="1" si="57"/>
        <v>28.700 || 178.000</v>
      </c>
      <c r="E318" s="120">
        <f t="shared" ca="1" si="65"/>
        <v>1.1398161586840985</v>
      </c>
      <c r="F318" s="56" t="e">
        <f t="shared" ca="1" si="66"/>
        <v>#N/A</v>
      </c>
      <c r="G318" s="56" t="e">
        <f t="shared" ca="1" si="58"/>
        <v>#N/A</v>
      </c>
      <c r="H318" s="116" t="e">
        <f t="shared" ca="1" si="59"/>
        <v>#N/A</v>
      </c>
      <c r="I318" s="57" t="e">
        <f t="shared" ca="1" si="60"/>
        <v>#N/A</v>
      </c>
      <c r="J318" s="131">
        <f t="shared" ca="1" si="67"/>
        <v>996</v>
      </c>
      <c r="K318" s="122" t="str">
        <f t="shared" ca="1" si="61"/>
        <v/>
      </c>
      <c r="L318" s="130" t="str">
        <f t="shared" ca="1" si="62"/>
        <v/>
      </c>
      <c r="M318" s="126">
        <f t="shared" ca="1" si="63"/>
        <v>995</v>
      </c>
      <c r="N318" s="58">
        <f t="shared" ca="1" si="68"/>
        <v>177.99999999999997</v>
      </c>
      <c r="O318" s="160">
        <f t="shared" ca="1" si="68"/>
        <v>169.81166037701888</v>
      </c>
    </row>
    <row r="319" spans="1:15" x14ac:dyDescent="0.25">
      <c r="A319" s="55">
        <f t="shared" ca="1" si="64"/>
        <v>244</v>
      </c>
      <c r="B319" s="55">
        <f t="shared" ca="1" si="55"/>
        <v>28.699999999999996</v>
      </c>
      <c r="C319" s="55">
        <f t="shared" ca="1" si="56"/>
        <v>24.715045960328975</v>
      </c>
      <c r="D319" s="55" t="str">
        <f t="shared" ca="1" si="57"/>
        <v>28.700 || 178.000</v>
      </c>
      <c r="E319" s="120">
        <f t="shared" ca="1" si="65"/>
        <v>1.1398161586840985</v>
      </c>
      <c r="F319" s="56" t="e">
        <f t="shared" ca="1" si="66"/>
        <v>#N/A</v>
      </c>
      <c r="G319" s="56" t="e">
        <f t="shared" ca="1" si="58"/>
        <v>#N/A</v>
      </c>
      <c r="H319" s="116" t="e">
        <f t="shared" ca="1" si="59"/>
        <v>#N/A</v>
      </c>
      <c r="I319" s="57" t="e">
        <f t="shared" ca="1" si="60"/>
        <v>#N/A</v>
      </c>
      <c r="J319" s="131">
        <f t="shared" ca="1" si="67"/>
        <v>996</v>
      </c>
      <c r="K319" s="122" t="str">
        <f t="shared" ca="1" si="61"/>
        <v/>
      </c>
      <c r="L319" s="130" t="str">
        <f t="shared" ca="1" si="62"/>
        <v/>
      </c>
      <c r="M319" s="126">
        <f t="shared" ca="1" si="63"/>
        <v>995</v>
      </c>
      <c r="N319" s="58">
        <f t="shared" ca="1" si="68"/>
        <v>177.99999999999997</v>
      </c>
      <c r="O319" s="160">
        <f t="shared" ca="1" si="68"/>
        <v>169.81166037701888</v>
      </c>
    </row>
    <row r="320" spans="1:15" x14ac:dyDescent="0.25">
      <c r="A320" s="55">
        <f t="shared" ca="1" si="64"/>
        <v>244</v>
      </c>
      <c r="B320" s="55">
        <f t="shared" ca="1" si="55"/>
        <v>28.699999999999996</v>
      </c>
      <c r="C320" s="55">
        <f t="shared" ca="1" si="56"/>
        <v>24.715045960328975</v>
      </c>
      <c r="D320" s="55" t="str">
        <f t="shared" ca="1" si="57"/>
        <v>28.700 || 178.000</v>
      </c>
      <c r="E320" s="120">
        <f t="shared" ca="1" si="65"/>
        <v>1.1398161586840985</v>
      </c>
      <c r="F320" s="56" t="e">
        <f t="shared" ca="1" si="66"/>
        <v>#N/A</v>
      </c>
      <c r="G320" s="56" t="e">
        <f t="shared" ca="1" si="58"/>
        <v>#N/A</v>
      </c>
      <c r="H320" s="116" t="e">
        <f t="shared" ca="1" si="59"/>
        <v>#N/A</v>
      </c>
      <c r="I320" s="57" t="e">
        <f t="shared" ca="1" si="60"/>
        <v>#N/A</v>
      </c>
      <c r="J320" s="131">
        <f t="shared" ca="1" si="67"/>
        <v>996</v>
      </c>
      <c r="K320" s="122" t="str">
        <f t="shared" ca="1" si="61"/>
        <v/>
      </c>
      <c r="L320" s="130" t="str">
        <f t="shared" ca="1" si="62"/>
        <v/>
      </c>
      <c r="M320" s="126">
        <f t="shared" ca="1" si="63"/>
        <v>995</v>
      </c>
      <c r="N320" s="58">
        <f t="shared" ca="1" si="68"/>
        <v>177.99999999999997</v>
      </c>
      <c r="O320" s="160">
        <f t="shared" ca="1" si="68"/>
        <v>169.81166037701888</v>
      </c>
    </row>
    <row r="321" spans="1:15" x14ac:dyDescent="0.25">
      <c r="A321" s="55">
        <f t="shared" ca="1" si="64"/>
        <v>244</v>
      </c>
      <c r="B321" s="55">
        <f t="shared" ca="1" si="55"/>
        <v>28.699999999999996</v>
      </c>
      <c r="C321" s="55">
        <f t="shared" ca="1" si="56"/>
        <v>25.034267912772584</v>
      </c>
      <c r="D321" s="55" t="str">
        <f t="shared" ca="1" si="57"/>
        <v>28.700 || 196.000</v>
      </c>
      <c r="E321" s="120">
        <f t="shared" ca="1" si="65"/>
        <v>0.13707165109033781</v>
      </c>
      <c r="F321" s="56" t="e">
        <f t="shared" ca="1" si="66"/>
        <v>#N/A</v>
      </c>
      <c r="G321" s="56" t="e">
        <f t="shared" ca="1" si="58"/>
        <v>#N/A</v>
      </c>
      <c r="H321" s="116" t="e">
        <f t="shared" ca="1" si="59"/>
        <v>#N/A</v>
      </c>
      <c r="I321" s="57" t="e">
        <f t="shared" ca="1" si="60"/>
        <v>#N/A</v>
      </c>
      <c r="J321" s="131">
        <f t="shared" ca="1" si="67"/>
        <v>996</v>
      </c>
      <c r="K321" s="122" t="str">
        <f t="shared" ca="1" si="61"/>
        <v>28.700 || 196.000</v>
      </c>
      <c r="L321" s="130">
        <f t="shared" ca="1" si="62"/>
        <v>25.034267912772584</v>
      </c>
      <c r="M321" s="126">
        <f t="shared" ca="1" si="63"/>
        <v>0.13707165109033781</v>
      </c>
      <c r="N321" s="58">
        <f t="shared" ca="1" si="68"/>
        <v>196</v>
      </c>
      <c r="O321" s="160">
        <f t="shared" ca="1" si="68"/>
        <v>186.78329689776871</v>
      </c>
    </row>
    <row r="322" spans="1:15" x14ac:dyDescent="0.25">
      <c r="A322" s="55">
        <f t="shared" ca="1" si="64"/>
        <v>244</v>
      </c>
      <c r="B322" s="55">
        <f t="shared" ca="1" si="55"/>
        <v>28.699999999999996</v>
      </c>
      <c r="C322" s="55">
        <f t="shared" ca="1" si="56"/>
        <v>25.034267912772584</v>
      </c>
      <c r="D322" s="55" t="str">
        <f t="shared" ca="1" si="57"/>
        <v>28.700 || 196.000</v>
      </c>
      <c r="E322" s="120">
        <f t="shared" ca="1" si="65"/>
        <v>0.13707165109033781</v>
      </c>
      <c r="F322" s="56" t="e">
        <f t="shared" ca="1" si="66"/>
        <v>#N/A</v>
      </c>
      <c r="G322" s="56" t="e">
        <f t="shared" ca="1" si="58"/>
        <v>#N/A</v>
      </c>
      <c r="H322" s="116" t="e">
        <f t="shared" ca="1" si="59"/>
        <v>#N/A</v>
      </c>
      <c r="I322" s="57" t="e">
        <f t="shared" ca="1" si="60"/>
        <v>#N/A</v>
      </c>
      <c r="J322" s="131">
        <f t="shared" ca="1" si="67"/>
        <v>996</v>
      </c>
      <c r="K322" s="122" t="str">
        <f t="shared" ca="1" si="61"/>
        <v>28.700 || 196.000</v>
      </c>
      <c r="L322" s="130">
        <f t="shared" ca="1" si="62"/>
        <v>25.034267912772584</v>
      </c>
      <c r="M322" s="126">
        <f t="shared" ca="1" si="63"/>
        <v>0.13707165109033781</v>
      </c>
      <c r="N322" s="58">
        <f t="shared" ca="1" si="68"/>
        <v>196</v>
      </c>
      <c r="O322" s="160">
        <f t="shared" ca="1" si="68"/>
        <v>186.78329689776871</v>
      </c>
    </row>
    <row r="323" spans="1:15" x14ac:dyDescent="0.25">
      <c r="A323" s="55">
        <f t="shared" ca="1" si="64"/>
        <v>244</v>
      </c>
      <c r="B323" s="55">
        <f t="shared" ca="1" si="55"/>
        <v>28.699999999999996</v>
      </c>
      <c r="C323" s="55">
        <f t="shared" ca="1" si="56"/>
        <v>25.034267912772584</v>
      </c>
      <c r="D323" s="55" t="str">
        <f t="shared" ca="1" si="57"/>
        <v>28.700 || 196.000</v>
      </c>
      <c r="E323" s="120">
        <f t="shared" ca="1" si="65"/>
        <v>0.13707165109033781</v>
      </c>
      <c r="F323" s="56" t="e">
        <f t="shared" ca="1" si="66"/>
        <v>#N/A</v>
      </c>
      <c r="G323" s="56" t="e">
        <f t="shared" ca="1" si="58"/>
        <v>#N/A</v>
      </c>
      <c r="H323" s="116" t="e">
        <f t="shared" ca="1" si="59"/>
        <v>#N/A</v>
      </c>
      <c r="I323" s="57" t="e">
        <f t="shared" ca="1" si="60"/>
        <v>#N/A</v>
      </c>
      <c r="J323" s="131">
        <f t="shared" ca="1" si="67"/>
        <v>996</v>
      </c>
      <c r="K323" s="122" t="str">
        <f t="shared" ca="1" si="61"/>
        <v>28.700 || 196.000</v>
      </c>
      <c r="L323" s="130">
        <f t="shared" ca="1" si="62"/>
        <v>25.034267912772584</v>
      </c>
      <c r="M323" s="126">
        <f t="shared" ca="1" si="63"/>
        <v>0.13707165109033781</v>
      </c>
      <c r="N323" s="58">
        <f t="shared" ca="1" si="68"/>
        <v>196</v>
      </c>
      <c r="O323" s="160">
        <f t="shared" ca="1" si="68"/>
        <v>186.78329689776871</v>
      </c>
    </row>
    <row r="324" spans="1:15" x14ac:dyDescent="0.25">
      <c r="A324" s="55">
        <f t="shared" ca="1" si="64"/>
        <v>244</v>
      </c>
      <c r="B324" s="55">
        <f t="shared" ca="1" si="55"/>
        <v>28.699999999999996</v>
      </c>
      <c r="C324" s="55">
        <f t="shared" ca="1" si="56"/>
        <v>25.034267912772584</v>
      </c>
      <c r="D324" s="55" t="str">
        <f t="shared" ca="1" si="57"/>
        <v>28.700 || 196.000</v>
      </c>
      <c r="E324" s="120">
        <f t="shared" ca="1" si="65"/>
        <v>0.13707165109033781</v>
      </c>
      <c r="F324" s="56" t="e">
        <f t="shared" ca="1" si="66"/>
        <v>#N/A</v>
      </c>
      <c r="G324" s="56" t="e">
        <f t="shared" ca="1" si="58"/>
        <v>#N/A</v>
      </c>
      <c r="H324" s="116" t="e">
        <f t="shared" ca="1" si="59"/>
        <v>#N/A</v>
      </c>
      <c r="I324" s="57" t="e">
        <f t="shared" ca="1" si="60"/>
        <v>#N/A</v>
      </c>
      <c r="J324" s="131">
        <f t="shared" ca="1" si="67"/>
        <v>996</v>
      </c>
      <c r="K324" s="122" t="str">
        <f t="shared" ca="1" si="61"/>
        <v>28.700 || 196.000</v>
      </c>
      <c r="L324" s="130">
        <f t="shared" ca="1" si="62"/>
        <v>25.034267912772584</v>
      </c>
      <c r="M324" s="126">
        <f t="shared" ca="1" si="63"/>
        <v>0.13707165109033781</v>
      </c>
      <c r="N324" s="58">
        <f t="shared" ca="1" si="68"/>
        <v>196</v>
      </c>
      <c r="O324" s="160">
        <f t="shared" ca="1" si="68"/>
        <v>186.78329689776871</v>
      </c>
    </row>
    <row r="325" spans="1:15" x14ac:dyDescent="0.25">
      <c r="A325" s="55">
        <f t="shared" ca="1" si="64"/>
        <v>244</v>
      </c>
      <c r="B325" s="55">
        <f t="shared" ca="1" si="55"/>
        <v>28.699999999999996</v>
      </c>
      <c r="C325" s="55">
        <f t="shared" ca="1" si="56"/>
        <v>25.320065654493227</v>
      </c>
      <c r="D325" s="55" t="str">
        <f t="shared" ca="1" si="57"/>
        <v>28.700 || 215.000</v>
      </c>
      <c r="E325" s="120">
        <f t="shared" ca="1" si="65"/>
        <v>1.2802626179729089</v>
      </c>
      <c r="F325" s="56" t="e">
        <f t="shared" ca="1" si="66"/>
        <v>#N/A</v>
      </c>
      <c r="G325" s="56" t="e">
        <f t="shared" ca="1" si="58"/>
        <v>#N/A</v>
      </c>
      <c r="H325" s="116" t="e">
        <f t="shared" ca="1" si="59"/>
        <v>#N/A</v>
      </c>
      <c r="I325" s="57" t="e">
        <f t="shared" ca="1" si="60"/>
        <v>#N/A</v>
      </c>
      <c r="J325" s="131">
        <f t="shared" ca="1" si="67"/>
        <v>996</v>
      </c>
      <c r="K325" s="122" t="str">
        <f t="shared" ca="1" si="61"/>
        <v/>
      </c>
      <c r="L325" s="130" t="str">
        <f t="shared" ca="1" si="62"/>
        <v/>
      </c>
      <c r="M325" s="126">
        <f t="shared" ca="1" si="63"/>
        <v>995</v>
      </c>
      <c r="N325" s="58">
        <f t="shared" ca="1" si="68"/>
        <v>215</v>
      </c>
      <c r="O325" s="160">
        <f t="shared" ca="1" si="68"/>
        <v>205.28029618061254</v>
      </c>
    </row>
    <row r="326" spans="1:15" x14ac:dyDescent="0.25">
      <c r="A326" s="55">
        <f t="shared" ca="1" si="64"/>
        <v>244</v>
      </c>
      <c r="B326" s="55">
        <f t="shared" ref="B326:B389" ca="1" si="69">INDEX($N$1:$N$774,A326)</f>
        <v>28.699999999999996</v>
      </c>
      <c r="C326" s="55">
        <f t="shared" ref="C326:C389" ca="1" si="70">1/(1/B326+1/N326)</f>
        <v>25.320065654493227</v>
      </c>
      <c r="D326" s="55" t="str">
        <f t="shared" ref="D326:D389" ca="1" si="71">CONCATENATE(TEXT(MIN(B326,N326),"#0.000#")," || ",TEXT(MAX(B326,N326),"#0.000#"))</f>
        <v>28.700 || 215.000</v>
      </c>
      <c r="E326" s="120">
        <f t="shared" ca="1" si="65"/>
        <v>1.2802626179729089</v>
      </c>
      <c r="F326" s="56" t="e">
        <f t="shared" ca="1" si="66"/>
        <v>#N/A</v>
      </c>
      <c r="G326" s="56" t="e">
        <f t="shared" ref="G326:G389" ca="1" si="72">INDEX($N$1:$N$774,F326)</f>
        <v>#N/A</v>
      </c>
      <c r="H326" s="116" t="e">
        <f t="shared" ref="H326:H389" ca="1" si="73">G326+N326</f>
        <v>#N/A</v>
      </c>
      <c r="I326" s="57" t="e">
        <f t="shared" ref="I326:I389" ca="1" si="74">CONCATENATE(TEXT(MIN(G326,N326),"#0.000#")," + ",TEXT(MAX(G326,N326),"#0.000#"))</f>
        <v>#N/A</v>
      </c>
      <c r="J326" s="131">
        <f t="shared" ca="1" si="67"/>
        <v>996</v>
      </c>
      <c r="K326" s="122" t="str">
        <f t="shared" ref="K326:K389" ca="1" si="75">IF(E326&lt;$C$4,D326,IF(J326&lt;$C$4,I326,""))</f>
        <v/>
      </c>
      <c r="L326" s="130" t="str">
        <f t="shared" ref="L326:L389" ca="1" si="76">IF(E326&lt;$C$4,C326,IF(J326&lt;$C$4,H326,""))</f>
        <v/>
      </c>
      <c r="M326" s="126">
        <f t="shared" ref="M326:M389" ca="1" si="77">IF(E326&lt;=$C$4,E326,IF(J326&lt;=$C$4,J326,995))</f>
        <v>995</v>
      </c>
      <c r="N326" s="58">
        <f t="shared" ca="1" si="68"/>
        <v>215</v>
      </c>
      <c r="O326" s="160">
        <f t="shared" ca="1" si="68"/>
        <v>205.28029618061254</v>
      </c>
    </row>
    <row r="327" spans="1:15" x14ac:dyDescent="0.25">
      <c r="A327" s="55">
        <f t="shared" ref="A327:A390" ca="1" si="78">MATCH(1/($A$5-(1/N327)),$O$1:$O$775,1)</f>
        <v>244</v>
      </c>
      <c r="B327" s="55">
        <f t="shared" ca="1" si="69"/>
        <v>28.699999999999996</v>
      </c>
      <c r="C327" s="55">
        <f t="shared" ca="1" si="70"/>
        <v>25.320065654493227</v>
      </c>
      <c r="D327" s="55" t="str">
        <f t="shared" ca="1" si="71"/>
        <v>28.700 || 215.000</v>
      </c>
      <c r="E327" s="120">
        <f t="shared" ref="E327:E390" ca="1" si="79">IFERROR(IF(OR(B327=0,AND(B327&lt;&gt;$A$4,N327&lt;&gt;$A$4)),ABS($A$4-C327)/$E$5,999),998)</f>
        <v>1.2802626179729089</v>
      </c>
      <c r="F327" s="56" t="e">
        <f t="shared" ref="F327:F390" ca="1" si="80">MATCH($A$4-N327,$O$1:$O$774,1)</f>
        <v>#N/A</v>
      </c>
      <c r="G327" s="56" t="e">
        <f t="shared" ca="1" si="72"/>
        <v>#N/A</v>
      </c>
      <c r="H327" s="116" t="e">
        <f t="shared" ca="1" si="73"/>
        <v>#N/A</v>
      </c>
      <c r="I327" s="57" t="e">
        <f t="shared" ca="1" si="74"/>
        <v>#N/A</v>
      </c>
      <c r="J327" s="131">
        <f t="shared" ref="J327:J390" ca="1" si="81">IFERROR(IF(OR(G327=0,AND(G327&lt;&gt;$A$4,N327&lt;&gt;$A$4)),ABS($A$4-H327)/$E$5,997),996)</f>
        <v>996</v>
      </c>
      <c r="K327" s="122" t="str">
        <f t="shared" ca="1" si="75"/>
        <v/>
      </c>
      <c r="L327" s="130" t="str">
        <f t="shared" ca="1" si="76"/>
        <v/>
      </c>
      <c r="M327" s="126">
        <f t="shared" ca="1" si="77"/>
        <v>995</v>
      </c>
      <c r="N327" s="58">
        <f t="shared" ca="1" si="68"/>
        <v>215</v>
      </c>
      <c r="O327" s="160">
        <f t="shared" ca="1" si="68"/>
        <v>205.28029618061254</v>
      </c>
    </row>
    <row r="328" spans="1:15" x14ac:dyDescent="0.25">
      <c r="A328" s="55">
        <f t="shared" ca="1" si="78"/>
        <v>244</v>
      </c>
      <c r="B328" s="55">
        <f t="shared" ca="1" si="69"/>
        <v>28.699999999999996</v>
      </c>
      <c r="C328" s="55">
        <f t="shared" ca="1" si="70"/>
        <v>25.320065654493227</v>
      </c>
      <c r="D328" s="55" t="str">
        <f t="shared" ca="1" si="71"/>
        <v>28.700 || 215.000</v>
      </c>
      <c r="E328" s="120">
        <f t="shared" ca="1" si="79"/>
        <v>1.2802626179729089</v>
      </c>
      <c r="F328" s="56" t="e">
        <f t="shared" ca="1" si="80"/>
        <v>#N/A</v>
      </c>
      <c r="G328" s="56" t="e">
        <f t="shared" ca="1" si="72"/>
        <v>#N/A</v>
      </c>
      <c r="H328" s="116" t="e">
        <f t="shared" ca="1" si="73"/>
        <v>#N/A</v>
      </c>
      <c r="I328" s="57" t="e">
        <f t="shared" ca="1" si="74"/>
        <v>#N/A</v>
      </c>
      <c r="J328" s="131">
        <f t="shared" ca="1" si="81"/>
        <v>996</v>
      </c>
      <c r="K328" s="122" t="str">
        <f t="shared" ca="1" si="75"/>
        <v/>
      </c>
      <c r="L328" s="130" t="str">
        <f t="shared" ca="1" si="76"/>
        <v/>
      </c>
      <c r="M328" s="126">
        <f t="shared" ca="1" si="77"/>
        <v>995</v>
      </c>
      <c r="N328" s="58">
        <f t="shared" ca="1" si="68"/>
        <v>215</v>
      </c>
      <c r="O328" s="160">
        <f t="shared" ca="1" si="68"/>
        <v>205.28029618061254</v>
      </c>
    </row>
    <row r="329" spans="1:15" x14ac:dyDescent="0.25">
      <c r="A329" s="55">
        <f t="shared" ca="1" si="78"/>
        <v>244</v>
      </c>
      <c r="B329" s="55">
        <f t="shared" ca="1" si="69"/>
        <v>28.699999999999996</v>
      </c>
      <c r="C329" s="55">
        <f t="shared" ca="1" si="70"/>
        <v>25.599924727135868</v>
      </c>
      <c r="D329" s="55" t="str">
        <f t="shared" ca="1" si="71"/>
        <v>28.700 || 237.000</v>
      </c>
      <c r="E329" s="120">
        <f t="shared" ca="1" si="79"/>
        <v>2.3996989085434706</v>
      </c>
      <c r="F329" s="56" t="e">
        <f t="shared" ca="1" si="80"/>
        <v>#N/A</v>
      </c>
      <c r="G329" s="56" t="e">
        <f t="shared" ca="1" si="72"/>
        <v>#N/A</v>
      </c>
      <c r="H329" s="116" t="e">
        <f t="shared" ca="1" si="73"/>
        <v>#N/A</v>
      </c>
      <c r="I329" s="57" t="e">
        <f t="shared" ca="1" si="74"/>
        <v>#N/A</v>
      </c>
      <c r="J329" s="131">
        <f t="shared" ca="1" si="81"/>
        <v>996</v>
      </c>
      <c r="K329" s="122" t="str">
        <f t="shared" ca="1" si="75"/>
        <v/>
      </c>
      <c r="L329" s="130" t="str">
        <f t="shared" ca="1" si="76"/>
        <v/>
      </c>
      <c r="M329" s="126">
        <f t="shared" ca="1" si="77"/>
        <v>995</v>
      </c>
      <c r="N329" s="58">
        <f t="shared" ca="1" si="68"/>
        <v>237.00000000000003</v>
      </c>
      <c r="O329" s="160">
        <f t="shared" ca="1" si="68"/>
        <v>225.73214215082442</v>
      </c>
    </row>
    <row r="330" spans="1:15" x14ac:dyDescent="0.25">
      <c r="A330" s="55">
        <f t="shared" ca="1" si="78"/>
        <v>244</v>
      </c>
      <c r="B330" s="55">
        <f t="shared" ca="1" si="69"/>
        <v>28.699999999999996</v>
      </c>
      <c r="C330" s="55">
        <f t="shared" ca="1" si="70"/>
        <v>25.599924727135868</v>
      </c>
      <c r="D330" s="55" t="str">
        <f t="shared" ca="1" si="71"/>
        <v>28.700 || 237.000</v>
      </c>
      <c r="E330" s="120">
        <f t="shared" ca="1" si="79"/>
        <v>2.3996989085434706</v>
      </c>
      <c r="F330" s="56" t="e">
        <f t="shared" ca="1" si="80"/>
        <v>#N/A</v>
      </c>
      <c r="G330" s="56" t="e">
        <f t="shared" ca="1" si="72"/>
        <v>#N/A</v>
      </c>
      <c r="H330" s="116" t="e">
        <f t="shared" ca="1" si="73"/>
        <v>#N/A</v>
      </c>
      <c r="I330" s="57" t="e">
        <f t="shared" ca="1" si="74"/>
        <v>#N/A</v>
      </c>
      <c r="J330" s="131">
        <f t="shared" ca="1" si="81"/>
        <v>996</v>
      </c>
      <c r="K330" s="122" t="str">
        <f t="shared" ca="1" si="75"/>
        <v/>
      </c>
      <c r="L330" s="130" t="str">
        <f t="shared" ca="1" si="76"/>
        <v/>
      </c>
      <c r="M330" s="126">
        <f t="shared" ca="1" si="77"/>
        <v>995</v>
      </c>
      <c r="N330" s="58">
        <f t="shared" ca="1" si="68"/>
        <v>237.00000000000003</v>
      </c>
      <c r="O330" s="160">
        <f t="shared" ca="1" si="68"/>
        <v>225.73214215082442</v>
      </c>
    </row>
    <row r="331" spans="1:15" x14ac:dyDescent="0.25">
      <c r="A331" s="55">
        <f t="shared" ca="1" si="78"/>
        <v>244</v>
      </c>
      <c r="B331" s="55">
        <f t="shared" ca="1" si="69"/>
        <v>28.699999999999996</v>
      </c>
      <c r="C331" s="55">
        <f t="shared" ca="1" si="70"/>
        <v>25.599924727135868</v>
      </c>
      <c r="D331" s="55" t="str">
        <f t="shared" ca="1" si="71"/>
        <v>28.700 || 237.000</v>
      </c>
      <c r="E331" s="120">
        <f t="shared" ca="1" si="79"/>
        <v>2.3996989085434706</v>
      </c>
      <c r="F331" s="56" t="e">
        <f t="shared" ca="1" si="80"/>
        <v>#N/A</v>
      </c>
      <c r="G331" s="56" t="e">
        <f t="shared" ca="1" si="72"/>
        <v>#N/A</v>
      </c>
      <c r="H331" s="116" t="e">
        <f t="shared" ca="1" si="73"/>
        <v>#N/A</v>
      </c>
      <c r="I331" s="57" t="e">
        <f t="shared" ca="1" si="74"/>
        <v>#N/A</v>
      </c>
      <c r="J331" s="131">
        <f t="shared" ca="1" si="81"/>
        <v>996</v>
      </c>
      <c r="K331" s="122" t="str">
        <f t="shared" ca="1" si="75"/>
        <v/>
      </c>
      <c r="L331" s="130" t="str">
        <f t="shared" ca="1" si="76"/>
        <v/>
      </c>
      <c r="M331" s="126">
        <f t="shared" ca="1" si="77"/>
        <v>995</v>
      </c>
      <c r="N331" s="58">
        <f t="shared" ca="1" si="68"/>
        <v>237.00000000000003</v>
      </c>
      <c r="O331" s="160">
        <f t="shared" ca="1" si="68"/>
        <v>225.73214215082442</v>
      </c>
    </row>
    <row r="332" spans="1:15" x14ac:dyDescent="0.25">
      <c r="A332" s="55">
        <f t="shared" ca="1" si="78"/>
        <v>244</v>
      </c>
      <c r="B332" s="55">
        <f t="shared" ca="1" si="69"/>
        <v>28.699999999999996</v>
      </c>
      <c r="C332" s="55">
        <f t="shared" ca="1" si="70"/>
        <v>25.599924727135868</v>
      </c>
      <c r="D332" s="55" t="str">
        <f t="shared" ca="1" si="71"/>
        <v>28.700 || 237.000</v>
      </c>
      <c r="E332" s="120">
        <f t="shared" ca="1" si="79"/>
        <v>2.3996989085434706</v>
      </c>
      <c r="F332" s="56" t="e">
        <f t="shared" ca="1" si="80"/>
        <v>#N/A</v>
      </c>
      <c r="G332" s="56" t="e">
        <f t="shared" ca="1" si="72"/>
        <v>#N/A</v>
      </c>
      <c r="H332" s="116" t="e">
        <f t="shared" ca="1" si="73"/>
        <v>#N/A</v>
      </c>
      <c r="I332" s="57" t="e">
        <f t="shared" ca="1" si="74"/>
        <v>#N/A</v>
      </c>
      <c r="J332" s="131">
        <f t="shared" ca="1" si="81"/>
        <v>996</v>
      </c>
      <c r="K332" s="122" t="str">
        <f t="shared" ca="1" si="75"/>
        <v/>
      </c>
      <c r="L332" s="130" t="str">
        <f t="shared" ca="1" si="76"/>
        <v/>
      </c>
      <c r="M332" s="126">
        <f t="shared" ca="1" si="77"/>
        <v>995</v>
      </c>
      <c r="N332" s="58">
        <f t="shared" ca="1" si="68"/>
        <v>237.00000000000003</v>
      </c>
      <c r="O332" s="160">
        <f t="shared" ca="1" si="68"/>
        <v>225.73214215082442</v>
      </c>
    </row>
    <row r="333" spans="1:15" x14ac:dyDescent="0.25">
      <c r="A333" s="55">
        <f t="shared" ca="1" si="78"/>
        <v>244</v>
      </c>
      <c r="B333" s="55">
        <f t="shared" ca="1" si="69"/>
        <v>28.699999999999996</v>
      </c>
      <c r="C333" s="55">
        <f t="shared" ca="1" si="70"/>
        <v>25.856748360372798</v>
      </c>
      <c r="D333" s="55" t="str">
        <f t="shared" ca="1" si="71"/>
        <v>28.700 || 261.000</v>
      </c>
      <c r="E333" s="120">
        <f t="shared" ca="1" si="79"/>
        <v>3.4269934414911916</v>
      </c>
      <c r="F333" s="56" t="e">
        <f t="shared" ca="1" si="80"/>
        <v>#N/A</v>
      </c>
      <c r="G333" s="56" t="e">
        <f t="shared" ca="1" si="72"/>
        <v>#N/A</v>
      </c>
      <c r="H333" s="116" t="e">
        <f t="shared" ca="1" si="73"/>
        <v>#N/A</v>
      </c>
      <c r="I333" s="57" t="e">
        <f t="shared" ca="1" si="74"/>
        <v>#N/A</v>
      </c>
      <c r="J333" s="131">
        <f t="shared" ca="1" si="81"/>
        <v>996</v>
      </c>
      <c r="K333" s="122" t="str">
        <f t="shared" ca="1" si="75"/>
        <v/>
      </c>
      <c r="L333" s="130" t="str">
        <f t="shared" ca="1" si="76"/>
        <v/>
      </c>
      <c r="M333" s="126">
        <f t="shared" ca="1" si="77"/>
        <v>995</v>
      </c>
      <c r="N333" s="58">
        <f t="shared" ca="1" si="68"/>
        <v>261</v>
      </c>
      <c r="O333" s="160">
        <f t="shared" ca="1" si="68"/>
        <v>248.71067528355113</v>
      </c>
    </row>
    <row r="334" spans="1:15" x14ac:dyDescent="0.25">
      <c r="A334" s="55">
        <f t="shared" ca="1" si="78"/>
        <v>244</v>
      </c>
      <c r="B334" s="55">
        <f t="shared" ca="1" si="69"/>
        <v>28.699999999999996</v>
      </c>
      <c r="C334" s="55">
        <f t="shared" ca="1" si="70"/>
        <v>25.856748360372798</v>
      </c>
      <c r="D334" s="55" t="str">
        <f t="shared" ca="1" si="71"/>
        <v>28.700 || 261.000</v>
      </c>
      <c r="E334" s="120">
        <f t="shared" ca="1" si="79"/>
        <v>3.4269934414911916</v>
      </c>
      <c r="F334" s="56" t="e">
        <f t="shared" ca="1" si="80"/>
        <v>#N/A</v>
      </c>
      <c r="G334" s="56" t="e">
        <f t="shared" ca="1" si="72"/>
        <v>#N/A</v>
      </c>
      <c r="H334" s="116" t="e">
        <f t="shared" ca="1" si="73"/>
        <v>#N/A</v>
      </c>
      <c r="I334" s="57" t="e">
        <f t="shared" ca="1" si="74"/>
        <v>#N/A</v>
      </c>
      <c r="J334" s="131">
        <f t="shared" ca="1" si="81"/>
        <v>996</v>
      </c>
      <c r="K334" s="122" t="str">
        <f t="shared" ca="1" si="75"/>
        <v/>
      </c>
      <c r="L334" s="130" t="str">
        <f t="shared" ca="1" si="76"/>
        <v/>
      </c>
      <c r="M334" s="126">
        <f t="shared" ca="1" si="77"/>
        <v>995</v>
      </c>
      <c r="N334" s="58">
        <f t="shared" ca="1" si="68"/>
        <v>261</v>
      </c>
      <c r="O334" s="160">
        <f t="shared" ca="1" si="68"/>
        <v>248.71067528355113</v>
      </c>
    </row>
    <row r="335" spans="1:15" x14ac:dyDescent="0.25">
      <c r="A335" s="55">
        <f t="shared" ca="1" si="78"/>
        <v>244</v>
      </c>
      <c r="B335" s="55">
        <f t="shared" ca="1" si="69"/>
        <v>28.699999999999996</v>
      </c>
      <c r="C335" s="55">
        <f t="shared" ca="1" si="70"/>
        <v>25.856748360372798</v>
      </c>
      <c r="D335" s="55" t="str">
        <f t="shared" ca="1" si="71"/>
        <v>28.700 || 261.000</v>
      </c>
      <c r="E335" s="120">
        <f t="shared" ca="1" si="79"/>
        <v>3.4269934414911916</v>
      </c>
      <c r="F335" s="56" t="e">
        <f t="shared" ca="1" si="80"/>
        <v>#N/A</v>
      </c>
      <c r="G335" s="56" t="e">
        <f t="shared" ca="1" si="72"/>
        <v>#N/A</v>
      </c>
      <c r="H335" s="116" t="e">
        <f t="shared" ca="1" si="73"/>
        <v>#N/A</v>
      </c>
      <c r="I335" s="57" t="e">
        <f t="shared" ca="1" si="74"/>
        <v>#N/A</v>
      </c>
      <c r="J335" s="131">
        <f t="shared" ca="1" si="81"/>
        <v>996</v>
      </c>
      <c r="K335" s="122" t="str">
        <f t="shared" ca="1" si="75"/>
        <v/>
      </c>
      <c r="L335" s="130" t="str">
        <f t="shared" ca="1" si="76"/>
        <v/>
      </c>
      <c r="M335" s="126">
        <f t="shared" ca="1" si="77"/>
        <v>995</v>
      </c>
      <c r="N335" s="58">
        <f t="shared" ca="1" si="68"/>
        <v>261</v>
      </c>
      <c r="O335" s="160">
        <f t="shared" ca="1" si="68"/>
        <v>248.71067528355113</v>
      </c>
    </row>
    <row r="336" spans="1:15" x14ac:dyDescent="0.25">
      <c r="A336" s="55">
        <f t="shared" ca="1" si="78"/>
        <v>244</v>
      </c>
      <c r="B336" s="55">
        <f t="shared" ca="1" si="69"/>
        <v>28.699999999999996</v>
      </c>
      <c r="C336" s="55">
        <f t="shared" ca="1" si="70"/>
        <v>25.856748360372798</v>
      </c>
      <c r="D336" s="55" t="str">
        <f t="shared" ca="1" si="71"/>
        <v>28.700 || 261.000</v>
      </c>
      <c r="E336" s="120">
        <f t="shared" ca="1" si="79"/>
        <v>3.4269934414911916</v>
      </c>
      <c r="F336" s="56" t="e">
        <f t="shared" ca="1" si="80"/>
        <v>#N/A</v>
      </c>
      <c r="G336" s="56" t="e">
        <f t="shared" ca="1" si="72"/>
        <v>#N/A</v>
      </c>
      <c r="H336" s="116" t="e">
        <f t="shared" ca="1" si="73"/>
        <v>#N/A</v>
      </c>
      <c r="I336" s="57" t="e">
        <f t="shared" ca="1" si="74"/>
        <v>#N/A</v>
      </c>
      <c r="J336" s="131">
        <f t="shared" ca="1" si="81"/>
        <v>996</v>
      </c>
      <c r="K336" s="122" t="str">
        <f t="shared" ca="1" si="75"/>
        <v/>
      </c>
      <c r="L336" s="130" t="str">
        <f t="shared" ca="1" si="76"/>
        <v/>
      </c>
      <c r="M336" s="126">
        <f t="shared" ca="1" si="77"/>
        <v>995</v>
      </c>
      <c r="N336" s="58">
        <f t="shared" ca="1" si="68"/>
        <v>261</v>
      </c>
      <c r="O336" s="160">
        <f t="shared" ca="1" si="68"/>
        <v>248.71067528355113</v>
      </c>
    </row>
    <row r="337" spans="1:15" x14ac:dyDescent="0.25">
      <c r="A337" s="55">
        <f t="shared" ca="1" si="78"/>
        <v>244</v>
      </c>
      <c r="B337" s="55">
        <f t="shared" ca="1" si="69"/>
        <v>28.699999999999996</v>
      </c>
      <c r="C337" s="55">
        <f t="shared" ca="1" si="70"/>
        <v>26.090909090909086</v>
      </c>
      <c r="D337" s="55" t="str">
        <f t="shared" ca="1" si="71"/>
        <v>28.700 || 287.000</v>
      </c>
      <c r="E337" s="120">
        <f t="shared" ca="1" si="79"/>
        <v>4.3636363636363455</v>
      </c>
      <c r="F337" s="56" t="e">
        <f t="shared" ca="1" si="80"/>
        <v>#N/A</v>
      </c>
      <c r="G337" s="56" t="e">
        <f t="shared" ca="1" si="72"/>
        <v>#N/A</v>
      </c>
      <c r="H337" s="116" t="e">
        <f t="shared" ca="1" si="73"/>
        <v>#N/A</v>
      </c>
      <c r="I337" s="57" t="e">
        <f t="shared" ca="1" si="74"/>
        <v>#N/A</v>
      </c>
      <c r="J337" s="131">
        <f t="shared" ca="1" si="81"/>
        <v>996</v>
      </c>
      <c r="K337" s="122" t="str">
        <f t="shared" ca="1" si="75"/>
        <v/>
      </c>
      <c r="L337" s="130" t="str">
        <f t="shared" ca="1" si="76"/>
        <v/>
      </c>
      <c r="M337" s="126">
        <f t="shared" ca="1" si="77"/>
        <v>995</v>
      </c>
      <c r="N337" s="58">
        <f t="shared" ca="1" si="68"/>
        <v>286.99999999999994</v>
      </c>
      <c r="O337" s="160">
        <f t="shared" ca="1" si="68"/>
        <v>273.69143209095893</v>
      </c>
    </row>
    <row r="338" spans="1:15" x14ac:dyDescent="0.25">
      <c r="A338" s="55">
        <f t="shared" ca="1" si="78"/>
        <v>244</v>
      </c>
      <c r="B338" s="55">
        <f t="shared" ca="1" si="69"/>
        <v>28.699999999999996</v>
      </c>
      <c r="C338" s="55">
        <f t="shared" ca="1" si="70"/>
        <v>26.090909090909086</v>
      </c>
      <c r="D338" s="55" t="str">
        <f t="shared" ca="1" si="71"/>
        <v>28.700 || 287.000</v>
      </c>
      <c r="E338" s="120">
        <f t="shared" ca="1" si="79"/>
        <v>4.3636363636363455</v>
      </c>
      <c r="F338" s="56" t="e">
        <f t="shared" ca="1" si="80"/>
        <v>#N/A</v>
      </c>
      <c r="G338" s="56" t="e">
        <f t="shared" ca="1" si="72"/>
        <v>#N/A</v>
      </c>
      <c r="H338" s="116" t="e">
        <f t="shared" ca="1" si="73"/>
        <v>#N/A</v>
      </c>
      <c r="I338" s="57" t="e">
        <f t="shared" ca="1" si="74"/>
        <v>#N/A</v>
      </c>
      <c r="J338" s="131">
        <f t="shared" ca="1" si="81"/>
        <v>996</v>
      </c>
      <c r="K338" s="122" t="str">
        <f t="shared" ca="1" si="75"/>
        <v/>
      </c>
      <c r="L338" s="130" t="str">
        <f t="shared" ca="1" si="76"/>
        <v/>
      </c>
      <c r="M338" s="126">
        <f t="shared" ca="1" si="77"/>
        <v>995</v>
      </c>
      <c r="N338" s="58">
        <f t="shared" ca="1" si="68"/>
        <v>286.99999999999994</v>
      </c>
      <c r="O338" s="160">
        <f t="shared" ca="1" si="68"/>
        <v>273.69143209095893</v>
      </c>
    </row>
    <row r="339" spans="1:15" x14ac:dyDescent="0.25">
      <c r="A339" s="55">
        <f t="shared" ca="1" si="78"/>
        <v>244</v>
      </c>
      <c r="B339" s="55">
        <f t="shared" ca="1" si="69"/>
        <v>28.699999999999996</v>
      </c>
      <c r="C339" s="55">
        <f t="shared" ca="1" si="70"/>
        <v>26.090909090909086</v>
      </c>
      <c r="D339" s="55" t="str">
        <f t="shared" ca="1" si="71"/>
        <v>28.700 || 287.000</v>
      </c>
      <c r="E339" s="120">
        <f t="shared" ca="1" si="79"/>
        <v>4.3636363636363455</v>
      </c>
      <c r="F339" s="56" t="e">
        <f t="shared" ca="1" si="80"/>
        <v>#N/A</v>
      </c>
      <c r="G339" s="56" t="e">
        <f t="shared" ca="1" si="72"/>
        <v>#N/A</v>
      </c>
      <c r="H339" s="116" t="e">
        <f t="shared" ca="1" si="73"/>
        <v>#N/A</v>
      </c>
      <c r="I339" s="57" t="e">
        <f t="shared" ca="1" si="74"/>
        <v>#N/A</v>
      </c>
      <c r="J339" s="131">
        <f t="shared" ca="1" si="81"/>
        <v>996</v>
      </c>
      <c r="K339" s="122" t="str">
        <f t="shared" ca="1" si="75"/>
        <v/>
      </c>
      <c r="L339" s="130" t="str">
        <f t="shared" ca="1" si="76"/>
        <v/>
      </c>
      <c r="M339" s="126">
        <f t="shared" ca="1" si="77"/>
        <v>995</v>
      </c>
      <c r="N339" s="58">
        <f t="shared" ca="1" si="68"/>
        <v>286.99999999999994</v>
      </c>
      <c r="O339" s="160">
        <f t="shared" ca="1" si="68"/>
        <v>273.69143209095893</v>
      </c>
    </row>
    <row r="340" spans="1:15" x14ac:dyDescent="0.25">
      <c r="A340" s="55">
        <f t="shared" ca="1" si="78"/>
        <v>244</v>
      </c>
      <c r="B340" s="55">
        <f t="shared" ca="1" si="69"/>
        <v>28.699999999999996</v>
      </c>
      <c r="C340" s="55">
        <f t="shared" ca="1" si="70"/>
        <v>26.090909090909086</v>
      </c>
      <c r="D340" s="55" t="str">
        <f t="shared" ca="1" si="71"/>
        <v>28.700 || 287.000</v>
      </c>
      <c r="E340" s="120">
        <f t="shared" ca="1" si="79"/>
        <v>4.3636363636363455</v>
      </c>
      <c r="F340" s="56" t="e">
        <f t="shared" ca="1" si="80"/>
        <v>#N/A</v>
      </c>
      <c r="G340" s="56" t="e">
        <f t="shared" ca="1" si="72"/>
        <v>#N/A</v>
      </c>
      <c r="H340" s="116" t="e">
        <f t="shared" ca="1" si="73"/>
        <v>#N/A</v>
      </c>
      <c r="I340" s="57" t="e">
        <f t="shared" ca="1" si="74"/>
        <v>#N/A</v>
      </c>
      <c r="J340" s="131">
        <f t="shared" ca="1" si="81"/>
        <v>996</v>
      </c>
      <c r="K340" s="122" t="str">
        <f t="shared" ca="1" si="75"/>
        <v/>
      </c>
      <c r="L340" s="130" t="str">
        <f t="shared" ca="1" si="76"/>
        <v/>
      </c>
      <c r="M340" s="126">
        <f t="shared" ca="1" si="77"/>
        <v>995</v>
      </c>
      <c r="N340" s="58">
        <f t="shared" ca="1" si="68"/>
        <v>286.99999999999994</v>
      </c>
      <c r="O340" s="160">
        <f t="shared" ca="1" si="68"/>
        <v>273.69143209095893</v>
      </c>
    </row>
    <row r="341" spans="1:15" x14ac:dyDescent="0.25">
      <c r="A341" s="55">
        <f t="shared" ca="1" si="78"/>
        <v>240</v>
      </c>
      <c r="B341" s="55">
        <f t="shared" ca="1" si="69"/>
        <v>26.1</v>
      </c>
      <c r="C341" s="55">
        <f t="shared" ca="1" si="70"/>
        <v>24.108740134463606</v>
      </c>
      <c r="D341" s="55" t="str">
        <f t="shared" ca="1" si="71"/>
        <v>26.100 || 316.000</v>
      </c>
      <c r="E341" s="120">
        <f t="shared" ca="1" si="79"/>
        <v>3.5650394621455774</v>
      </c>
      <c r="F341" s="56" t="e">
        <f t="shared" ca="1" si="80"/>
        <v>#N/A</v>
      </c>
      <c r="G341" s="56" t="e">
        <f t="shared" ca="1" si="72"/>
        <v>#N/A</v>
      </c>
      <c r="H341" s="116" t="e">
        <f t="shared" ca="1" si="73"/>
        <v>#N/A</v>
      </c>
      <c r="I341" s="57" t="e">
        <f t="shared" ca="1" si="74"/>
        <v>#N/A</v>
      </c>
      <c r="J341" s="131">
        <f t="shared" ca="1" si="81"/>
        <v>996</v>
      </c>
      <c r="K341" s="122" t="str">
        <f t="shared" ca="1" si="75"/>
        <v/>
      </c>
      <c r="L341" s="130" t="str">
        <f t="shared" ca="1" si="76"/>
        <v/>
      </c>
      <c r="M341" s="126">
        <f t="shared" ca="1" si="77"/>
        <v>995</v>
      </c>
      <c r="N341" s="58">
        <f t="shared" ca="1" si="68"/>
        <v>316</v>
      </c>
      <c r="O341" s="160">
        <f t="shared" ca="1" si="68"/>
        <v>301.15112485262279</v>
      </c>
    </row>
    <row r="342" spans="1:15" x14ac:dyDescent="0.25">
      <c r="A342" s="55">
        <f t="shared" ca="1" si="78"/>
        <v>240</v>
      </c>
      <c r="B342" s="55">
        <f t="shared" ca="1" si="69"/>
        <v>26.1</v>
      </c>
      <c r="C342" s="55">
        <f t="shared" ca="1" si="70"/>
        <v>24.108740134463606</v>
      </c>
      <c r="D342" s="55" t="str">
        <f t="shared" ca="1" si="71"/>
        <v>26.100 || 316.000</v>
      </c>
      <c r="E342" s="120">
        <f t="shared" ca="1" si="79"/>
        <v>3.5650394621455774</v>
      </c>
      <c r="F342" s="56" t="e">
        <f t="shared" ca="1" si="80"/>
        <v>#N/A</v>
      </c>
      <c r="G342" s="56" t="e">
        <f t="shared" ca="1" si="72"/>
        <v>#N/A</v>
      </c>
      <c r="H342" s="116" t="e">
        <f t="shared" ca="1" si="73"/>
        <v>#N/A</v>
      </c>
      <c r="I342" s="57" t="e">
        <f t="shared" ca="1" si="74"/>
        <v>#N/A</v>
      </c>
      <c r="J342" s="131">
        <f t="shared" ca="1" si="81"/>
        <v>996</v>
      </c>
      <c r="K342" s="122" t="str">
        <f t="shared" ca="1" si="75"/>
        <v/>
      </c>
      <c r="L342" s="130" t="str">
        <f t="shared" ca="1" si="76"/>
        <v/>
      </c>
      <c r="M342" s="126">
        <f t="shared" ca="1" si="77"/>
        <v>995</v>
      </c>
      <c r="N342" s="58">
        <f t="shared" ca="1" si="68"/>
        <v>316</v>
      </c>
      <c r="O342" s="160">
        <f t="shared" ca="1" si="68"/>
        <v>301.15112485262279</v>
      </c>
    </row>
    <row r="343" spans="1:15" x14ac:dyDescent="0.25">
      <c r="A343" s="55">
        <f t="shared" ca="1" si="78"/>
        <v>240</v>
      </c>
      <c r="B343" s="55">
        <f t="shared" ca="1" si="69"/>
        <v>26.1</v>
      </c>
      <c r="C343" s="55">
        <f t="shared" ca="1" si="70"/>
        <v>24.108740134463606</v>
      </c>
      <c r="D343" s="55" t="str">
        <f t="shared" ca="1" si="71"/>
        <v>26.100 || 316.000</v>
      </c>
      <c r="E343" s="120">
        <f t="shared" ca="1" si="79"/>
        <v>3.5650394621455774</v>
      </c>
      <c r="F343" s="56" t="e">
        <f t="shared" ca="1" si="80"/>
        <v>#N/A</v>
      </c>
      <c r="G343" s="56" t="e">
        <f t="shared" ca="1" si="72"/>
        <v>#N/A</v>
      </c>
      <c r="H343" s="116" t="e">
        <f t="shared" ca="1" si="73"/>
        <v>#N/A</v>
      </c>
      <c r="I343" s="57" t="e">
        <f t="shared" ca="1" si="74"/>
        <v>#N/A</v>
      </c>
      <c r="J343" s="131">
        <f t="shared" ca="1" si="81"/>
        <v>996</v>
      </c>
      <c r="K343" s="122" t="str">
        <f t="shared" ca="1" si="75"/>
        <v/>
      </c>
      <c r="L343" s="130" t="str">
        <f t="shared" ca="1" si="76"/>
        <v/>
      </c>
      <c r="M343" s="126">
        <f t="shared" ca="1" si="77"/>
        <v>995</v>
      </c>
      <c r="N343" s="58">
        <f t="shared" ca="1" si="68"/>
        <v>316</v>
      </c>
      <c r="O343" s="160">
        <f t="shared" ca="1" si="68"/>
        <v>301.15112485262279</v>
      </c>
    </row>
    <row r="344" spans="1:15" x14ac:dyDescent="0.25">
      <c r="A344" s="55">
        <f t="shared" ca="1" si="78"/>
        <v>240</v>
      </c>
      <c r="B344" s="55">
        <f t="shared" ca="1" si="69"/>
        <v>26.1</v>
      </c>
      <c r="C344" s="55">
        <f t="shared" ca="1" si="70"/>
        <v>24.108740134463606</v>
      </c>
      <c r="D344" s="55" t="str">
        <f t="shared" ca="1" si="71"/>
        <v>26.100 || 316.000</v>
      </c>
      <c r="E344" s="120">
        <f t="shared" ca="1" si="79"/>
        <v>3.5650394621455774</v>
      </c>
      <c r="F344" s="56" t="e">
        <f t="shared" ca="1" si="80"/>
        <v>#N/A</v>
      </c>
      <c r="G344" s="56" t="e">
        <f t="shared" ca="1" si="72"/>
        <v>#N/A</v>
      </c>
      <c r="H344" s="116" t="e">
        <f t="shared" ca="1" si="73"/>
        <v>#N/A</v>
      </c>
      <c r="I344" s="57" t="e">
        <f t="shared" ca="1" si="74"/>
        <v>#N/A</v>
      </c>
      <c r="J344" s="131">
        <f t="shared" ca="1" si="81"/>
        <v>996</v>
      </c>
      <c r="K344" s="122" t="str">
        <f t="shared" ca="1" si="75"/>
        <v/>
      </c>
      <c r="L344" s="130" t="str">
        <f t="shared" ca="1" si="76"/>
        <v/>
      </c>
      <c r="M344" s="126">
        <f t="shared" ca="1" si="77"/>
        <v>995</v>
      </c>
      <c r="N344" s="58">
        <f t="shared" ca="1" si="68"/>
        <v>316</v>
      </c>
      <c r="O344" s="160">
        <f t="shared" ca="1" si="68"/>
        <v>301.15112485262279</v>
      </c>
    </row>
    <row r="345" spans="1:15" x14ac:dyDescent="0.25">
      <c r="A345" s="55">
        <f t="shared" ca="1" si="78"/>
        <v>240</v>
      </c>
      <c r="B345" s="55">
        <f t="shared" ca="1" si="69"/>
        <v>26.1</v>
      </c>
      <c r="C345" s="55">
        <f t="shared" ca="1" si="70"/>
        <v>24.279069767441861</v>
      </c>
      <c r="D345" s="55" t="str">
        <f t="shared" ca="1" si="71"/>
        <v>26.100 || 348.000</v>
      </c>
      <c r="E345" s="120">
        <f t="shared" ca="1" si="79"/>
        <v>2.8837209302325562</v>
      </c>
      <c r="F345" s="56" t="e">
        <f t="shared" ca="1" si="80"/>
        <v>#N/A</v>
      </c>
      <c r="G345" s="56" t="e">
        <f t="shared" ca="1" si="72"/>
        <v>#N/A</v>
      </c>
      <c r="H345" s="116" t="e">
        <f t="shared" ca="1" si="73"/>
        <v>#N/A</v>
      </c>
      <c r="I345" s="57" t="e">
        <f t="shared" ca="1" si="74"/>
        <v>#N/A</v>
      </c>
      <c r="J345" s="131">
        <f t="shared" ca="1" si="81"/>
        <v>996</v>
      </c>
      <c r="K345" s="122" t="str">
        <f t="shared" ca="1" si="75"/>
        <v/>
      </c>
      <c r="L345" s="130" t="str">
        <f t="shared" ca="1" si="76"/>
        <v/>
      </c>
      <c r="M345" s="126">
        <f t="shared" ca="1" si="77"/>
        <v>995</v>
      </c>
      <c r="N345" s="58">
        <f t="shared" ca="1" si="68"/>
        <v>348</v>
      </c>
      <c r="O345" s="160">
        <f t="shared" ca="1" si="68"/>
        <v>331.61423371140143</v>
      </c>
    </row>
    <row r="346" spans="1:15" x14ac:dyDescent="0.25">
      <c r="A346" s="55">
        <f t="shared" ca="1" si="78"/>
        <v>240</v>
      </c>
      <c r="B346" s="55">
        <f t="shared" ca="1" si="69"/>
        <v>26.1</v>
      </c>
      <c r="C346" s="55">
        <f t="shared" ca="1" si="70"/>
        <v>24.279069767441861</v>
      </c>
      <c r="D346" s="55" t="str">
        <f t="shared" ca="1" si="71"/>
        <v>26.100 || 348.000</v>
      </c>
      <c r="E346" s="120">
        <f t="shared" ca="1" si="79"/>
        <v>2.8837209302325562</v>
      </c>
      <c r="F346" s="56" t="e">
        <f t="shared" ca="1" si="80"/>
        <v>#N/A</v>
      </c>
      <c r="G346" s="56" t="e">
        <f t="shared" ca="1" si="72"/>
        <v>#N/A</v>
      </c>
      <c r="H346" s="116" t="e">
        <f t="shared" ca="1" si="73"/>
        <v>#N/A</v>
      </c>
      <c r="I346" s="57" t="e">
        <f t="shared" ca="1" si="74"/>
        <v>#N/A</v>
      </c>
      <c r="J346" s="131">
        <f t="shared" ca="1" si="81"/>
        <v>996</v>
      </c>
      <c r="K346" s="122" t="str">
        <f t="shared" ca="1" si="75"/>
        <v/>
      </c>
      <c r="L346" s="130" t="str">
        <f t="shared" ca="1" si="76"/>
        <v/>
      </c>
      <c r="M346" s="126">
        <f t="shared" ca="1" si="77"/>
        <v>995</v>
      </c>
      <c r="N346" s="58">
        <f t="shared" ca="1" si="68"/>
        <v>348</v>
      </c>
      <c r="O346" s="160">
        <f t="shared" ca="1" si="68"/>
        <v>331.61423371140143</v>
      </c>
    </row>
    <row r="347" spans="1:15" x14ac:dyDescent="0.25">
      <c r="A347" s="55">
        <f t="shared" ca="1" si="78"/>
        <v>240</v>
      </c>
      <c r="B347" s="55">
        <f t="shared" ca="1" si="69"/>
        <v>26.1</v>
      </c>
      <c r="C347" s="55">
        <f t="shared" ca="1" si="70"/>
        <v>24.279069767441861</v>
      </c>
      <c r="D347" s="55" t="str">
        <f t="shared" ca="1" si="71"/>
        <v>26.100 || 348.000</v>
      </c>
      <c r="E347" s="120">
        <f t="shared" ca="1" si="79"/>
        <v>2.8837209302325562</v>
      </c>
      <c r="F347" s="56" t="e">
        <f t="shared" ca="1" si="80"/>
        <v>#N/A</v>
      </c>
      <c r="G347" s="56" t="e">
        <f t="shared" ca="1" si="72"/>
        <v>#N/A</v>
      </c>
      <c r="H347" s="116" t="e">
        <f t="shared" ca="1" si="73"/>
        <v>#N/A</v>
      </c>
      <c r="I347" s="57" t="e">
        <f t="shared" ca="1" si="74"/>
        <v>#N/A</v>
      </c>
      <c r="J347" s="131">
        <f t="shared" ca="1" si="81"/>
        <v>996</v>
      </c>
      <c r="K347" s="122" t="str">
        <f t="shared" ca="1" si="75"/>
        <v/>
      </c>
      <c r="L347" s="130" t="str">
        <f t="shared" ca="1" si="76"/>
        <v/>
      </c>
      <c r="M347" s="126">
        <f t="shared" ca="1" si="77"/>
        <v>995</v>
      </c>
      <c r="N347" s="58">
        <f t="shared" ca="1" si="68"/>
        <v>348</v>
      </c>
      <c r="O347" s="160">
        <f t="shared" ca="1" si="68"/>
        <v>331.61423371140143</v>
      </c>
    </row>
    <row r="348" spans="1:15" x14ac:dyDescent="0.25">
      <c r="A348" s="55">
        <f t="shared" ca="1" si="78"/>
        <v>240</v>
      </c>
      <c r="B348" s="55">
        <f t="shared" ca="1" si="69"/>
        <v>26.1</v>
      </c>
      <c r="C348" s="55">
        <f t="shared" ca="1" si="70"/>
        <v>24.279069767441861</v>
      </c>
      <c r="D348" s="55" t="str">
        <f t="shared" ca="1" si="71"/>
        <v>26.100 || 348.000</v>
      </c>
      <c r="E348" s="120">
        <f t="shared" ca="1" si="79"/>
        <v>2.8837209302325562</v>
      </c>
      <c r="F348" s="56" t="e">
        <f t="shared" ca="1" si="80"/>
        <v>#N/A</v>
      </c>
      <c r="G348" s="56" t="e">
        <f t="shared" ca="1" si="72"/>
        <v>#N/A</v>
      </c>
      <c r="H348" s="116" t="e">
        <f t="shared" ca="1" si="73"/>
        <v>#N/A</v>
      </c>
      <c r="I348" s="57" t="e">
        <f t="shared" ca="1" si="74"/>
        <v>#N/A</v>
      </c>
      <c r="J348" s="131">
        <f t="shared" ca="1" si="81"/>
        <v>996</v>
      </c>
      <c r="K348" s="122" t="str">
        <f t="shared" ca="1" si="75"/>
        <v/>
      </c>
      <c r="L348" s="130" t="str">
        <f t="shared" ca="1" si="76"/>
        <v/>
      </c>
      <c r="M348" s="126">
        <f t="shared" ca="1" si="77"/>
        <v>995</v>
      </c>
      <c r="N348" s="58">
        <f t="shared" ca="1" si="68"/>
        <v>348</v>
      </c>
      <c r="O348" s="160">
        <f t="shared" ca="1" si="68"/>
        <v>331.61423371140143</v>
      </c>
    </row>
    <row r="349" spans="1:15" x14ac:dyDescent="0.25">
      <c r="A349" s="55">
        <f t="shared" ca="1" si="78"/>
        <v>240</v>
      </c>
      <c r="B349" s="55">
        <f t="shared" ca="1" si="69"/>
        <v>26.1</v>
      </c>
      <c r="C349" s="55">
        <f t="shared" ca="1" si="70"/>
        <v>24.434857003177708</v>
      </c>
      <c r="D349" s="55" t="str">
        <f t="shared" ca="1" si="71"/>
        <v>26.100 || 383.000</v>
      </c>
      <c r="E349" s="120">
        <f t="shared" ca="1" si="79"/>
        <v>2.2605719872891683</v>
      </c>
      <c r="F349" s="56" t="e">
        <f t="shared" ca="1" si="80"/>
        <v>#N/A</v>
      </c>
      <c r="G349" s="56" t="e">
        <f t="shared" ca="1" si="72"/>
        <v>#N/A</v>
      </c>
      <c r="H349" s="116" t="e">
        <f t="shared" ca="1" si="73"/>
        <v>#N/A</v>
      </c>
      <c r="I349" s="57" t="e">
        <f t="shared" ca="1" si="74"/>
        <v>#N/A</v>
      </c>
      <c r="J349" s="131">
        <f t="shared" ca="1" si="81"/>
        <v>996</v>
      </c>
      <c r="K349" s="122" t="str">
        <f t="shared" ca="1" si="75"/>
        <v/>
      </c>
      <c r="L349" s="130" t="str">
        <f t="shared" ca="1" si="76"/>
        <v/>
      </c>
      <c r="M349" s="126">
        <f t="shared" ca="1" si="77"/>
        <v>995</v>
      </c>
      <c r="N349" s="58">
        <f t="shared" ca="1" si="68"/>
        <v>383</v>
      </c>
      <c r="O349" s="160">
        <f t="shared" ca="1" si="68"/>
        <v>365.0808129715939</v>
      </c>
    </row>
    <row r="350" spans="1:15" x14ac:dyDescent="0.25">
      <c r="A350" s="55">
        <f t="shared" ca="1" si="78"/>
        <v>240</v>
      </c>
      <c r="B350" s="55">
        <f t="shared" ca="1" si="69"/>
        <v>26.1</v>
      </c>
      <c r="C350" s="55">
        <f t="shared" ca="1" si="70"/>
        <v>24.434857003177708</v>
      </c>
      <c r="D350" s="55" t="str">
        <f t="shared" ca="1" si="71"/>
        <v>26.100 || 383.000</v>
      </c>
      <c r="E350" s="120">
        <f t="shared" ca="1" si="79"/>
        <v>2.2605719872891683</v>
      </c>
      <c r="F350" s="56" t="e">
        <f t="shared" ca="1" si="80"/>
        <v>#N/A</v>
      </c>
      <c r="G350" s="56" t="e">
        <f t="shared" ca="1" si="72"/>
        <v>#N/A</v>
      </c>
      <c r="H350" s="116" t="e">
        <f t="shared" ca="1" si="73"/>
        <v>#N/A</v>
      </c>
      <c r="I350" s="57" t="e">
        <f t="shared" ca="1" si="74"/>
        <v>#N/A</v>
      </c>
      <c r="J350" s="131">
        <f t="shared" ca="1" si="81"/>
        <v>996</v>
      </c>
      <c r="K350" s="122" t="str">
        <f t="shared" ca="1" si="75"/>
        <v/>
      </c>
      <c r="L350" s="130" t="str">
        <f t="shared" ca="1" si="76"/>
        <v/>
      </c>
      <c r="M350" s="126">
        <f t="shared" ca="1" si="77"/>
        <v>995</v>
      </c>
      <c r="N350" s="58">
        <f t="shared" ca="1" si="68"/>
        <v>383</v>
      </c>
      <c r="O350" s="160">
        <f t="shared" ca="1" si="68"/>
        <v>365.0808129715939</v>
      </c>
    </row>
    <row r="351" spans="1:15" x14ac:dyDescent="0.25">
      <c r="A351" s="55">
        <f t="shared" ca="1" si="78"/>
        <v>240</v>
      </c>
      <c r="B351" s="55">
        <f t="shared" ca="1" si="69"/>
        <v>26.1</v>
      </c>
      <c r="C351" s="55">
        <f t="shared" ca="1" si="70"/>
        <v>24.434857003177708</v>
      </c>
      <c r="D351" s="55" t="str">
        <f t="shared" ca="1" si="71"/>
        <v>26.100 || 383.000</v>
      </c>
      <c r="E351" s="120">
        <f t="shared" ca="1" si="79"/>
        <v>2.2605719872891683</v>
      </c>
      <c r="F351" s="56" t="e">
        <f t="shared" ca="1" si="80"/>
        <v>#N/A</v>
      </c>
      <c r="G351" s="56" t="e">
        <f t="shared" ca="1" si="72"/>
        <v>#N/A</v>
      </c>
      <c r="H351" s="116" t="e">
        <f t="shared" ca="1" si="73"/>
        <v>#N/A</v>
      </c>
      <c r="I351" s="57" t="e">
        <f t="shared" ca="1" si="74"/>
        <v>#N/A</v>
      </c>
      <c r="J351" s="131">
        <f t="shared" ca="1" si="81"/>
        <v>996</v>
      </c>
      <c r="K351" s="122" t="str">
        <f t="shared" ca="1" si="75"/>
        <v/>
      </c>
      <c r="L351" s="130" t="str">
        <f t="shared" ca="1" si="76"/>
        <v/>
      </c>
      <c r="M351" s="126">
        <f t="shared" ca="1" si="77"/>
        <v>995</v>
      </c>
      <c r="N351" s="58">
        <f t="shared" ca="1" si="68"/>
        <v>383</v>
      </c>
      <c r="O351" s="160">
        <f t="shared" ca="1" si="68"/>
        <v>365.0808129715939</v>
      </c>
    </row>
    <row r="352" spans="1:15" x14ac:dyDescent="0.25">
      <c r="A352" s="55">
        <f t="shared" ca="1" si="78"/>
        <v>240</v>
      </c>
      <c r="B352" s="55">
        <f t="shared" ca="1" si="69"/>
        <v>26.1</v>
      </c>
      <c r="C352" s="55">
        <f t="shared" ca="1" si="70"/>
        <v>24.434857003177708</v>
      </c>
      <c r="D352" s="55" t="str">
        <f t="shared" ca="1" si="71"/>
        <v>26.100 || 383.000</v>
      </c>
      <c r="E352" s="120">
        <f t="shared" ca="1" si="79"/>
        <v>2.2605719872891683</v>
      </c>
      <c r="F352" s="56" t="e">
        <f t="shared" ca="1" si="80"/>
        <v>#N/A</v>
      </c>
      <c r="G352" s="56" t="e">
        <f t="shared" ca="1" si="72"/>
        <v>#N/A</v>
      </c>
      <c r="H352" s="116" t="e">
        <f t="shared" ca="1" si="73"/>
        <v>#N/A</v>
      </c>
      <c r="I352" s="57" t="e">
        <f t="shared" ca="1" si="74"/>
        <v>#N/A</v>
      </c>
      <c r="J352" s="131">
        <f t="shared" ca="1" si="81"/>
        <v>996</v>
      </c>
      <c r="K352" s="122" t="str">
        <f t="shared" ca="1" si="75"/>
        <v/>
      </c>
      <c r="L352" s="130" t="str">
        <f t="shared" ca="1" si="76"/>
        <v/>
      </c>
      <c r="M352" s="126">
        <f t="shared" ca="1" si="77"/>
        <v>995</v>
      </c>
      <c r="N352" s="58">
        <f t="shared" ca="1" si="68"/>
        <v>383</v>
      </c>
      <c r="O352" s="160">
        <f t="shared" ca="1" si="68"/>
        <v>365.0808129715939</v>
      </c>
    </row>
    <row r="353" spans="1:15" x14ac:dyDescent="0.25">
      <c r="A353" s="55">
        <f t="shared" ca="1" si="78"/>
        <v>240</v>
      </c>
      <c r="B353" s="55">
        <f t="shared" ca="1" si="69"/>
        <v>26.1</v>
      </c>
      <c r="C353" s="55">
        <f t="shared" ca="1" si="70"/>
        <v>24.579781298817228</v>
      </c>
      <c r="D353" s="55" t="str">
        <f t="shared" ca="1" si="71"/>
        <v>26.100 || 422.000</v>
      </c>
      <c r="E353" s="120">
        <f t="shared" ca="1" si="79"/>
        <v>1.68087480473109</v>
      </c>
      <c r="F353" s="56" t="e">
        <f t="shared" ca="1" si="80"/>
        <v>#N/A</v>
      </c>
      <c r="G353" s="56" t="e">
        <f t="shared" ca="1" si="72"/>
        <v>#N/A</v>
      </c>
      <c r="H353" s="116" t="e">
        <f t="shared" ca="1" si="73"/>
        <v>#N/A</v>
      </c>
      <c r="I353" s="57" t="e">
        <f t="shared" ca="1" si="74"/>
        <v>#N/A</v>
      </c>
      <c r="J353" s="131">
        <f t="shared" ca="1" si="81"/>
        <v>996</v>
      </c>
      <c r="K353" s="122" t="str">
        <f t="shared" ca="1" si="75"/>
        <v/>
      </c>
      <c r="L353" s="130" t="str">
        <f t="shared" ca="1" si="76"/>
        <v/>
      </c>
      <c r="M353" s="126">
        <f t="shared" ca="1" si="77"/>
        <v>995</v>
      </c>
      <c r="N353" s="58">
        <f t="shared" ca="1" si="68"/>
        <v>421.99999999999994</v>
      </c>
      <c r="O353" s="160">
        <f t="shared" ca="1" si="68"/>
        <v>402.02736225286947</v>
      </c>
    </row>
    <row r="354" spans="1:15" x14ac:dyDescent="0.25">
      <c r="A354" s="55">
        <f t="shared" ca="1" si="78"/>
        <v>240</v>
      </c>
      <c r="B354" s="55">
        <f t="shared" ca="1" si="69"/>
        <v>26.1</v>
      </c>
      <c r="C354" s="55">
        <f t="shared" ca="1" si="70"/>
        <v>24.579781298817228</v>
      </c>
      <c r="D354" s="55" t="str">
        <f t="shared" ca="1" si="71"/>
        <v>26.100 || 422.000</v>
      </c>
      <c r="E354" s="120">
        <f t="shared" ca="1" si="79"/>
        <v>1.68087480473109</v>
      </c>
      <c r="F354" s="56" t="e">
        <f t="shared" ca="1" si="80"/>
        <v>#N/A</v>
      </c>
      <c r="G354" s="56" t="e">
        <f t="shared" ca="1" si="72"/>
        <v>#N/A</v>
      </c>
      <c r="H354" s="116" t="e">
        <f t="shared" ca="1" si="73"/>
        <v>#N/A</v>
      </c>
      <c r="I354" s="57" t="e">
        <f t="shared" ca="1" si="74"/>
        <v>#N/A</v>
      </c>
      <c r="J354" s="131">
        <f t="shared" ca="1" si="81"/>
        <v>996</v>
      </c>
      <c r="K354" s="122" t="str">
        <f t="shared" ca="1" si="75"/>
        <v/>
      </c>
      <c r="L354" s="130" t="str">
        <f t="shared" ca="1" si="76"/>
        <v/>
      </c>
      <c r="M354" s="126">
        <f t="shared" ca="1" si="77"/>
        <v>995</v>
      </c>
      <c r="N354" s="58">
        <f t="shared" ca="1" si="68"/>
        <v>421.99999999999994</v>
      </c>
      <c r="O354" s="160">
        <f t="shared" ca="1" si="68"/>
        <v>402.02736225286947</v>
      </c>
    </row>
    <row r="355" spans="1:15" x14ac:dyDescent="0.25">
      <c r="A355" s="55">
        <f t="shared" ca="1" si="78"/>
        <v>240</v>
      </c>
      <c r="B355" s="55">
        <f t="shared" ca="1" si="69"/>
        <v>26.1</v>
      </c>
      <c r="C355" s="55">
        <f t="shared" ca="1" si="70"/>
        <v>24.579781298817228</v>
      </c>
      <c r="D355" s="55" t="str">
        <f t="shared" ca="1" si="71"/>
        <v>26.100 || 422.000</v>
      </c>
      <c r="E355" s="120">
        <f t="shared" ca="1" si="79"/>
        <v>1.68087480473109</v>
      </c>
      <c r="F355" s="56" t="e">
        <f t="shared" ca="1" si="80"/>
        <v>#N/A</v>
      </c>
      <c r="G355" s="56" t="e">
        <f t="shared" ca="1" si="72"/>
        <v>#N/A</v>
      </c>
      <c r="H355" s="116" t="e">
        <f t="shared" ca="1" si="73"/>
        <v>#N/A</v>
      </c>
      <c r="I355" s="57" t="e">
        <f t="shared" ca="1" si="74"/>
        <v>#N/A</v>
      </c>
      <c r="J355" s="131">
        <f t="shared" ca="1" si="81"/>
        <v>996</v>
      </c>
      <c r="K355" s="122" t="str">
        <f t="shared" ca="1" si="75"/>
        <v/>
      </c>
      <c r="L355" s="130" t="str">
        <f t="shared" ca="1" si="76"/>
        <v/>
      </c>
      <c r="M355" s="126">
        <f t="shared" ca="1" si="77"/>
        <v>995</v>
      </c>
      <c r="N355" s="58">
        <f t="shared" ca="1" si="68"/>
        <v>421.99999999999994</v>
      </c>
      <c r="O355" s="160">
        <f t="shared" ca="1" si="68"/>
        <v>402.02736225286947</v>
      </c>
    </row>
    <row r="356" spans="1:15" x14ac:dyDescent="0.25">
      <c r="A356" s="55">
        <f t="shared" ca="1" si="78"/>
        <v>240</v>
      </c>
      <c r="B356" s="55">
        <f t="shared" ca="1" si="69"/>
        <v>26.1</v>
      </c>
      <c r="C356" s="55">
        <f t="shared" ca="1" si="70"/>
        <v>24.579781298817228</v>
      </c>
      <c r="D356" s="55" t="str">
        <f t="shared" ca="1" si="71"/>
        <v>26.100 || 422.000</v>
      </c>
      <c r="E356" s="120">
        <f t="shared" ca="1" si="79"/>
        <v>1.68087480473109</v>
      </c>
      <c r="F356" s="56" t="e">
        <f t="shared" ca="1" si="80"/>
        <v>#N/A</v>
      </c>
      <c r="G356" s="56" t="e">
        <f t="shared" ca="1" si="72"/>
        <v>#N/A</v>
      </c>
      <c r="H356" s="116" t="e">
        <f t="shared" ca="1" si="73"/>
        <v>#N/A</v>
      </c>
      <c r="I356" s="57" t="e">
        <f t="shared" ca="1" si="74"/>
        <v>#N/A</v>
      </c>
      <c r="J356" s="131">
        <f t="shared" ca="1" si="81"/>
        <v>996</v>
      </c>
      <c r="K356" s="122" t="str">
        <f t="shared" ca="1" si="75"/>
        <v/>
      </c>
      <c r="L356" s="130" t="str">
        <f t="shared" ca="1" si="76"/>
        <v/>
      </c>
      <c r="M356" s="126">
        <f t="shared" ca="1" si="77"/>
        <v>995</v>
      </c>
      <c r="N356" s="58">
        <f t="shared" ca="1" si="68"/>
        <v>421.99999999999994</v>
      </c>
      <c r="O356" s="160">
        <f t="shared" ca="1" si="68"/>
        <v>402.02736225286947</v>
      </c>
    </row>
    <row r="357" spans="1:15" x14ac:dyDescent="0.25">
      <c r="A357" s="55">
        <f t="shared" ca="1" si="78"/>
        <v>240</v>
      </c>
      <c r="B357" s="55">
        <f t="shared" ca="1" si="69"/>
        <v>26.1</v>
      </c>
      <c r="C357" s="55">
        <f t="shared" ca="1" si="70"/>
        <v>24.710059171597635</v>
      </c>
      <c r="D357" s="55" t="str">
        <f t="shared" ca="1" si="71"/>
        <v>26.100 || 464.000</v>
      </c>
      <c r="E357" s="120">
        <f t="shared" ca="1" si="79"/>
        <v>1.1597633136094601</v>
      </c>
      <c r="F357" s="56" t="e">
        <f t="shared" ca="1" si="80"/>
        <v>#N/A</v>
      </c>
      <c r="G357" s="56" t="e">
        <f t="shared" ca="1" si="72"/>
        <v>#N/A</v>
      </c>
      <c r="H357" s="116" t="e">
        <f t="shared" ca="1" si="73"/>
        <v>#N/A</v>
      </c>
      <c r="I357" s="57" t="e">
        <f t="shared" ca="1" si="74"/>
        <v>#N/A</v>
      </c>
      <c r="J357" s="131">
        <f t="shared" ca="1" si="81"/>
        <v>996</v>
      </c>
      <c r="K357" s="122" t="str">
        <f t="shared" ca="1" si="75"/>
        <v/>
      </c>
      <c r="L357" s="130" t="str">
        <f t="shared" ca="1" si="76"/>
        <v/>
      </c>
      <c r="M357" s="126">
        <f t="shared" ca="1" si="77"/>
        <v>995</v>
      </c>
      <c r="N357" s="58">
        <f t="shared" ca="1" si="68"/>
        <v>464.00000000000006</v>
      </c>
      <c r="O357" s="160">
        <f t="shared" ca="1" si="68"/>
        <v>442.50197739671182</v>
      </c>
    </row>
    <row r="358" spans="1:15" x14ac:dyDescent="0.25">
      <c r="A358" s="55">
        <f t="shared" ca="1" si="78"/>
        <v>240</v>
      </c>
      <c r="B358" s="55">
        <f t="shared" ca="1" si="69"/>
        <v>26.1</v>
      </c>
      <c r="C358" s="55">
        <f t="shared" ca="1" si="70"/>
        <v>24.710059171597635</v>
      </c>
      <c r="D358" s="55" t="str">
        <f t="shared" ca="1" si="71"/>
        <v>26.100 || 464.000</v>
      </c>
      <c r="E358" s="120">
        <f t="shared" ca="1" si="79"/>
        <v>1.1597633136094601</v>
      </c>
      <c r="F358" s="56" t="e">
        <f t="shared" ca="1" si="80"/>
        <v>#N/A</v>
      </c>
      <c r="G358" s="56" t="e">
        <f t="shared" ca="1" si="72"/>
        <v>#N/A</v>
      </c>
      <c r="H358" s="116" t="e">
        <f t="shared" ca="1" si="73"/>
        <v>#N/A</v>
      </c>
      <c r="I358" s="57" t="e">
        <f t="shared" ca="1" si="74"/>
        <v>#N/A</v>
      </c>
      <c r="J358" s="131">
        <f t="shared" ca="1" si="81"/>
        <v>996</v>
      </c>
      <c r="K358" s="122" t="str">
        <f t="shared" ca="1" si="75"/>
        <v/>
      </c>
      <c r="L358" s="130" t="str">
        <f t="shared" ca="1" si="76"/>
        <v/>
      </c>
      <c r="M358" s="126">
        <f t="shared" ca="1" si="77"/>
        <v>995</v>
      </c>
      <c r="N358" s="58">
        <f t="shared" ca="1" si="68"/>
        <v>464.00000000000006</v>
      </c>
      <c r="O358" s="160">
        <f t="shared" ca="1" si="68"/>
        <v>442.50197739671182</v>
      </c>
    </row>
    <row r="359" spans="1:15" x14ac:dyDescent="0.25">
      <c r="A359" s="55">
        <f t="shared" ca="1" si="78"/>
        <v>240</v>
      </c>
      <c r="B359" s="55">
        <f t="shared" ca="1" si="69"/>
        <v>26.1</v>
      </c>
      <c r="C359" s="55">
        <f t="shared" ca="1" si="70"/>
        <v>24.710059171597635</v>
      </c>
      <c r="D359" s="55" t="str">
        <f t="shared" ca="1" si="71"/>
        <v>26.100 || 464.000</v>
      </c>
      <c r="E359" s="120">
        <f t="shared" ca="1" si="79"/>
        <v>1.1597633136094601</v>
      </c>
      <c r="F359" s="56" t="e">
        <f t="shared" ca="1" si="80"/>
        <v>#N/A</v>
      </c>
      <c r="G359" s="56" t="e">
        <f t="shared" ca="1" si="72"/>
        <v>#N/A</v>
      </c>
      <c r="H359" s="116" t="e">
        <f t="shared" ca="1" si="73"/>
        <v>#N/A</v>
      </c>
      <c r="I359" s="57" t="e">
        <f t="shared" ca="1" si="74"/>
        <v>#N/A</v>
      </c>
      <c r="J359" s="131">
        <f t="shared" ca="1" si="81"/>
        <v>996</v>
      </c>
      <c r="K359" s="122" t="str">
        <f t="shared" ca="1" si="75"/>
        <v/>
      </c>
      <c r="L359" s="130" t="str">
        <f t="shared" ca="1" si="76"/>
        <v/>
      </c>
      <c r="M359" s="126">
        <f t="shared" ca="1" si="77"/>
        <v>995</v>
      </c>
      <c r="N359" s="58">
        <f t="shared" ca="1" si="68"/>
        <v>464.00000000000006</v>
      </c>
      <c r="O359" s="160">
        <f t="shared" ca="1" si="68"/>
        <v>442.50197739671182</v>
      </c>
    </row>
    <row r="360" spans="1:15" x14ac:dyDescent="0.25">
      <c r="A360" s="55">
        <f t="shared" ca="1" si="78"/>
        <v>240</v>
      </c>
      <c r="B360" s="55">
        <f t="shared" ca="1" si="69"/>
        <v>26.1</v>
      </c>
      <c r="C360" s="55">
        <f t="shared" ca="1" si="70"/>
        <v>24.710059171597635</v>
      </c>
      <c r="D360" s="55" t="str">
        <f t="shared" ca="1" si="71"/>
        <v>26.100 || 464.000</v>
      </c>
      <c r="E360" s="120">
        <f t="shared" ca="1" si="79"/>
        <v>1.1597633136094601</v>
      </c>
      <c r="F360" s="56" t="e">
        <f t="shared" ca="1" si="80"/>
        <v>#N/A</v>
      </c>
      <c r="G360" s="56" t="e">
        <f t="shared" ca="1" si="72"/>
        <v>#N/A</v>
      </c>
      <c r="H360" s="116" t="e">
        <f t="shared" ca="1" si="73"/>
        <v>#N/A</v>
      </c>
      <c r="I360" s="57" t="e">
        <f t="shared" ca="1" si="74"/>
        <v>#N/A</v>
      </c>
      <c r="J360" s="131">
        <f t="shared" ca="1" si="81"/>
        <v>996</v>
      </c>
      <c r="K360" s="122" t="str">
        <f t="shared" ca="1" si="75"/>
        <v/>
      </c>
      <c r="L360" s="130" t="str">
        <f t="shared" ca="1" si="76"/>
        <v/>
      </c>
      <c r="M360" s="126">
        <f t="shared" ca="1" si="77"/>
        <v>995</v>
      </c>
      <c r="N360" s="58">
        <f t="shared" ref="N360:O423" ca="1" si="82">N264*10</f>
        <v>464.00000000000006</v>
      </c>
      <c r="O360" s="160">
        <f t="shared" ca="1" si="82"/>
        <v>442.50197739671182</v>
      </c>
    </row>
    <row r="361" spans="1:15" x14ac:dyDescent="0.25">
      <c r="A361" s="55">
        <f t="shared" ca="1" si="78"/>
        <v>240</v>
      </c>
      <c r="B361" s="55">
        <f t="shared" ca="1" si="69"/>
        <v>26.1</v>
      </c>
      <c r="C361" s="55">
        <f t="shared" ca="1" si="70"/>
        <v>24.831688698566378</v>
      </c>
      <c r="D361" s="55" t="str">
        <f t="shared" ca="1" si="71"/>
        <v>26.100 || 511.000</v>
      </c>
      <c r="E361" s="120">
        <f t="shared" ca="1" si="79"/>
        <v>0.67324520573448865</v>
      </c>
      <c r="F361" s="56" t="e">
        <f t="shared" ca="1" si="80"/>
        <v>#N/A</v>
      </c>
      <c r="G361" s="56" t="e">
        <f t="shared" ca="1" si="72"/>
        <v>#N/A</v>
      </c>
      <c r="H361" s="116" t="e">
        <f t="shared" ca="1" si="73"/>
        <v>#N/A</v>
      </c>
      <c r="I361" s="57" t="e">
        <f t="shared" ca="1" si="74"/>
        <v>#N/A</v>
      </c>
      <c r="J361" s="131">
        <f t="shared" ca="1" si="81"/>
        <v>996</v>
      </c>
      <c r="K361" s="122" t="str">
        <f t="shared" ca="1" si="75"/>
        <v>26.100 || 511.000</v>
      </c>
      <c r="L361" s="130">
        <f t="shared" ca="1" si="76"/>
        <v>24.831688698566378</v>
      </c>
      <c r="M361" s="126">
        <f t="shared" ca="1" si="77"/>
        <v>0.67324520573448865</v>
      </c>
      <c r="N361" s="58">
        <f t="shared" ca="1" si="82"/>
        <v>511</v>
      </c>
      <c r="O361" s="160">
        <f t="shared" ca="1" si="82"/>
        <v>486.93326031397771</v>
      </c>
    </row>
    <row r="362" spans="1:15" x14ac:dyDescent="0.25">
      <c r="A362" s="55">
        <f t="shared" ca="1" si="78"/>
        <v>240</v>
      </c>
      <c r="B362" s="55">
        <f t="shared" ca="1" si="69"/>
        <v>26.1</v>
      </c>
      <c r="C362" s="55">
        <f t="shared" ca="1" si="70"/>
        <v>24.831688698566378</v>
      </c>
      <c r="D362" s="55" t="str">
        <f t="shared" ca="1" si="71"/>
        <v>26.100 || 511.000</v>
      </c>
      <c r="E362" s="120">
        <f t="shared" ca="1" si="79"/>
        <v>0.67324520573448865</v>
      </c>
      <c r="F362" s="56" t="e">
        <f t="shared" ca="1" si="80"/>
        <v>#N/A</v>
      </c>
      <c r="G362" s="56" t="e">
        <f t="shared" ca="1" si="72"/>
        <v>#N/A</v>
      </c>
      <c r="H362" s="116" t="e">
        <f t="shared" ca="1" si="73"/>
        <v>#N/A</v>
      </c>
      <c r="I362" s="57" t="e">
        <f t="shared" ca="1" si="74"/>
        <v>#N/A</v>
      </c>
      <c r="J362" s="131">
        <f t="shared" ca="1" si="81"/>
        <v>996</v>
      </c>
      <c r="K362" s="122" t="str">
        <f t="shared" ca="1" si="75"/>
        <v>26.100 || 511.000</v>
      </c>
      <c r="L362" s="130">
        <f t="shared" ca="1" si="76"/>
        <v>24.831688698566378</v>
      </c>
      <c r="M362" s="126">
        <f t="shared" ca="1" si="77"/>
        <v>0.67324520573448865</v>
      </c>
      <c r="N362" s="58">
        <f t="shared" ca="1" si="82"/>
        <v>511</v>
      </c>
      <c r="O362" s="160">
        <f t="shared" ca="1" si="82"/>
        <v>486.93326031397771</v>
      </c>
    </row>
    <row r="363" spans="1:15" x14ac:dyDescent="0.25">
      <c r="A363" s="55">
        <f t="shared" ca="1" si="78"/>
        <v>240</v>
      </c>
      <c r="B363" s="55">
        <f t="shared" ca="1" si="69"/>
        <v>26.1</v>
      </c>
      <c r="C363" s="55">
        <f t="shared" ca="1" si="70"/>
        <v>24.831688698566378</v>
      </c>
      <c r="D363" s="55" t="str">
        <f t="shared" ca="1" si="71"/>
        <v>26.100 || 511.000</v>
      </c>
      <c r="E363" s="120">
        <f t="shared" ca="1" si="79"/>
        <v>0.67324520573448865</v>
      </c>
      <c r="F363" s="56" t="e">
        <f t="shared" ca="1" si="80"/>
        <v>#N/A</v>
      </c>
      <c r="G363" s="56" t="e">
        <f t="shared" ca="1" si="72"/>
        <v>#N/A</v>
      </c>
      <c r="H363" s="116" t="e">
        <f t="shared" ca="1" si="73"/>
        <v>#N/A</v>
      </c>
      <c r="I363" s="57" t="e">
        <f t="shared" ca="1" si="74"/>
        <v>#N/A</v>
      </c>
      <c r="J363" s="131">
        <f t="shared" ca="1" si="81"/>
        <v>996</v>
      </c>
      <c r="K363" s="122" t="str">
        <f t="shared" ca="1" si="75"/>
        <v>26.100 || 511.000</v>
      </c>
      <c r="L363" s="130">
        <f t="shared" ca="1" si="76"/>
        <v>24.831688698566378</v>
      </c>
      <c r="M363" s="126">
        <f t="shared" ca="1" si="77"/>
        <v>0.67324520573448865</v>
      </c>
      <c r="N363" s="58">
        <f t="shared" ca="1" si="82"/>
        <v>511</v>
      </c>
      <c r="O363" s="160">
        <f t="shared" ca="1" si="82"/>
        <v>486.93326031397771</v>
      </c>
    </row>
    <row r="364" spans="1:15" x14ac:dyDescent="0.25">
      <c r="A364" s="55">
        <f t="shared" ca="1" si="78"/>
        <v>240</v>
      </c>
      <c r="B364" s="55">
        <f t="shared" ca="1" si="69"/>
        <v>26.1</v>
      </c>
      <c r="C364" s="55">
        <f t="shared" ca="1" si="70"/>
        <v>24.831688698566378</v>
      </c>
      <c r="D364" s="55" t="str">
        <f t="shared" ca="1" si="71"/>
        <v>26.100 || 511.000</v>
      </c>
      <c r="E364" s="120">
        <f t="shared" ca="1" si="79"/>
        <v>0.67324520573448865</v>
      </c>
      <c r="F364" s="56" t="e">
        <f t="shared" ca="1" si="80"/>
        <v>#N/A</v>
      </c>
      <c r="G364" s="56" t="e">
        <f t="shared" ca="1" si="72"/>
        <v>#N/A</v>
      </c>
      <c r="H364" s="116" t="e">
        <f t="shared" ca="1" si="73"/>
        <v>#N/A</v>
      </c>
      <c r="I364" s="57" t="e">
        <f t="shared" ca="1" si="74"/>
        <v>#N/A</v>
      </c>
      <c r="J364" s="131">
        <f t="shared" ca="1" si="81"/>
        <v>996</v>
      </c>
      <c r="K364" s="122" t="str">
        <f t="shared" ca="1" si="75"/>
        <v>26.100 || 511.000</v>
      </c>
      <c r="L364" s="130">
        <f t="shared" ca="1" si="76"/>
        <v>24.831688698566378</v>
      </c>
      <c r="M364" s="126">
        <f t="shared" ca="1" si="77"/>
        <v>0.67324520573448865</v>
      </c>
      <c r="N364" s="58">
        <f t="shared" ca="1" si="82"/>
        <v>511</v>
      </c>
      <c r="O364" s="160">
        <f t="shared" ca="1" si="82"/>
        <v>486.93326031397771</v>
      </c>
    </row>
    <row r="365" spans="1:15" x14ac:dyDescent="0.25">
      <c r="A365" s="55">
        <f t="shared" ca="1" si="78"/>
        <v>240</v>
      </c>
      <c r="B365" s="55">
        <f t="shared" ca="1" si="69"/>
        <v>26.1</v>
      </c>
      <c r="C365" s="55">
        <f t="shared" ca="1" si="70"/>
        <v>24.941676585614694</v>
      </c>
      <c r="D365" s="55" t="str">
        <f t="shared" ca="1" si="71"/>
        <v>26.100 || 562.000</v>
      </c>
      <c r="E365" s="120">
        <f t="shared" ca="1" si="79"/>
        <v>0.23329365754122477</v>
      </c>
      <c r="F365" s="56" t="e">
        <f t="shared" ca="1" si="80"/>
        <v>#N/A</v>
      </c>
      <c r="G365" s="56" t="e">
        <f t="shared" ca="1" si="72"/>
        <v>#N/A</v>
      </c>
      <c r="H365" s="116" t="e">
        <f t="shared" ca="1" si="73"/>
        <v>#N/A</v>
      </c>
      <c r="I365" s="57" t="e">
        <f t="shared" ca="1" si="74"/>
        <v>#N/A</v>
      </c>
      <c r="J365" s="131">
        <f t="shared" ca="1" si="81"/>
        <v>996</v>
      </c>
      <c r="K365" s="122" t="str">
        <f t="shared" ca="1" si="75"/>
        <v>26.100 || 562.000</v>
      </c>
      <c r="L365" s="130">
        <f t="shared" ca="1" si="76"/>
        <v>24.941676585614694</v>
      </c>
      <c r="M365" s="126">
        <f t="shared" ca="1" si="77"/>
        <v>0.23329365754122477</v>
      </c>
      <c r="N365" s="58">
        <f t="shared" ca="1" si="82"/>
        <v>562.00000000000011</v>
      </c>
      <c r="O365" s="160">
        <f t="shared" ca="1" si="82"/>
        <v>535.89364616498301</v>
      </c>
    </row>
    <row r="366" spans="1:15" x14ac:dyDescent="0.25">
      <c r="A366" s="55">
        <f t="shared" ca="1" si="78"/>
        <v>240</v>
      </c>
      <c r="B366" s="55">
        <f t="shared" ca="1" si="69"/>
        <v>26.1</v>
      </c>
      <c r="C366" s="55">
        <f t="shared" ca="1" si="70"/>
        <v>24.941676585614694</v>
      </c>
      <c r="D366" s="55" t="str">
        <f t="shared" ca="1" si="71"/>
        <v>26.100 || 562.000</v>
      </c>
      <c r="E366" s="120">
        <f t="shared" ca="1" si="79"/>
        <v>0.23329365754122477</v>
      </c>
      <c r="F366" s="56" t="e">
        <f t="shared" ca="1" si="80"/>
        <v>#N/A</v>
      </c>
      <c r="G366" s="56" t="e">
        <f t="shared" ca="1" si="72"/>
        <v>#N/A</v>
      </c>
      <c r="H366" s="116" t="e">
        <f t="shared" ca="1" si="73"/>
        <v>#N/A</v>
      </c>
      <c r="I366" s="57" t="e">
        <f t="shared" ca="1" si="74"/>
        <v>#N/A</v>
      </c>
      <c r="J366" s="131">
        <f t="shared" ca="1" si="81"/>
        <v>996</v>
      </c>
      <c r="K366" s="122" t="str">
        <f t="shared" ca="1" si="75"/>
        <v>26.100 || 562.000</v>
      </c>
      <c r="L366" s="130">
        <f t="shared" ca="1" si="76"/>
        <v>24.941676585614694</v>
      </c>
      <c r="M366" s="126">
        <f t="shared" ca="1" si="77"/>
        <v>0.23329365754122477</v>
      </c>
      <c r="N366" s="58">
        <f t="shared" ca="1" si="82"/>
        <v>562.00000000000011</v>
      </c>
      <c r="O366" s="160">
        <f t="shared" ca="1" si="82"/>
        <v>535.89364616498301</v>
      </c>
    </row>
    <row r="367" spans="1:15" x14ac:dyDescent="0.25">
      <c r="A367" s="55">
        <f t="shared" ca="1" si="78"/>
        <v>240</v>
      </c>
      <c r="B367" s="55">
        <f t="shared" ca="1" si="69"/>
        <v>26.1</v>
      </c>
      <c r="C367" s="55">
        <f t="shared" ca="1" si="70"/>
        <v>24.941676585614694</v>
      </c>
      <c r="D367" s="55" t="str">
        <f t="shared" ca="1" si="71"/>
        <v>26.100 || 562.000</v>
      </c>
      <c r="E367" s="120">
        <f t="shared" ca="1" si="79"/>
        <v>0.23329365754122477</v>
      </c>
      <c r="F367" s="56" t="e">
        <f t="shared" ca="1" si="80"/>
        <v>#N/A</v>
      </c>
      <c r="G367" s="56" t="e">
        <f t="shared" ca="1" si="72"/>
        <v>#N/A</v>
      </c>
      <c r="H367" s="116" t="e">
        <f t="shared" ca="1" si="73"/>
        <v>#N/A</v>
      </c>
      <c r="I367" s="57" t="e">
        <f t="shared" ca="1" si="74"/>
        <v>#N/A</v>
      </c>
      <c r="J367" s="131">
        <f t="shared" ca="1" si="81"/>
        <v>996</v>
      </c>
      <c r="K367" s="122" t="str">
        <f t="shared" ca="1" si="75"/>
        <v>26.100 || 562.000</v>
      </c>
      <c r="L367" s="130">
        <f t="shared" ca="1" si="76"/>
        <v>24.941676585614694</v>
      </c>
      <c r="M367" s="126">
        <f t="shared" ca="1" si="77"/>
        <v>0.23329365754122477</v>
      </c>
      <c r="N367" s="58">
        <f t="shared" ca="1" si="82"/>
        <v>562.00000000000011</v>
      </c>
      <c r="O367" s="160">
        <f t="shared" ca="1" si="82"/>
        <v>535.89364616498301</v>
      </c>
    </row>
    <row r="368" spans="1:15" x14ac:dyDescent="0.25">
      <c r="A368" s="55">
        <f t="shared" ca="1" si="78"/>
        <v>240</v>
      </c>
      <c r="B368" s="55">
        <f t="shared" ca="1" si="69"/>
        <v>26.1</v>
      </c>
      <c r="C368" s="55">
        <f t="shared" ca="1" si="70"/>
        <v>24.941676585614694</v>
      </c>
      <c r="D368" s="55" t="str">
        <f t="shared" ca="1" si="71"/>
        <v>26.100 || 562.000</v>
      </c>
      <c r="E368" s="120">
        <f t="shared" ca="1" si="79"/>
        <v>0.23329365754122477</v>
      </c>
      <c r="F368" s="56" t="e">
        <f t="shared" ca="1" si="80"/>
        <v>#N/A</v>
      </c>
      <c r="G368" s="56" t="e">
        <f t="shared" ca="1" si="72"/>
        <v>#N/A</v>
      </c>
      <c r="H368" s="116" t="e">
        <f t="shared" ca="1" si="73"/>
        <v>#N/A</v>
      </c>
      <c r="I368" s="57" t="e">
        <f t="shared" ca="1" si="74"/>
        <v>#N/A</v>
      </c>
      <c r="J368" s="131">
        <f t="shared" ca="1" si="81"/>
        <v>996</v>
      </c>
      <c r="K368" s="122" t="str">
        <f t="shared" ca="1" si="75"/>
        <v>26.100 || 562.000</v>
      </c>
      <c r="L368" s="130">
        <f t="shared" ca="1" si="76"/>
        <v>24.941676585614694</v>
      </c>
      <c r="M368" s="126">
        <f t="shared" ca="1" si="77"/>
        <v>0.23329365754122477</v>
      </c>
      <c r="N368" s="58">
        <f t="shared" ca="1" si="82"/>
        <v>562.00000000000011</v>
      </c>
      <c r="O368" s="160">
        <f t="shared" ca="1" si="82"/>
        <v>535.89364616498301</v>
      </c>
    </row>
    <row r="369" spans="1:15" x14ac:dyDescent="0.25">
      <c r="A369" s="55">
        <f t="shared" ca="1" si="78"/>
        <v>240</v>
      </c>
      <c r="B369" s="55">
        <f t="shared" ca="1" si="69"/>
        <v>26.1</v>
      </c>
      <c r="C369" s="55">
        <f t="shared" ca="1" si="70"/>
        <v>25.044024182297321</v>
      </c>
      <c r="D369" s="55" t="str">
        <f t="shared" ca="1" si="71"/>
        <v>26.100 || 619.000</v>
      </c>
      <c r="E369" s="120">
        <f t="shared" ca="1" si="79"/>
        <v>0.17609672918928254</v>
      </c>
      <c r="F369" s="56" t="e">
        <f t="shared" ca="1" si="80"/>
        <v>#N/A</v>
      </c>
      <c r="G369" s="56" t="e">
        <f t="shared" ca="1" si="72"/>
        <v>#N/A</v>
      </c>
      <c r="H369" s="116" t="e">
        <f t="shared" ca="1" si="73"/>
        <v>#N/A</v>
      </c>
      <c r="I369" s="57" t="e">
        <f t="shared" ca="1" si="74"/>
        <v>#N/A</v>
      </c>
      <c r="J369" s="131">
        <f t="shared" ca="1" si="81"/>
        <v>996</v>
      </c>
      <c r="K369" s="122" t="str">
        <f t="shared" ca="1" si="75"/>
        <v>26.100 || 619.000</v>
      </c>
      <c r="L369" s="130">
        <f t="shared" ca="1" si="76"/>
        <v>25.044024182297321</v>
      </c>
      <c r="M369" s="126">
        <f t="shared" ca="1" si="77"/>
        <v>0.17609672918928254</v>
      </c>
      <c r="N369" s="58">
        <f t="shared" ca="1" si="82"/>
        <v>618.99999999999989</v>
      </c>
      <c r="O369" s="160">
        <f t="shared" ca="1" si="82"/>
        <v>589.81183440144696</v>
      </c>
    </row>
    <row r="370" spans="1:15" x14ac:dyDescent="0.25">
      <c r="A370" s="55">
        <f t="shared" ca="1" si="78"/>
        <v>240</v>
      </c>
      <c r="B370" s="55">
        <f t="shared" ca="1" si="69"/>
        <v>26.1</v>
      </c>
      <c r="C370" s="55">
        <f t="shared" ca="1" si="70"/>
        <v>25.044024182297321</v>
      </c>
      <c r="D370" s="55" t="str">
        <f t="shared" ca="1" si="71"/>
        <v>26.100 || 619.000</v>
      </c>
      <c r="E370" s="120">
        <f t="shared" ca="1" si="79"/>
        <v>0.17609672918928254</v>
      </c>
      <c r="F370" s="56" t="e">
        <f t="shared" ca="1" si="80"/>
        <v>#N/A</v>
      </c>
      <c r="G370" s="56" t="e">
        <f t="shared" ca="1" si="72"/>
        <v>#N/A</v>
      </c>
      <c r="H370" s="116" t="e">
        <f t="shared" ca="1" si="73"/>
        <v>#N/A</v>
      </c>
      <c r="I370" s="57" t="e">
        <f t="shared" ca="1" si="74"/>
        <v>#N/A</v>
      </c>
      <c r="J370" s="131">
        <f t="shared" ca="1" si="81"/>
        <v>996</v>
      </c>
      <c r="K370" s="122" t="str">
        <f t="shared" ca="1" si="75"/>
        <v>26.100 || 619.000</v>
      </c>
      <c r="L370" s="130">
        <f t="shared" ca="1" si="76"/>
        <v>25.044024182297321</v>
      </c>
      <c r="M370" s="126">
        <f t="shared" ca="1" si="77"/>
        <v>0.17609672918928254</v>
      </c>
      <c r="N370" s="58">
        <f t="shared" ca="1" si="82"/>
        <v>618.99999999999989</v>
      </c>
      <c r="O370" s="160">
        <f t="shared" ca="1" si="82"/>
        <v>589.81183440144696</v>
      </c>
    </row>
    <row r="371" spans="1:15" x14ac:dyDescent="0.25">
      <c r="A371" s="55">
        <f t="shared" ca="1" si="78"/>
        <v>240</v>
      </c>
      <c r="B371" s="55">
        <f t="shared" ca="1" si="69"/>
        <v>26.1</v>
      </c>
      <c r="C371" s="55">
        <f t="shared" ca="1" si="70"/>
        <v>25.044024182297321</v>
      </c>
      <c r="D371" s="55" t="str">
        <f t="shared" ca="1" si="71"/>
        <v>26.100 || 619.000</v>
      </c>
      <c r="E371" s="120">
        <f t="shared" ca="1" si="79"/>
        <v>0.17609672918928254</v>
      </c>
      <c r="F371" s="56" t="e">
        <f t="shared" ca="1" si="80"/>
        <v>#N/A</v>
      </c>
      <c r="G371" s="56" t="e">
        <f t="shared" ca="1" si="72"/>
        <v>#N/A</v>
      </c>
      <c r="H371" s="116" t="e">
        <f t="shared" ca="1" si="73"/>
        <v>#N/A</v>
      </c>
      <c r="I371" s="57" t="e">
        <f t="shared" ca="1" si="74"/>
        <v>#N/A</v>
      </c>
      <c r="J371" s="131">
        <f t="shared" ca="1" si="81"/>
        <v>996</v>
      </c>
      <c r="K371" s="122" t="str">
        <f t="shared" ca="1" si="75"/>
        <v>26.100 || 619.000</v>
      </c>
      <c r="L371" s="130">
        <f t="shared" ca="1" si="76"/>
        <v>25.044024182297321</v>
      </c>
      <c r="M371" s="126">
        <f t="shared" ca="1" si="77"/>
        <v>0.17609672918928254</v>
      </c>
      <c r="N371" s="58">
        <f t="shared" ca="1" si="82"/>
        <v>618.99999999999989</v>
      </c>
      <c r="O371" s="160">
        <f t="shared" ca="1" si="82"/>
        <v>589.81183440144696</v>
      </c>
    </row>
    <row r="372" spans="1:15" x14ac:dyDescent="0.25">
      <c r="A372" s="55">
        <f t="shared" ca="1" si="78"/>
        <v>240</v>
      </c>
      <c r="B372" s="55">
        <f t="shared" ca="1" si="69"/>
        <v>26.1</v>
      </c>
      <c r="C372" s="55">
        <f t="shared" ca="1" si="70"/>
        <v>25.044024182297321</v>
      </c>
      <c r="D372" s="55" t="str">
        <f t="shared" ca="1" si="71"/>
        <v>26.100 || 619.000</v>
      </c>
      <c r="E372" s="120">
        <f t="shared" ca="1" si="79"/>
        <v>0.17609672918928254</v>
      </c>
      <c r="F372" s="56" t="e">
        <f t="shared" ca="1" si="80"/>
        <v>#N/A</v>
      </c>
      <c r="G372" s="56" t="e">
        <f t="shared" ca="1" si="72"/>
        <v>#N/A</v>
      </c>
      <c r="H372" s="116" t="e">
        <f t="shared" ca="1" si="73"/>
        <v>#N/A</v>
      </c>
      <c r="I372" s="57" t="e">
        <f t="shared" ca="1" si="74"/>
        <v>#N/A</v>
      </c>
      <c r="J372" s="131">
        <f t="shared" ca="1" si="81"/>
        <v>996</v>
      </c>
      <c r="K372" s="122" t="str">
        <f t="shared" ca="1" si="75"/>
        <v>26.100 || 619.000</v>
      </c>
      <c r="L372" s="130">
        <f t="shared" ca="1" si="76"/>
        <v>25.044024182297321</v>
      </c>
      <c r="M372" s="126">
        <f t="shared" ca="1" si="77"/>
        <v>0.17609672918928254</v>
      </c>
      <c r="N372" s="58">
        <f t="shared" ca="1" si="82"/>
        <v>618.99999999999989</v>
      </c>
      <c r="O372" s="160">
        <f t="shared" ca="1" si="82"/>
        <v>589.81183440144696</v>
      </c>
    </row>
    <row r="373" spans="1:15" x14ac:dyDescent="0.25">
      <c r="A373" s="55">
        <f t="shared" ca="1" si="78"/>
        <v>240</v>
      </c>
      <c r="B373" s="55">
        <f t="shared" ca="1" si="69"/>
        <v>26.1</v>
      </c>
      <c r="C373" s="55">
        <f t="shared" ca="1" si="70"/>
        <v>25.136614340263051</v>
      </c>
      <c r="D373" s="55" t="str">
        <f t="shared" ca="1" si="71"/>
        <v>26.100 || 681.000</v>
      </c>
      <c r="E373" s="120">
        <f t="shared" ca="1" si="79"/>
        <v>0.54645736105220521</v>
      </c>
      <c r="F373" s="56" t="e">
        <f t="shared" ca="1" si="80"/>
        <v>#N/A</v>
      </c>
      <c r="G373" s="56" t="e">
        <f t="shared" ca="1" si="72"/>
        <v>#N/A</v>
      </c>
      <c r="H373" s="116" t="e">
        <f t="shared" ca="1" si="73"/>
        <v>#N/A</v>
      </c>
      <c r="I373" s="57" t="e">
        <f t="shared" ca="1" si="74"/>
        <v>#N/A</v>
      </c>
      <c r="J373" s="131">
        <f t="shared" ca="1" si="81"/>
        <v>996</v>
      </c>
      <c r="K373" s="122" t="str">
        <f t="shared" ca="1" si="75"/>
        <v>26.100 || 681.000</v>
      </c>
      <c r="L373" s="130">
        <f t="shared" ca="1" si="76"/>
        <v>25.136614340263051</v>
      </c>
      <c r="M373" s="126">
        <f t="shared" ca="1" si="77"/>
        <v>0.54645736105220521</v>
      </c>
      <c r="N373" s="58">
        <f t="shared" ca="1" si="82"/>
        <v>681.00000000000011</v>
      </c>
      <c r="O373" s="160">
        <f t="shared" ca="1" si="82"/>
        <v>649.26034839654278</v>
      </c>
    </row>
    <row r="374" spans="1:15" x14ac:dyDescent="0.25">
      <c r="A374" s="55">
        <f t="shared" ca="1" si="78"/>
        <v>240</v>
      </c>
      <c r="B374" s="55">
        <f t="shared" ca="1" si="69"/>
        <v>26.1</v>
      </c>
      <c r="C374" s="55">
        <f t="shared" ca="1" si="70"/>
        <v>25.136614340263051</v>
      </c>
      <c r="D374" s="55" t="str">
        <f t="shared" ca="1" si="71"/>
        <v>26.100 || 681.000</v>
      </c>
      <c r="E374" s="120">
        <f t="shared" ca="1" si="79"/>
        <v>0.54645736105220521</v>
      </c>
      <c r="F374" s="56" t="e">
        <f t="shared" ca="1" si="80"/>
        <v>#N/A</v>
      </c>
      <c r="G374" s="56" t="e">
        <f t="shared" ca="1" si="72"/>
        <v>#N/A</v>
      </c>
      <c r="H374" s="116" t="e">
        <f t="shared" ca="1" si="73"/>
        <v>#N/A</v>
      </c>
      <c r="I374" s="57" t="e">
        <f t="shared" ca="1" si="74"/>
        <v>#N/A</v>
      </c>
      <c r="J374" s="131">
        <f t="shared" ca="1" si="81"/>
        <v>996</v>
      </c>
      <c r="K374" s="122" t="str">
        <f t="shared" ca="1" si="75"/>
        <v>26.100 || 681.000</v>
      </c>
      <c r="L374" s="130">
        <f t="shared" ca="1" si="76"/>
        <v>25.136614340263051</v>
      </c>
      <c r="M374" s="126">
        <f t="shared" ca="1" si="77"/>
        <v>0.54645736105220521</v>
      </c>
      <c r="N374" s="58">
        <f t="shared" ca="1" si="82"/>
        <v>681.00000000000011</v>
      </c>
      <c r="O374" s="160">
        <f t="shared" ca="1" si="82"/>
        <v>649.26034839654278</v>
      </c>
    </row>
    <row r="375" spans="1:15" x14ac:dyDescent="0.25">
      <c r="A375" s="55">
        <f t="shared" ca="1" si="78"/>
        <v>240</v>
      </c>
      <c r="B375" s="55">
        <f t="shared" ca="1" si="69"/>
        <v>26.1</v>
      </c>
      <c r="C375" s="55">
        <f t="shared" ca="1" si="70"/>
        <v>25.136614340263051</v>
      </c>
      <c r="D375" s="55" t="str">
        <f t="shared" ca="1" si="71"/>
        <v>26.100 || 681.000</v>
      </c>
      <c r="E375" s="120">
        <f t="shared" ca="1" si="79"/>
        <v>0.54645736105220521</v>
      </c>
      <c r="F375" s="56" t="e">
        <f t="shared" ca="1" si="80"/>
        <v>#N/A</v>
      </c>
      <c r="G375" s="56" t="e">
        <f t="shared" ca="1" si="72"/>
        <v>#N/A</v>
      </c>
      <c r="H375" s="116" t="e">
        <f t="shared" ca="1" si="73"/>
        <v>#N/A</v>
      </c>
      <c r="I375" s="57" t="e">
        <f t="shared" ca="1" si="74"/>
        <v>#N/A</v>
      </c>
      <c r="J375" s="131">
        <f t="shared" ca="1" si="81"/>
        <v>996</v>
      </c>
      <c r="K375" s="122" t="str">
        <f t="shared" ca="1" si="75"/>
        <v>26.100 || 681.000</v>
      </c>
      <c r="L375" s="130">
        <f t="shared" ca="1" si="76"/>
        <v>25.136614340263051</v>
      </c>
      <c r="M375" s="126">
        <f t="shared" ca="1" si="77"/>
        <v>0.54645736105220521</v>
      </c>
      <c r="N375" s="58">
        <f t="shared" ca="1" si="82"/>
        <v>681.00000000000011</v>
      </c>
      <c r="O375" s="160">
        <f t="shared" ca="1" si="82"/>
        <v>649.26034839654278</v>
      </c>
    </row>
    <row r="376" spans="1:15" x14ac:dyDescent="0.25">
      <c r="A376" s="55">
        <f t="shared" ca="1" si="78"/>
        <v>240</v>
      </c>
      <c r="B376" s="55">
        <f t="shared" ca="1" si="69"/>
        <v>26.1</v>
      </c>
      <c r="C376" s="55">
        <f t="shared" ca="1" si="70"/>
        <v>25.136614340263051</v>
      </c>
      <c r="D376" s="55" t="str">
        <f t="shared" ca="1" si="71"/>
        <v>26.100 || 681.000</v>
      </c>
      <c r="E376" s="120">
        <f t="shared" ca="1" si="79"/>
        <v>0.54645736105220521</v>
      </c>
      <c r="F376" s="56" t="e">
        <f t="shared" ca="1" si="80"/>
        <v>#N/A</v>
      </c>
      <c r="G376" s="56" t="e">
        <f t="shared" ca="1" si="72"/>
        <v>#N/A</v>
      </c>
      <c r="H376" s="116" t="e">
        <f t="shared" ca="1" si="73"/>
        <v>#N/A</v>
      </c>
      <c r="I376" s="57" t="e">
        <f t="shared" ca="1" si="74"/>
        <v>#N/A</v>
      </c>
      <c r="J376" s="131">
        <f t="shared" ca="1" si="81"/>
        <v>996</v>
      </c>
      <c r="K376" s="122" t="str">
        <f t="shared" ca="1" si="75"/>
        <v>26.100 || 681.000</v>
      </c>
      <c r="L376" s="130">
        <f t="shared" ca="1" si="76"/>
        <v>25.136614340263051</v>
      </c>
      <c r="M376" s="126">
        <f t="shared" ca="1" si="77"/>
        <v>0.54645736105220521</v>
      </c>
      <c r="N376" s="58">
        <f t="shared" ca="1" si="82"/>
        <v>681.00000000000011</v>
      </c>
      <c r="O376" s="160">
        <f t="shared" ca="1" si="82"/>
        <v>649.26034839654278</v>
      </c>
    </row>
    <row r="377" spans="1:15" x14ac:dyDescent="0.25">
      <c r="A377" s="55">
        <f t="shared" ca="1" si="78"/>
        <v>240</v>
      </c>
      <c r="B377" s="55">
        <f t="shared" ca="1" si="69"/>
        <v>26.1</v>
      </c>
      <c r="C377" s="55">
        <f t="shared" ca="1" si="70"/>
        <v>25.22226517201392</v>
      </c>
      <c r="D377" s="55" t="str">
        <f t="shared" ca="1" si="71"/>
        <v>26.100 || 750.000</v>
      </c>
      <c r="E377" s="120">
        <f t="shared" ca="1" si="79"/>
        <v>0.88906068805567884</v>
      </c>
      <c r="F377" s="56" t="e">
        <f t="shared" ca="1" si="80"/>
        <v>#N/A</v>
      </c>
      <c r="G377" s="56" t="e">
        <f t="shared" ca="1" si="72"/>
        <v>#N/A</v>
      </c>
      <c r="H377" s="116" t="e">
        <f t="shared" ca="1" si="73"/>
        <v>#N/A</v>
      </c>
      <c r="I377" s="57" t="e">
        <f t="shared" ca="1" si="74"/>
        <v>#N/A</v>
      </c>
      <c r="J377" s="131">
        <f t="shared" ca="1" si="81"/>
        <v>996</v>
      </c>
      <c r="K377" s="122" t="str">
        <f t="shared" ca="1" si="75"/>
        <v>26.100 || 750.000</v>
      </c>
      <c r="L377" s="130">
        <f t="shared" ca="1" si="76"/>
        <v>25.22226517201392</v>
      </c>
      <c r="M377" s="126">
        <f t="shared" ca="1" si="77"/>
        <v>0.88906068805567884</v>
      </c>
      <c r="N377" s="58">
        <f t="shared" ca="1" si="82"/>
        <v>750</v>
      </c>
      <c r="O377" s="160">
        <f t="shared" ca="1" si="82"/>
        <v>714.6677549742958</v>
      </c>
    </row>
    <row r="378" spans="1:15" x14ac:dyDescent="0.25">
      <c r="A378" s="55">
        <f t="shared" ca="1" si="78"/>
        <v>240</v>
      </c>
      <c r="B378" s="55">
        <f t="shared" ca="1" si="69"/>
        <v>26.1</v>
      </c>
      <c r="C378" s="55">
        <f t="shared" ca="1" si="70"/>
        <v>25.22226517201392</v>
      </c>
      <c r="D378" s="55" t="str">
        <f t="shared" ca="1" si="71"/>
        <v>26.100 || 750.000</v>
      </c>
      <c r="E378" s="120">
        <f t="shared" ca="1" si="79"/>
        <v>0.88906068805567884</v>
      </c>
      <c r="F378" s="56" t="e">
        <f t="shared" ca="1" si="80"/>
        <v>#N/A</v>
      </c>
      <c r="G378" s="56" t="e">
        <f t="shared" ca="1" si="72"/>
        <v>#N/A</v>
      </c>
      <c r="H378" s="116" t="e">
        <f t="shared" ca="1" si="73"/>
        <v>#N/A</v>
      </c>
      <c r="I378" s="57" t="e">
        <f t="shared" ca="1" si="74"/>
        <v>#N/A</v>
      </c>
      <c r="J378" s="131">
        <f t="shared" ca="1" si="81"/>
        <v>996</v>
      </c>
      <c r="K378" s="122" t="str">
        <f t="shared" ca="1" si="75"/>
        <v>26.100 || 750.000</v>
      </c>
      <c r="L378" s="130">
        <f t="shared" ca="1" si="76"/>
        <v>25.22226517201392</v>
      </c>
      <c r="M378" s="126">
        <f t="shared" ca="1" si="77"/>
        <v>0.88906068805567884</v>
      </c>
      <c r="N378" s="58">
        <f t="shared" ca="1" si="82"/>
        <v>750</v>
      </c>
      <c r="O378" s="160">
        <f t="shared" ca="1" si="82"/>
        <v>714.6677549742958</v>
      </c>
    </row>
    <row r="379" spans="1:15" x14ac:dyDescent="0.25">
      <c r="A379" s="55">
        <f t="shared" ca="1" si="78"/>
        <v>240</v>
      </c>
      <c r="B379" s="55">
        <f t="shared" ca="1" si="69"/>
        <v>26.1</v>
      </c>
      <c r="C379" s="55">
        <f t="shared" ca="1" si="70"/>
        <v>25.22226517201392</v>
      </c>
      <c r="D379" s="55" t="str">
        <f t="shared" ca="1" si="71"/>
        <v>26.100 || 750.000</v>
      </c>
      <c r="E379" s="120">
        <f t="shared" ca="1" si="79"/>
        <v>0.88906068805567884</v>
      </c>
      <c r="F379" s="56" t="e">
        <f t="shared" ca="1" si="80"/>
        <v>#N/A</v>
      </c>
      <c r="G379" s="56" t="e">
        <f t="shared" ca="1" si="72"/>
        <v>#N/A</v>
      </c>
      <c r="H379" s="116" t="e">
        <f t="shared" ca="1" si="73"/>
        <v>#N/A</v>
      </c>
      <c r="I379" s="57" t="e">
        <f t="shared" ca="1" si="74"/>
        <v>#N/A</v>
      </c>
      <c r="J379" s="131">
        <f t="shared" ca="1" si="81"/>
        <v>996</v>
      </c>
      <c r="K379" s="122" t="str">
        <f t="shared" ca="1" si="75"/>
        <v>26.100 || 750.000</v>
      </c>
      <c r="L379" s="130">
        <f t="shared" ca="1" si="76"/>
        <v>25.22226517201392</v>
      </c>
      <c r="M379" s="126">
        <f t="shared" ca="1" si="77"/>
        <v>0.88906068805567884</v>
      </c>
      <c r="N379" s="58">
        <f t="shared" ca="1" si="82"/>
        <v>750</v>
      </c>
      <c r="O379" s="160">
        <f t="shared" ca="1" si="82"/>
        <v>714.6677549742958</v>
      </c>
    </row>
    <row r="380" spans="1:15" x14ac:dyDescent="0.25">
      <c r="A380" s="55">
        <f t="shared" ca="1" si="78"/>
        <v>240</v>
      </c>
      <c r="B380" s="55">
        <f t="shared" ca="1" si="69"/>
        <v>26.1</v>
      </c>
      <c r="C380" s="55">
        <f t="shared" ca="1" si="70"/>
        <v>25.22226517201392</v>
      </c>
      <c r="D380" s="55" t="str">
        <f t="shared" ca="1" si="71"/>
        <v>26.100 || 750.000</v>
      </c>
      <c r="E380" s="120">
        <f t="shared" ca="1" si="79"/>
        <v>0.88906068805567884</v>
      </c>
      <c r="F380" s="56" t="e">
        <f t="shared" ca="1" si="80"/>
        <v>#N/A</v>
      </c>
      <c r="G380" s="56" t="e">
        <f t="shared" ca="1" si="72"/>
        <v>#N/A</v>
      </c>
      <c r="H380" s="116" t="e">
        <f t="shared" ca="1" si="73"/>
        <v>#N/A</v>
      </c>
      <c r="I380" s="57" t="e">
        <f t="shared" ca="1" si="74"/>
        <v>#N/A</v>
      </c>
      <c r="J380" s="131">
        <f t="shared" ca="1" si="81"/>
        <v>996</v>
      </c>
      <c r="K380" s="122" t="str">
        <f t="shared" ca="1" si="75"/>
        <v>26.100 || 750.000</v>
      </c>
      <c r="L380" s="130">
        <f t="shared" ca="1" si="76"/>
        <v>25.22226517201392</v>
      </c>
      <c r="M380" s="126">
        <f t="shared" ca="1" si="77"/>
        <v>0.88906068805567884</v>
      </c>
      <c r="N380" s="58">
        <f t="shared" ca="1" si="82"/>
        <v>750</v>
      </c>
      <c r="O380" s="160">
        <f t="shared" ca="1" si="82"/>
        <v>714.6677549742958</v>
      </c>
    </row>
    <row r="381" spans="1:15" x14ac:dyDescent="0.25">
      <c r="A381" s="55">
        <f t="shared" ca="1" si="78"/>
        <v>240</v>
      </c>
      <c r="B381" s="55">
        <f t="shared" ca="1" si="69"/>
        <v>26.1</v>
      </c>
      <c r="C381" s="55">
        <f t="shared" ca="1" si="70"/>
        <v>25.299612266478675</v>
      </c>
      <c r="D381" s="55" t="str">
        <f t="shared" ca="1" si="71"/>
        <v>26.100 || 825.000</v>
      </c>
      <c r="E381" s="120">
        <f t="shared" ca="1" si="79"/>
        <v>1.1984490659147014</v>
      </c>
      <c r="F381" s="56" t="e">
        <f t="shared" ca="1" si="80"/>
        <v>#N/A</v>
      </c>
      <c r="G381" s="56" t="e">
        <f t="shared" ca="1" si="72"/>
        <v>#N/A</v>
      </c>
      <c r="H381" s="116" t="e">
        <f t="shared" ca="1" si="73"/>
        <v>#N/A</v>
      </c>
      <c r="I381" s="57" t="e">
        <f t="shared" ca="1" si="74"/>
        <v>#N/A</v>
      </c>
      <c r="J381" s="131">
        <f t="shared" ca="1" si="81"/>
        <v>996</v>
      </c>
      <c r="K381" s="122" t="str">
        <f t="shared" ca="1" si="75"/>
        <v/>
      </c>
      <c r="L381" s="130" t="str">
        <f t="shared" ca="1" si="76"/>
        <v/>
      </c>
      <c r="M381" s="126">
        <f t="shared" ca="1" si="77"/>
        <v>995</v>
      </c>
      <c r="N381" s="58">
        <f t="shared" ca="1" si="82"/>
        <v>825</v>
      </c>
      <c r="O381" s="160">
        <f t="shared" ca="1" si="82"/>
        <v>786.60663612761368</v>
      </c>
    </row>
    <row r="382" spans="1:15" x14ac:dyDescent="0.25">
      <c r="A382" s="55">
        <f t="shared" ca="1" si="78"/>
        <v>240</v>
      </c>
      <c r="B382" s="55">
        <f t="shared" ca="1" si="69"/>
        <v>26.1</v>
      </c>
      <c r="C382" s="55">
        <f t="shared" ca="1" si="70"/>
        <v>25.299612266478675</v>
      </c>
      <c r="D382" s="55" t="str">
        <f t="shared" ca="1" si="71"/>
        <v>26.100 || 825.000</v>
      </c>
      <c r="E382" s="120">
        <f t="shared" ca="1" si="79"/>
        <v>1.1984490659147014</v>
      </c>
      <c r="F382" s="56" t="e">
        <f t="shared" ca="1" si="80"/>
        <v>#N/A</v>
      </c>
      <c r="G382" s="56" t="e">
        <f t="shared" ca="1" si="72"/>
        <v>#N/A</v>
      </c>
      <c r="H382" s="116" t="e">
        <f t="shared" ca="1" si="73"/>
        <v>#N/A</v>
      </c>
      <c r="I382" s="57" t="e">
        <f t="shared" ca="1" si="74"/>
        <v>#N/A</v>
      </c>
      <c r="J382" s="131">
        <f t="shared" ca="1" si="81"/>
        <v>996</v>
      </c>
      <c r="K382" s="122" t="str">
        <f t="shared" ca="1" si="75"/>
        <v/>
      </c>
      <c r="L382" s="130" t="str">
        <f t="shared" ca="1" si="76"/>
        <v/>
      </c>
      <c r="M382" s="126">
        <f t="shared" ca="1" si="77"/>
        <v>995</v>
      </c>
      <c r="N382" s="58">
        <f t="shared" ca="1" si="82"/>
        <v>825</v>
      </c>
      <c r="O382" s="160">
        <f t="shared" ca="1" si="82"/>
        <v>786.60663612761368</v>
      </c>
    </row>
    <row r="383" spans="1:15" x14ac:dyDescent="0.25">
      <c r="A383" s="55">
        <f t="shared" ca="1" si="78"/>
        <v>240</v>
      </c>
      <c r="B383" s="55">
        <f t="shared" ca="1" si="69"/>
        <v>26.1</v>
      </c>
      <c r="C383" s="55">
        <f t="shared" ca="1" si="70"/>
        <v>25.299612266478675</v>
      </c>
      <c r="D383" s="55" t="str">
        <f t="shared" ca="1" si="71"/>
        <v>26.100 || 825.000</v>
      </c>
      <c r="E383" s="120">
        <f t="shared" ca="1" si="79"/>
        <v>1.1984490659147014</v>
      </c>
      <c r="F383" s="56" t="e">
        <f t="shared" ca="1" si="80"/>
        <v>#N/A</v>
      </c>
      <c r="G383" s="56" t="e">
        <f t="shared" ca="1" si="72"/>
        <v>#N/A</v>
      </c>
      <c r="H383" s="116" t="e">
        <f t="shared" ca="1" si="73"/>
        <v>#N/A</v>
      </c>
      <c r="I383" s="57" t="e">
        <f t="shared" ca="1" si="74"/>
        <v>#N/A</v>
      </c>
      <c r="J383" s="131">
        <f t="shared" ca="1" si="81"/>
        <v>996</v>
      </c>
      <c r="K383" s="122" t="str">
        <f t="shared" ca="1" si="75"/>
        <v/>
      </c>
      <c r="L383" s="130" t="str">
        <f t="shared" ca="1" si="76"/>
        <v/>
      </c>
      <c r="M383" s="126">
        <f t="shared" ca="1" si="77"/>
        <v>995</v>
      </c>
      <c r="N383" s="58">
        <f t="shared" ca="1" si="82"/>
        <v>825</v>
      </c>
      <c r="O383" s="160">
        <f t="shared" ca="1" si="82"/>
        <v>786.60663612761368</v>
      </c>
    </row>
    <row r="384" spans="1:15" x14ac:dyDescent="0.25">
      <c r="A384" s="55">
        <f t="shared" ca="1" si="78"/>
        <v>240</v>
      </c>
      <c r="B384" s="55">
        <f t="shared" ca="1" si="69"/>
        <v>26.1</v>
      </c>
      <c r="C384" s="55">
        <f t="shared" ca="1" si="70"/>
        <v>25.299612266478675</v>
      </c>
      <c r="D384" s="55" t="str">
        <f t="shared" ca="1" si="71"/>
        <v>26.100 || 825.000</v>
      </c>
      <c r="E384" s="120">
        <f t="shared" ca="1" si="79"/>
        <v>1.1984490659147014</v>
      </c>
      <c r="F384" s="56" t="e">
        <f t="shared" ca="1" si="80"/>
        <v>#N/A</v>
      </c>
      <c r="G384" s="56" t="e">
        <f t="shared" ca="1" si="72"/>
        <v>#N/A</v>
      </c>
      <c r="H384" s="116" t="e">
        <f t="shared" ca="1" si="73"/>
        <v>#N/A</v>
      </c>
      <c r="I384" s="57" t="e">
        <f t="shared" ca="1" si="74"/>
        <v>#N/A</v>
      </c>
      <c r="J384" s="131">
        <f t="shared" ca="1" si="81"/>
        <v>996</v>
      </c>
      <c r="K384" s="122" t="str">
        <f t="shared" ca="1" si="75"/>
        <v/>
      </c>
      <c r="L384" s="130" t="str">
        <f t="shared" ca="1" si="76"/>
        <v/>
      </c>
      <c r="M384" s="126">
        <f t="shared" ca="1" si="77"/>
        <v>995</v>
      </c>
      <c r="N384" s="58">
        <f t="shared" ca="1" si="82"/>
        <v>825</v>
      </c>
      <c r="O384" s="160">
        <f t="shared" ca="1" si="82"/>
        <v>786.60663612761368</v>
      </c>
    </row>
    <row r="385" spans="1:15" x14ac:dyDescent="0.25">
      <c r="A385" s="55">
        <f t="shared" ca="1" si="78"/>
        <v>240</v>
      </c>
      <c r="B385" s="55">
        <f t="shared" ca="1" si="69"/>
        <v>26.1</v>
      </c>
      <c r="C385" s="55">
        <f t="shared" ca="1" si="70"/>
        <v>25.371511068334939</v>
      </c>
      <c r="D385" s="55" t="str">
        <f t="shared" ca="1" si="71"/>
        <v>26.100 || 909.000</v>
      </c>
      <c r="E385" s="120">
        <f t="shared" ca="1" si="79"/>
        <v>1.4860442733397576</v>
      </c>
      <c r="F385" s="56" t="e">
        <f t="shared" ca="1" si="80"/>
        <v>#N/A</v>
      </c>
      <c r="G385" s="56" t="e">
        <f t="shared" ca="1" si="72"/>
        <v>#N/A</v>
      </c>
      <c r="H385" s="116" t="e">
        <f t="shared" ca="1" si="73"/>
        <v>#N/A</v>
      </c>
      <c r="I385" s="57" t="e">
        <f t="shared" ca="1" si="74"/>
        <v>#N/A</v>
      </c>
      <c r="J385" s="131">
        <f t="shared" ca="1" si="81"/>
        <v>996</v>
      </c>
      <c r="K385" s="122" t="str">
        <f t="shared" ca="1" si="75"/>
        <v/>
      </c>
      <c r="L385" s="130" t="str">
        <f t="shared" ca="1" si="76"/>
        <v/>
      </c>
      <c r="M385" s="126">
        <f t="shared" ca="1" si="77"/>
        <v>995</v>
      </c>
      <c r="N385" s="58">
        <f t="shared" ca="1" si="82"/>
        <v>909</v>
      </c>
      <c r="O385" s="160">
        <f t="shared" ca="1" si="82"/>
        <v>865.98210143166352</v>
      </c>
    </row>
    <row r="386" spans="1:15" x14ac:dyDescent="0.25">
      <c r="A386" s="55">
        <f t="shared" ca="1" si="78"/>
        <v>240</v>
      </c>
      <c r="B386" s="55">
        <f t="shared" ca="1" si="69"/>
        <v>26.1</v>
      </c>
      <c r="C386" s="55">
        <f t="shared" ca="1" si="70"/>
        <v>25.371511068334939</v>
      </c>
      <c r="D386" s="55" t="str">
        <f t="shared" ca="1" si="71"/>
        <v>26.100 || 909.000</v>
      </c>
      <c r="E386" s="120">
        <f t="shared" ca="1" si="79"/>
        <v>1.4860442733397576</v>
      </c>
      <c r="F386" s="56" t="e">
        <f t="shared" ca="1" si="80"/>
        <v>#N/A</v>
      </c>
      <c r="G386" s="56" t="e">
        <f t="shared" ca="1" si="72"/>
        <v>#N/A</v>
      </c>
      <c r="H386" s="116" t="e">
        <f t="shared" ca="1" si="73"/>
        <v>#N/A</v>
      </c>
      <c r="I386" s="57" t="e">
        <f t="shared" ca="1" si="74"/>
        <v>#N/A</v>
      </c>
      <c r="J386" s="131">
        <f t="shared" ca="1" si="81"/>
        <v>996</v>
      </c>
      <c r="K386" s="122" t="str">
        <f t="shared" ca="1" si="75"/>
        <v/>
      </c>
      <c r="L386" s="130" t="str">
        <f t="shared" ca="1" si="76"/>
        <v/>
      </c>
      <c r="M386" s="126">
        <f t="shared" ca="1" si="77"/>
        <v>995</v>
      </c>
      <c r="N386" s="58">
        <f t="shared" ca="1" si="82"/>
        <v>909</v>
      </c>
      <c r="O386" s="160">
        <f t="shared" ca="1" si="82"/>
        <v>865.98210143166352</v>
      </c>
    </row>
    <row r="387" spans="1:15" x14ac:dyDescent="0.25">
      <c r="A387" s="55">
        <f t="shared" ca="1" si="78"/>
        <v>240</v>
      </c>
      <c r="B387" s="55">
        <f t="shared" ca="1" si="69"/>
        <v>26.1</v>
      </c>
      <c r="C387" s="55">
        <f t="shared" ca="1" si="70"/>
        <v>25.371511068334939</v>
      </c>
      <c r="D387" s="55" t="str">
        <f t="shared" ca="1" si="71"/>
        <v>26.100 || 909.000</v>
      </c>
      <c r="E387" s="120">
        <f t="shared" ca="1" si="79"/>
        <v>1.4860442733397576</v>
      </c>
      <c r="F387" s="56" t="e">
        <f t="shared" ca="1" si="80"/>
        <v>#N/A</v>
      </c>
      <c r="G387" s="56" t="e">
        <f t="shared" ca="1" si="72"/>
        <v>#N/A</v>
      </c>
      <c r="H387" s="116" t="e">
        <f t="shared" ca="1" si="73"/>
        <v>#N/A</v>
      </c>
      <c r="I387" s="57" t="e">
        <f t="shared" ca="1" si="74"/>
        <v>#N/A</v>
      </c>
      <c r="J387" s="131">
        <f t="shared" ca="1" si="81"/>
        <v>996</v>
      </c>
      <c r="K387" s="122" t="str">
        <f t="shared" ca="1" si="75"/>
        <v/>
      </c>
      <c r="L387" s="130" t="str">
        <f t="shared" ca="1" si="76"/>
        <v/>
      </c>
      <c r="M387" s="126">
        <f t="shared" ca="1" si="77"/>
        <v>995</v>
      </c>
      <c r="N387" s="58">
        <f t="shared" ca="1" si="82"/>
        <v>909</v>
      </c>
      <c r="O387" s="160">
        <f t="shared" ca="1" si="82"/>
        <v>865.98210143166352</v>
      </c>
    </row>
    <row r="388" spans="1:15" x14ac:dyDescent="0.25">
      <c r="A388" s="55">
        <f t="shared" ca="1" si="78"/>
        <v>240</v>
      </c>
      <c r="B388" s="55">
        <f t="shared" ca="1" si="69"/>
        <v>26.1</v>
      </c>
      <c r="C388" s="55">
        <f t="shared" ca="1" si="70"/>
        <v>25.371511068334939</v>
      </c>
      <c r="D388" s="55" t="str">
        <f t="shared" ca="1" si="71"/>
        <v>26.100 || 909.000</v>
      </c>
      <c r="E388" s="120">
        <f t="shared" ca="1" si="79"/>
        <v>1.4860442733397576</v>
      </c>
      <c r="F388" s="56" t="e">
        <f t="shared" ca="1" si="80"/>
        <v>#N/A</v>
      </c>
      <c r="G388" s="56" t="e">
        <f t="shared" ca="1" si="72"/>
        <v>#N/A</v>
      </c>
      <c r="H388" s="116" t="e">
        <f t="shared" ca="1" si="73"/>
        <v>#N/A</v>
      </c>
      <c r="I388" s="57" t="e">
        <f t="shared" ca="1" si="74"/>
        <v>#N/A</v>
      </c>
      <c r="J388" s="131">
        <f t="shared" ca="1" si="81"/>
        <v>996</v>
      </c>
      <c r="K388" s="122" t="str">
        <f t="shared" ca="1" si="75"/>
        <v/>
      </c>
      <c r="L388" s="130" t="str">
        <f t="shared" ca="1" si="76"/>
        <v/>
      </c>
      <c r="M388" s="126">
        <f t="shared" ca="1" si="77"/>
        <v>995</v>
      </c>
      <c r="N388" s="58">
        <f t="shared" ca="1" si="82"/>
        <v>909</v>
      </c>
      <c r="O388" s="160">
        <f t="shared" ca="1" si="82"/>
        <v>865.98210143166352</v>
      </c>
    </row>
    <row r="389" spans="1:15" x14ac:dyDescent="0.25">
      <c r="A389" s="55">
        <f t="shared" ca="1" si="78"/>
        <v>240</v>
      </c>
      <c r="B389" s="55">
        <f t="shared" ca="1" si="69"/>
        <v>26.1</v>
      </c>
      <c r="C389" s="55">
        <f t="shared" ca="1" si="70"/>
        <v>25.436117337491474</v>
      </c>
      <c r="D389" s="55" t="str">
        <f t="shared" ca="1" si="71"/>
        <v>26.100 || 1000.000</v>
      </c>
      <c r="E389" s="120">
        <f t="shared" ca="1" si="79"/>
        <v>1.7444693499658968</v>
      </c>
      <c r="F389" s="56" t="e">
        <f t="shared" ca="1" si="80"/>
        <v>#N/A</v>
      </c>
      <c r="G389" s="56" t="e">
        <f t="shared" ca="1" si="72"/>
        <v>#N/A</v>
      </c>
      <c r="H389" s="116" t="e">
        <f t="shared" ca="1" si="73"/>
        <v>#N/A</v>
      </c>
      <c r="I389" s="57" t="e">
        <f t="shared" ca="1" si="74"/>
        <v>#N/A</v>
      </c>
      <c r="J389" s="131">
        <f t="shared" ca="1" si="81"/>
        <v>996</v>
      </c>
      <c r="K389" s="122" t="str">
        <f t="shared" ca="1" si="75"/>
        <v/>
      </c>
      <c r="L389" s="130" t="str">
        <f t="shared" ca="1" si="76"/>
        <v/>
      </c>
      <c r="M389" s="126">
        <f t="shared" ca="1" si="77"/>
        <v>995</v>
      </c>
      <c r="N389" s="58">
        <f t="shared" ca="1" si="82"/>
        <v>1000</v>
      </c>
      <c r="O389" s="160">
        <f t="shared" ca="1" si="82"/>
        <v>953.41491492424223</v>
      </c>
    </row>
    <row r="390" spans="1:15" x14ac:dyDescent="0.25">
      <c r="A390" s="55">
        <f t="shared" ca="1" si="78"/>
        <v>240</v>
      </c>
      <c r="B390" s="55">
        <f t="shared" ref="B390:B453" ca="1" si="83">INDEX($N$1:$N$774,A390)</f>
        <v>26.1</v>
      </c>
      <c r="C390" s="55">
        <f t="shared" ref="C390:C453" ca="1" si="84">1/(1/B390+1/N390)</f>
        <v>25.436117337491474</v>
      </c>
      <c r="D390" s="55" t="str">
        <f t="shared" ref="D390:D453" ca="1" si="85">CONCATENATE(TEXT(MIN(B390,N390),"#0.000#")," || ",TEXT(MAX(B390,N390),"#0.000#"))</f>
        <v>26.100 || 1000.000</v>
      </c>
      <c r="E390" s="120">
        <f t="shared" ca="1" si="79"/>
        <v>1.7444693499658968</v>
      </c>
      <c r="F390" s="56" t="e">
        <f t="shared" ca="1" si="80"/>
        <v>#N/A</v>
      </c>
      <c r="G390" s="56" t="e">
        <f t="shared" ref="G390:G453" ca="1" si="86">INDEX($N$1:$N$774,F390)</f>
        <v>#N/A</v>
      </c>
      <c r="H390" s="116" t="e">
        <f t="shared" ref="H390:H453" ca="1" si="87">G390+N390</f>
        <v>#N/A</v>
      </c>
      <c r="I390" s="57" t="e">
        <f t="shared" ref="I390:I453" ca="1" si="88">CONCATENATE(TEXT(MIN(G390,N390),"#0.000#")," + ",TEXT(MAX(G390,N390),"#0.000#"))</f>
        <v>#N/A</v>
      </c>
      <c r="J390" s="131">
        <f t="shared" ca="1" si="81"/>
        <v>996</v>
      </c>
      <c r="K390" s="122" t="str">
        <f t="shared" ref="K390:K453" ca="1" si="89">IF(E390&lt;$C$4,D390,IF(J390&lt;$C$4,I390,""))</f>
        <v/>
      </c>
      <c r="L390" s="130" t="str">
        <f t="shared" ref="L390:L453" ca="1" si="90">IF(E390&lt;$C$4,C390,IF(J390&lt;$C$4,H390,""))</f>
        <v/>
      </c>
      <c r="M390" s="126">
        <f t="shared" ref="M390:M453" ca="1" si="91">IF(E390&lt;=$C$4,E390,IF(J390&lt;=$C$4,J390,995))</f>
        <v>995</v>
      </c>
      <c r="N390" s="58">
        <f t="shared" ca="1" si="82"/>
        <v>1000</v>
      </c>
      <c r="O390" s="160">
        <f t="shared" ca="1" si="82"/>
        <v>953.41491492424211</v>
      </c>
    </row>
    <row r="391" spans="1:15" x14ac:dyDescent="0.25">
      <c r="A391" s="55">
        <f t="shared" ref="A391:A454" ca="1" si="92">MATCH(1/($A$5-(1/N391)),$O$1:$O$775,1)</f>
        <v>240</v>
      </c>
      <c r="B391" s="55">
        <f t="shared" ca="1" si="83"/>
        <v>26.1</v>
      </c>
      <c r="C391" s="55">
        <f t="shared" ca="1" si="84"/>
        <v>25.436117337491474</v>
      </c>
      <c r="D391" s="55" t="str">
        <f t="shared" ca="1" si="85"/>
        <v>26.100 || 1000.000</v>
      </c>
      <c r="E391" s="120">
        <f t="shared" ref="E391:E454" ca="1" si="93">IFERROR(IF(OR(B391=0,AND(B391&lt;&gt;$A$4,N391&lt;&gt;$A$4)),ABS($A$4-C391)/$E$5,999),998)</f>
        <v>1.7444693499658968</v>
      </c>
      <c r="F391" s="56" t="e">
        <f t="shared" ref="F391:F454" ca="1" si="94">MATCH($A$4-N391,$O$1:$O$774,1)</f>
        <v>#N/A</v>
      </c>
      <c r="G391" s="56" t="e">
        <f t="shared" ca="1" si="86"/>
        <v>#N/A</v>
      </c>
      <c r="H391" s="116" t="e">
        <f t="shared" ca="1" si="87"/>
        <v>#N/A</v>
      </c>
      <c r="I391" s="57" t="e">
        <f t="shared" ca="1" si="88"/>
        <v>#N/A</v>
      </c>
      <c r="J391" s="131">
        <f t="shared" ref="J391:J454" ca="1" si="95">IFERROR(IF(OR(G391=0,AND(G391&lt;&gt;$A$4,N391&lt;&gt;$A$4)),ABS($A$4-H391)/$E$5,997),996)</f>
        <v>996</v>
      </c>
      <c r="K391" s="122" t="str">
        <f t="shared" ca="1" si="89"/>
        <v/>
      </c>
      <c r="L391" s="130" t="str">
        <f t="shared" ca="1" si="90"/>
        <v/>
      </c>
      <c r="M391" s="126">
        <f t="shared" ca="1" si="91"/>
        <v>995</v>
      </c>
      <c r="N391" s="58">
        <f t="shared" ca="1" si="82"/>
        <v>1000</v>
      </c>
      <c r="O391" s="160">
        <f t="shared" ca="1" si="82"/>
        <v>953.41491492424211</v>
      </c>
    </row>
    <row r="392" spans="1:15" x14ac:dyDescent="0.25">
      <c r="A392" s="55">
        <f t="shared" ca="1" si="92"/>
        <v>240</v>
      </c>
      <c r="B392" s="55">
        <f t="shared" ca="1" si="83"/>
        <v>26.1</v>
      </c>
      <c r="C392" s="55">
        <f t="shared" ca="1" si="84"/>
        <v>25.436117337491474</v>
      </c>
      <c r="D392" s="55" t="str">
        <f t="shared" ca="1" si="85"/>
        <v>26.100 || 1000.000</v>
      </c>
      <c r="E392" s="120">
        <f t="shared" ca="1" si="93"/>
        <v>1.7444693499658968</v>
      </c>
      <c r="F392" s="56" t="e">
        <f t="shared" ca="1" si="94"/>
        <v>#N/A</v>
      </c>
      <c r="G392" s="56" t="e">
        <f t="shared" ca="1" si="86"/>
        <v>#N/A</v>
      </c>
      <c r="H392" s="116" t="e">
        <f t="shared" ca="1" si="87"/>
        <v>#N/A</v>
      </c>
      <c r="I392" s="57" t="e">
        <f t="shared" ca="1" si="88"/>
        <v>#N/A</v>
      </c>
      <c r="J392" s="131">
        <f t="shared" ca="1" si="95"/>
        <v>996</v>
      </c>
      <c r="K392" s="122" t="str">
        <f t="shared" ca="1" si="89"/>
        <v/>
      </c>
      <c r="L392" s="130" t="str">
        <f t="shared" ca="1" si="90"/>
        <v/>
      </c>
      <c r="M392" s="126">
        <f t="shared" ca="1" si="91"/>
        <v>995</v>
      </c>
      <c r="N392" s="58">
        <f t="shared" ca="1" si="82"/>
        <v>1000</v>
      </c>
      <c r="O392" s="160">
        <f t="shared" ca="1" si="82"/>
        <v>953.41491492424211</v>
      </c>
    </row>
    <row r="393" spans="1:15" x14ac:dyDescent="0.25">
      <c r="A393" s="55">
        <f t="shared" ca="1" si="92"/>
        <v>240</v>
      </c>
      <c r="B393" s="55">
        <f t="shared" ca="1" si="83"/>
        <v>26.1</v>
      </c>
      <c r="C393" s="55">
        <f t="shared" ca="1" si="84"/>
        <v>25.495071485658471</v>
      </c>
      <c r="D393" s="55" t="str">
        <f t="shared" ca="1" si="85"/>
        <v>26.100 || 1100.000</v>
      </c>
      <c r="E393" s="120">
        <f t="shared" ca="1" si="93"/>
        <v>1.9802859426338841</v>
      </c>
      <c r="F393" s="56" t="e">
        <f t="shared" ca="1" si="94"/>
        <v>#N/A</v>
      </c>
      <c r="G393" s="56" t="e">
        <f t="shared" ca="1" si="86"/>
        <v>#N/A</v>
      </c>
      <c r="H393" s="116" t="e">
        <f t="shared" ca="1" si="87"/>
        <v>#N/A</v>
      </c>
      <c r="I393" s="57" t="e">
        <f t="shared" ca="1" si="88"/>
        <v>#N/A</v>
      </c>
      <c r="J393" s="131">
        <f t="shared" ca="1" si="95"/>
        <v>996</v>
      </c>
      <c r="K393" s="122" t="str">
        <f t="shared" ca="1" si="89"/>
        <v/>
      </c>
      <c r="L393" s="130" t="str">
        <f t="shared" ca="1" si="90"/>
        <v/>
      </c>
      <c r="M393" s="126">
        <f t="shared" ca="1" si="91"/>
        <v>995</v>
      </c>
      <c r="N393" s="58">
        <f t="shared" ca="1" si="82"/>
        <v>1100</v>
      </c>
      <c r="O393" s="160">
        <f t="shared" ca="1" si="82"/>
        <v>1048.8088481701518</v>
      </c>
    </row>
    <row r="394" spans="1:15" x14ac:dyDescent="0.25">
      <c r="A394" s="55">
        <f t="shared" ca="1" si="92"/>
        <v>240</v>
      </c>
      <c r="B394" s="55">
        <f t="shared" ca="1" si="83"/>
        <v>26.1</v>
      </c>
      <c r="C394" s="55">
        <f t="shared" ca="1" si="84"/>
        <v>25.495071485658471</v>
      </c>
      <c r="D394" s="55" t="str">
        <f t="shared" ca="1" si="85"/>
        <v>26.100 || 1100.000</v>
      </c>
      <c r="E394" s="120">
        <f t="shared" ca="1" si="93"/>
        <v>1.9802859426338841</v>
      </c>
      <c r="F394" s="56" t="e">
        <f t="shared" ca="1" si="94"/>
        <v>#N/A</v>
      </c>
      <c r="G394" s="56" t="e">
        <f t="shared" ca="1" si="86"/>
        <v>#N/A</v>
      </c>
      <c r="H394" s="116" t="e">
        <f t="shared" ca="1" si="87"/>
        <v>#N/A</v>
      </c>
      <c r="I394" s="57" t="e">
        <f t="shared" ca="1" si="88"/>
        <v>#N/A</v>
      </c>
      <c r="J394" s="131">
        <f t="shared" ca="1" si="95"/>
        <v>996</v>
      </c>
      <c r="K394" s="122" t="str">
        <f t="shared" ca="1" si="89"/>
        <v/>
      </c>
      <c r="L394" s="130" t="str">
        <f t="shared" ca="1" si="90"/>
        <v/>
      </c>
      <c r="M394" s="126">
        <f t="shared" ca="1" si="91"/>
        <v>995</v>
      </c>
      <c r="N394" s="58">
        <f t="shared" ca="1" si="82"/>
        <v>1100</v>
      </c>
      <c r="O394" s="160">
        <f t="shared" ca="1" si="82"/>
        <v>1048.8088481701518</v>
      </c>
    </row>
    <row r="395" spans="1:15" x14ac:dyDescent="0.25">
      <c r="A395" s="55">
        <f t="shared" ca="1" si="92"/>
        <v>240</v>
      </c>
      <c r="B395" s="55">
        <f t="shared" ca="1" si="83"/>
        <v>26.1</v>
      </c>
      <c r="C395" s="55">
        <f t="shared" ca="1" si="84"/>
        <v>25.495071485658471</v>
      </c>
      <c r="D395" s="55" t="str">
        <f t="shared" ca="1" si="85"/>
        <v>26.100 || 1100.000</v>
      </c>
      <c r="E395" s="120">
        <f t="shared" ca="1" si="93"/>
        <v>1.9802859426338841</v>
      </c>
      <c r="F395" s="56" t="e">
        <f t="shared" ca="1" si="94"/>
        <v>#N/A</v>
      </c>
      <c r="G395" s="56" t="e">
        <f t="shared" ca="1" si="86"/>
        <v>#N/A</v>
      </c>
      <c r="H395" s="116" t="e">
        <f t="shared" ca="1" si="87"/>
        <v>#N/A</v>
      </c>
      <c r="I395" s="57" t="e">
        <f t="shared" ca="1" si="88"/>
        <v>#N/A</v>
      </c>
      <c r="J395" s="131">
        <f t="shared" ca="1" si="95"/>
        <v>996</v>
      </c>
      <c r="K395" s="122" t="str">
        <f t="shared" ca="1" si="89"/>
        <v/>
      </c>
      <c r="L395" s="130" t="str">
        <f t="shared" ca="1" si="90"/>
        <v/>
      </c>
      <c r="M395" s="126">
        <f t="shared" ca="1" si="91"/>
        <v>995</v>
      </c>
      <c r="N395" s="58">
        <f t="shared" ca="1" si="82"/>
        <v>1100</v>
      </c>
      <c r="O395" s="160">
        <f t="shared" ca="1" si="82"/>
        <v>1048.8088481701518</v>
      </c>
    </row>
    <row r="396" spans="1:15" x14ac:dyDescent="0.25">
      <c r="A396" s="55">
        <f t="shared" ca="1" si="92"/>
        <v>240</v>
      </c>
      <c r="B396" s="55">
        <f t="shared" ca="1" si="83"/>
        <v>26.1</v>
      </c>
      <c r="C396" s="55">
        <f t="shared" ca="1" si="84"/>
        <v>25.495071485658471</v>
      </c>
      <c r="D396" s="55" t="str">
        <f t="shared" ca="1" si="85"/>
        <v>26.100 || 1100.000</v>
      </c>
      <c r="E396" s="120">
        <f t="shared" ca="1" si="93"/>
        <v>1.9802859426338841</v>
      </c>
      <c r="F396" s="56" t="e">
        <f t="shared" ca="1" si="94"/>
        <v>#N/A</v>
      </c>
      <c r="G396" s="56" t="e">
        <f t="shared" ca="1" si="86"/>
        <v>#N/A</v>
      </c>
      <c r="H396" s="116" t="e">
        <f t="shared" ca="1" si="87"/>
        <v>#N/A</v>
      </c>
      <c r="I396" s="57" t="e">
        <f t="shared" ca="1" si="88"/>
        <v>#N/A</v>
      </c>
      <c r="J396" s="131">
        <f t="shared" ca="1" si="95"/>
        <v>996</v>
      </c>
      <c r="K396" s="122" t="str">
        <f t="shared" ca="1" si="89"/>
        <v/>
      </c>
      <c r="L396" s="130" t="str">
        <f t="shared" ca="1" si="90"/>
        <v/>
      </c>
      <c r="M396" s="126">
        <f t="shared" ca="1" si="91"/>
        <v>995</v>
      </c>
      <c r="N396" s="58">
        <f t="shared" ca="1" si="82"/>
        <v>1100</v>
      </c>
      <c r="O396" s="160">
        <f t="shared" ca="1" si="82"/>
        <v>1048.8088481701518</v>
      </c>
    </row>
    <row r="397" spans="1:15" x14ac:dyDescent="0.25">
      <c r="A397" s="55">
        <f t="shared" ca="1" si="92"/>
        <v>240</v>
      </c>
      <c r="B397" s="55">
        <f t="shared" ca="1" si="83"/>
        <v>26.1</v>
      </c>
      <c r="C397" s="55">
        <f t="shared" ca="1" si="84"/>
        <v>25.548903810371328</v>
      </c>
      <c r="D397" s="55" t="str">
        <f t="shared" ca="1" si="85"/>
        <v>26.100 || 1210.000</v>
      </c>
      <c r="E397" s="120">
        <f t="shared" ca="1" si="93"/>
        <v>2.1956152414853136</v>
      </c>
      <c r="F397" s="56" t="e">
        <f t="shared" ca="1" si="94"/>
        <v>#N/A</v>
      </c>
      <c r="G397" s="56" t="e">
        <f t="shared" ca="1" si="86"/>
        <v>#N/A</v>
      </c>
      <c r="H397" s="116" t="e">
        <f t="shared" ca="1" si="87"/>
        <v>#N/A</v>
      </c>
      <c r="I397" s="57" t="e">
        <f t="shared" ca="1" si="88"/>
        <v>#N/A</v>
      </c>
      <c r="J397" s="131">
        <f t="shared" ca="1" si="95"/>
        <v>996</v>
      </c>
      <c r="K397" s="122" t="str">
        <f t="shared" ca="1" si="89"/>
        <v/>
      </c>
      <c r="L397" s="130" t="str">
        <f t="shared" ca="1" si="90"/>
        <v/>
      </c>
      <c r="M397" s="126">
        <f t="shared" ca="1" si="91"/>
        <v>995</v>
      </c>
      <c r="N397" s="58">
        <f t="shared" ca="1" si="82"/>
        <v>1210</v>
      </c>
      <c r="O397" s="160">
        <f t="shared" ca="1" si="82"/>
        <v>1153.6897329871667</v>
      </c>
    </row>
    <row r="398" spans="1:15" x14ac:dyDescent="0.25">
      <c r="A398" s="55">
        <f t="shared" ca="1" si="92"/>
        <v>240</v>
      </c>
      <c r="B398" s="55">
        <f t="shared" ca="1" si="83"/>
        <v>26.1</v>
      </c>
      <c r="C398" s="55">
        <f t="shared" ca="1" si="84"/>
        <v>25.548903810371328</v>
      </c>
      <c r="D398" s="55" t="str">
        <f t="shared" ca="1" si="85"/>
        <v>26.100 || 1210.000</v>
      </c>
      <c r="E398" s="120">
        <f t="shared" ca="1" si="93"/>
        <v>2.1956152414853136</v>
      </c>
      <c r="F398" s="56" t="e">
        <f t="shared" ca="1" si="94"/>
        <v>#N/A</v>
      </c>
      <c r="G398" s="56" t="e">
        <f t="shared" ca="1" si="86"/>
        <v>#N/A</v>
      </c>
      <c r="H398" s="116" t="e">
        <f t="shared" ca="1" si="87"/>
        <v>#N/A</v>
      </c>
      <c r="I398" s="57" t="e">
        <f t="shared" ca="1" si="88"/>
        <v>#N/A</v>
      </c>
      <c r="J398" s="131">
        <f t="shared" ca="1" si="95"/>
        <v>996</v>
      </c>
      <c r="K398" s="122" t="str">
        <f t="shared" ca="1" si="89"/>
        <v/>
      </c>
      <c r="L398" s="130" t="str">
        <f t="shared" ca="1" si="90"/>
        <v/>
      </c>
      <c r="M398" s="126">
        <f t="shared" ca="1" si="91"/>
        <v>995</v>
      </c>
      <c r="N398" s="58">
        <f t="shared" ca="1" si="82"/>
        <v>1210</v>
      </c>
      <c r="O398" s="160">
        <f t="shared" ca="1" si="82"/>
        <v>1153.6897329871667</v>
      </c>
    </row>
    <row r="399" spans="1:15" x14ac:dyDescent="0.25">
      <c r="A399" s="55">
        <f t="shared" ca="1" si="92"/>
        <v>240</v>
      </c>
      <c r="B399" s="55">
        <f t="shared" ca="1" si="83"/>
        <v>26.1</v>
      </c>
      <c r="C399" s="55">
        <f t="shared" ca="1" si="84"/>
        <v>25.548903810371328</v>
      </c>
      <c r="D399" s="55" t="str">
        <f t="shared" ca="1" si="85"/>
        <v>26.100 || 1210.000</v>
      </c>
      <c r="E399" s="120">
        <f t="shared" ca="1" si="93"/>
        <v>2.1956152414853136</v>
      </c>
      <c r="F399" s="56" t="e">
        <f t="shared" ca="1" si="94"/>
        <v>#N/A</v>
      </c>
      <c r="G399" s="56" t="e">
        <f t="shared" ca="1" si="86"/>
        <v>#N/A</v>
      </c>
      <c r="H399" s="116" t="e">
        <f t="shared" ca="1" si="87"/>
        <v>#N/A</v>
      </c>
      <c r="I399" s="57" t="e">
        <f t="shared" ca="1" si="88"/>
        <v>#N/A</v>
      </c>
      <c r="J399" s="131">
        <f t="shared" ca="1" si="95"/>
        <v>996</v>
      </c>
      <c r="K399" s="122" t="str">
        <f t="shared" ca="1" si="89"/>
        <v/>
      </c>
      <c r="L399" s="130" t="str">
        <f t="shared" ca="1" si="90"/>
        <v/>
      </c>
      <c r="M399" s="126">
        <f t="shared" ca="1" si="91"/>
        <v>995</v>
      </c>
      <c r="N399" s="58">
        <f t="shared" ca="1" si="82"/>
        <v>1210</v>
      </c>
      <c r="O399" s="160">
        <f t="shared" ca="1" si="82"/>
        <v>1153.6897329871667</v>
      </c>
    </row>
    <row r="400" spans="1:15" x14ac:dyDescent="0.25">
      <c r="A400" s="55">
        <f t="shared" ca="1" si="92"/>
        <v>240</v>
      </c>
      <c r="B400" s="55">
        <f t="shared" ca="1" si="83"/>
        <v>26.1</v>
      </c>
      <c r="C400" s="55">
        <f t="shared" ca="1" si="84"/>
        <v>25.548903810371328</v>
      </c>
      <c r="D400" s="55" t="str">
        <f t="shared" ca="1" si="85"/>
        <v>26.100 || 1210.000</v>
      </c>
      <c r="E400" s="120">
        <f t="shared" ca="1" si="93"/>
        <v>2.1956152414853136</v>
      </c>
      <c r="F400" s="56" t="e">
        <f t="shared" ca="1" si="94"/>
        <v>#N/A</v>
      </c>
      <c r="G400" s="56" t="e">
        <f t="shared" ca="1" si="86"/>
        <v>#N/A</v>
      </c>
      <c r="H400" s="116" t="e">
        <f t="shared" ca="1" si="87"/>
        <v>#N/A</v>
      </c>
      <c r="I400" s="57" t="e">
        <f t="shared" ca="1" si="88"/>
        <v>#N/A</v>
      </c>
      <c r="J400" s="131">
        <f t="shared" ca="1" si="95"/>
        <v>996</v>
      </c>
      <c r="K400" s="122" t="str">
        <f t="shared" ca="1" si="89"/>
        <v/>
      </c>
      <c r="L400" s="130" t="str">
        <f t="shared" ca="1" si="90"/>
        <v/>
      </c>
      <c r="M400" s="126">
        <f t="shared" ca="1" si="91"/>
        <v>995</v>
      </c>
      <c r="N400" s="58">
        <f t="shared" ca="1" si="82"/>
        <v>1210</v>
      </c>
      <c r="O400" s="160">
        <f t="shared" ca="1" si="82"/>
        <v>1153.6897329871667</v>
      </c>
    </row>
    <row r="401" spans="1:15" x14ac:dyDescent="0.25">
      <c r="A401" s="55">
        <f t="shared" ca="1" si="92"/>
        <v>240</v>
      </c>
      <c r="B401" s="55">
        <f t="shared" ca="1" si="83"/>
        <v>26.1</v>
      </c>
      <c r="C401" s="55">
        <f t="shared" ca="1" si="84"/>
        <v>25.597669788363692</v>
      </c>
      <c r="D401" s="55" t="str">
        <f t="shared" ca="1" si="85"/>
        <v>26.100 || 1330.000</v>
      </c>
      <c r="E401" s="120">
        <f t="shared" ca="1" si="93"/>
        <v>2.3906791534547693</v>
      </c>
      <c r="F401" s="56" t="e">
        <f t="shared" ca="1" si="94"/>
        <v>#N/A</v>
      </c>
      <c r="G401" s="56" t="e">
        <f t="shared" ca="1" si="86"/>
        <v>#N/A</v>
      </c>
      <c r="H401" s="116" t="e">
        <f t="shared" ca="1" si="87"/>
        <v>#N/A</v>
      </c>
      <c r="I401" s="57" t="e">
        <f t="shared" ca="1" si="88"/>
        <v>#N/A</v>
      </c>
      <c r="J401" s="131">
        <f t="shared" ca="1" si="95"/>
        <v>996</v>
      </c>
      <c r="K401" s="122" t="str">
        <f t="shared" ca="1" si="89"/>
        <v/>
      </c>
      <c r="L401" s="130" t="str">
        <f t="shared" ca="1" si="90"/>
        <v/>
      </c>
      <c r="M401" s="126">
        <f t="shared" ca="1" si="91"/>
        <v>995</v>
      </c>
      <c r="N401" s="58">
        <f t="shared" ca="1" si="82"/>
        <v>1330</v>
      </c>
      <c r="O401" s="160">
        <f t="shared" ca="1" si="82"/>
        <v>1268.5818854137874</v>
      </c>
    </row>
    <row r="402" spans="1:15" x14ac:dyDescent="0.25">
      <c r="A402" s="55">
        <f t="shared" ca="1" si="92"/>
        <v>240</v>
      </c>
      <c r="B402" s="55">
        <f t="shared" ca="1" si="83"/>
        <v>26.1</v>
      </c>
      <c r="C402" s="55">
        <f t="shared" ca="1" si="84"/>
        <v>25.597669788363692</v>
      </c>
      <c r="D402" s="55" t="str">
        <f t="shared" ca="1" si="85"/>
        <v>26.100 || 1330.000</v>
      </c>
      <c r="E402" s="120">
        <f t="shared" ca="1" si="93"/>
        <v>2.3906791534547693</v>
      </c>
      <c r="F402" s="56" t="e">
        <f t="shared" ca="1" si="94"/>
        <v>#N/A</v>
      </c>
      <c r="G402" s="56" t="e">
        <f t="shared" ca="1" si="86"/>
        <v>#N/A</v>
      </c>
      <c r="H402" s="116" t="e">
        <f t="shared" ca="1" si="87"/>
        <v>#N/A</v>
      </c>
      <c r="I402" s="57" t="e">
        <f t="shared" ca="1" si="88"/>
        <v>#N/A</v>
      </c>
      <c r="J402" s="131">
        <f t="shared" ca="1" si="95"/>
        <v>996</v>
      </c>
      <c r="K402" s="122" t="str">
        <f t="shared" ca="1" si="89"/>
        <v/>
      </c>
      <c r="L402" s="130" t="str">
        <f t="shared" ca="1" si="90"/>
        <v/>
      </c>
      <c r="M402" s="126">
        <f t="shared" ca="1" si="91"/>
        <v>995</v>
      </c>
      <c r="N402" s="58">
        <f t="shared" ca="1" si="82"/>
        <v>1330</v>
      </c>
      <c r="O402" s="160">
        <f t="shared" ca="1" si="82"/>
        <v>1268.5818854137874</v>
      </c>
    </row>
    <row r="403" spans="1:15" x14ac:dyDescent="0.25">
      <c r="A403" s="55">
        <f t="shared" ca="1" si="92"/>
        <v>240</v>
      </c>
      <c r="B403" s="55">
        <f t="shared" ca="1" si="83"/>
        <v>26.1</v>
      </c>
      <c r="C403" s="55">
        <f t="shared" ca="1" si="84"/>
        <v>25.597669788363692</v>
      </c>
      <c r="D403" s="55" t="str">
        <f t="shared" ca="1" si="85"/>
        <v>26.100 || 1330.000</v>
      </c>
      <c r="E403" s="120">
        <f t="shared" ca="1" si="93"/>
        <v>2.3906791534547693</v>
      </c>
      <c r="F403" s="56" t="e">
        <f t="shared" ca="1" si="94"/>
        <v>#N/A</v>
      </c>
      <c r="G403" s="56" t="e">
        <f t="shared" ca="1" si="86"/>
        <v>#N/A</v>
      </c>
      <c r="H403" s="116" t="e">
        <f t="shared" ca="1" si="87"/>
        <v>#N/A</v>
      </c>
      <c r="I403" s="57" t="e">
        <f t="shared" ca="1" si="88"/>
        <v>#N/A</v>
      </c>
      <c r="J403" s="131">
        <f t="shared" ca="1" si="95"/>
        <v>996</v>
      </c>
      <c r="K403" s="122" t="str">
        <f t="shared" ca="1" si="89"/>
        <v/>
      </c>
      <c r="L403" s="130" t="str">
        <f t="shared" ca="1" si="90"/>
        <v/>
      </c>
      <c r="M403" s="126">
        <f t="shared" ca="1" si="91"/>
        <v>995</v>
      </c>
      <c r="N403" s="58">
        <f t="shared" ca="1" si="82"/>
        <v>1330</v>
      </c>
      <c r="O403" s="160">
        <f t="shared" ca="1" si="82"/>
        <v>1268.5818854137874</v>
      </c>
    </row>
    <row r="404" spans="1:15" x14ac:dyDescent="0.25">
      <c r="A404" s="55">
        <f t="shared" ca="1" si="92"/>
        <v>240</v>
      </c>
      <c r="B404" s="55">
        <f t="shared" ca="1" si="83"/>
        <v>26.1</v>
      </c>
      <c r="C404" s="55">
        <f t="shared" ca="1" si="84"/>
        <v>25.597669788363692</v>
      </c>
      <c r="D404" s="55" t="str">
        <f t="shared" ca="1" si="85"/>
        <v>26.100 || 1330.000</v>
      </c>
      <c r="E404" s="120">
        <f t="shared" ca="1" si="93"/>
        <v>2.3906791534547693</v>
      </c>
      <c r="F404" s="56" t="e">
        <f t="shared" ca="1" si="94"/>
        <v>#N/A</v>
      </c>
      <c r="G404" s="56" t="e">
        <f t="shared" ca="1" si="86"/>
        <v>#N/A</v>
      </c>
      <c r="H404" s="116" t="e">
        <f t="shared" ca="1" si="87"/>
        <v>#N/A</v>
      </c>
      <c r="I404" s="57" t="e">
        <f t="shared" ca="1" si="88"/>
        <v>#N/A</v>
      </c>
      <c r="J404" s="131">
        <f t="shared" ca="1" si="95"/>
        <v>996</v>
      </c>
      <c r="K404" s="122" t="str">
        <f t="shared" ca="1" si="89"/>
        <v/>
      </c>
      <c r="L404" s="130" t="str">
        <f t="shared" ca="1" si="90"/>
        <v/>
      </c>
      <c r="M404" s="126">
        <f t="shared" ca="1" si="91"/>
        <v>995</v>
      </c>
      <c r="N404" s="58">
        <f t="shared" ca="1" si="82"/>
        <v>1330</v>
      </c>
      <c r="O404" s="160">
        <f t="shared" ca="1" si="82"/>
        <v>1268.5818854137874</v>
      </c>
    </row>
    <row r="405" spans="1:15" x14ac:dyDescent="0.25">
      <c r="A405" s="55">
        <f t="shared" ca="1" si="92"/>
        <v>240</v>
      </c>
      <c r="B405" s="55">
        <f t="shared" ca="1" si="83"/>
        <v>26.1</v>
      </c>
      <c r="C405" s="55">
        <f t="shared" ca="1" si="84"/>
        <v>25.644676158010832</v>
      </c>
      <c r="D405" s="55" t="str">
        <f t="shared" ca="1" si="85"/>
        <v>26.100 || 1470.000</v>
      </c>
      <c r="E405" s="120">
        <f t="shared" ca="1" si="93"/>
        <v>2.5787046320433262</v>
      </c>
      <c r="F405" s="56" t="e">
        <f t="shared" ca="1" si="94"/>
        <v>#N/A</v>
      </c>
      <c r="G405" s="56" t="e">
        <f t="shared" ca="1" si="86"/>
        <v>#N/A</v>
      </c>
      <c r="H405" s="116" t="e">
        <f t="shared" ca="1" si="87"/>
        <v>#N/A</v>
      </c>
      <c r="I405" s="57" t="e">
        <f t="shared" ca="1" si="88"/>
        <v>#N/A</v>
      </c>
      <c r="J405" s="131">
        <f t="shared" ca="1" si="95"/>
        <v>996</v>
      </c>
      <c r="K405" s="122" t="str">
        <f t="shared" ca="1" si="89"/>
        <v/>
      </c>
      <c r="L405" s="130" t="str">
        <f t="shared" ca="1" si="90"/>
        <v/>
      </c>
      <c r="M405" s="126">
        <f t="shared" ca="1" si="91"/>
        <v>995</v>
      </c>
      <c r="N405" s="58">
        <f t="shared" ca="1" si="82"/>
        <v>1470</v>
      </c>
      <c r="O405" s="160">
        <f t="shared" ca="1" si="82"/>
        <v>1398.2489048806724</v>
      </c>
    </row>
    <row r="406" spans="1:15" x14ac:dyDescent="0.25">
      <c r="A406" s="55">
        <f t="shared" ca="1" si="92"/>
        <v>240</v>
      </c>
      <c r="B406" s="55">
        <f t="shared" ca="1" si="83"/>
        <v>26.1</v>
      </c>
      <c r="C406" s="55">
        <f t="shared" ca="1" si="84"/>
        <v>25.644676158010832</v>
      </c>
      <c r="D406" s="55" t="str">
        <f t="shared" ca="1" si="85"/>
        <v>26.100 || 1470.000</v>
      </c>
      <c r="E406" s="120">
        <f t="shared" ca="1" si="93"/>
        <v>2.5787046320433262</v>
      </c>
      <c r="F406" s="56" t="e">
        <f t="shared" ca="1" si="94"/>
        <v>#N/A</v>
      </c>
      <c r="G406" s="56" t="e">
        <f t="shared" ca="1" si="86"/>
        <v>#N/A</v>
      </c>
      <c r="H406" s="116" t="e">
        <f t="shared" ca="1" si="87"/>
        <v>#N/A</v>
      </c>
      <c r="I406" s="57" t="e">
        <f t="shared" ca="1" si="88"/>
        <v>#N/A</v>
      </c>
      <c r="J406" s="131">
        <f t="shared" ca="1" si="95"/>
        <v>996</v>
      </c>
      <c r="K406" s="122" t="str">
        <f t="shared" ca="1" si="89"/>
        <v/>
      </c>
      <c r="L406" s="130" t="str">
        <f t="shared" ca="1" si="90"/>
        <v/>
      </c>
      <c r="M406" s="126">
        <f t="shared" ca="1" si="91"/>
        <v>995</v>
      </c>
      <c r="N406" s="58">
        <f t="shared" ca="1" si="82"/>
        <v>1470</v>
      </c>
      <c r="O406" s="160">
        <f t="shared" ca="1" si="82"/>
        <v>1398.2489048806724</v>
      </c>
    </row>
    <row r="407" spans="1:15" x14ac:dyDescent="0.25">
      <c r="A407" s="55">
        <f t="shared" ca="1" si="92"/>
        <v>240</v>
      </c>
      <c r="B407" s="55">
        <f t="shared" ca="1" si="83"/>
        <v>26.1</v>
      </c>
      <c r="C407" s="55">
        <f t="shared" ca="1" si="84"/>
        <v>25.644676158010832</v>
      </c>
      <c r="D407" s="55" t="str">
        <f t="shared" ca="1" si="85"/>
        <v>26.100 || 1470.000</v>
      </c>
      <c r="E407" s="120">
        <f t="shared" ca="1" si="93"/>
        <v>2.5787046320433262</v>
      </c>
      <c r="F407" s="56" t="e">
        <f t="shared" ca="1" si="94"/>
        <v>#N/A</v>
      </c>
      <c r="G407" s="56" t="e">
        <f t="shared" ca="1" si="86"/>
        <v>#N/A</v>
      </c>
      <c r="H407" s="116" t="e">
        <f t="shared" ca="1" si="87"/>
        <v>#N/A</v>
      </c>
      <c r="I407" s="57" t="e">
        <f t="shared" ca="1" si="88"/>
        <v>#N/A</v>
      </c>
      <c r="J407" s="131">
        <f t="shared" ca="1" si="95"/>
        <v>996</v>
      </c>
      <c r="K407" s="122" t="str">
        <f t="shared" ca="1" si="89"/>
        <v/>
      </c>
      <c r="L407" s="130" t="str">
        <f t="shared" ca="1" si="90"/>
        <v/>
      </c>
      <c r="M407" s="126">
        <f t="shared" ca="1" si="91"/>
        <v>995</v>
      </c>
      <c r="N407" s="58">
        <f t="shared" ca="1" si="82"/>
        <v>1470</v>
      </c>
      <c r="O407" s="160">
        <f t="shared" ca="1" si="82"/>
        <v>1398.2489048806724</v>
      </c>
    </row>
    <row r="408" spans="1:15" x14ac:dyDescent="0.25">
      <c r="A408" s="55">
        <f t="shared" ca="1" si="92"/>
        <v>240</v>
      </c>
      <c r="B408" s="55">
        <f t="shared" ca="1" si="83"/>
        <v>26.1</v>
      </c>
      <c r="C408" s="55">
        <f t="shared" ca="1" si="84"/>
        <v>25.644676158010832</v>
      </c>
      <c r="D408" s="55" t="str">
        <f t="shared" ca="1" si="85"/>
        <v>26.100 || 1470.000</v>
      </c>
      <c r="E408" s="120">
        <f t="shared" ca="1" si="93"/>
        <v>2.5787046320433262</v>
      </c>
      <c r="F408" s="56" t="e">
        <f t="shared" ca="1" si="94"/>
        <v>#N/A</v>
      </c>
      <c r="G408" s="56" t="e">
        <f t="shared" ca="1" si="86"/>
        <v>#N/A</v>
      </c>
      <c r="H408" s="116" t="e">
        <f t="shared" ca="1" si="87"/>
        <v>#N/A</v>
      </c>
      <c r="I408" s="57" t="e">
        <f t="shared" ca="1" si="88"/>
        <v>#N/A</v>
      </c>
      <c r="J408" s="131">
        <f t="shared" ca="1" si="95"/>
        <v>996</v>
      </c>
      <c r="K408" s="122" t="str">
        <f t="shared" ca="1" si="89"/>
        <v/>
      </c>
      <c r="L408" s="130" t="str">
        <f t="shared" ca="1" si="90"/>
        <v/>
      </c>
      <c r="M408" s="126">
        <f t="shared" ca="1" si="91"/>
        <v>995</v>
      </c>
      <c r="N408" s="58">
        <f t="shared" ca="1" si="82"/>
        <v>1470</v>
      </c>
      <c r="O408" s="160">
        <f t="shared" ca="1" si="82"/>
        <v>1398.2489048806724</v>
      </c>
    </row>
    <row r="409" spans="1:15" x14ac:dyDescent="0.25">
      <c r="A409" s="55">
        <f t="shared" ca="1" si="92"/>
        <v>240</v>
      </c>
      <c r="B409" s="55">
        <f t="shared" ca="1" si="83"/>
        <v>26.1</v>
      </c>
      <c r="C409" s="55">
        <f t="shared" ca="1" si="84"/>
        <v>25.686167304538003</v>
      </c>
      <c r="D409" s="55" t="str">
        <f t="shared" ca="1" si="85"/>
        <v>26.100 || 1620.000</v>
      </c>
      <c r="E409" s="120">
        <f t="shared" ca="1" si="93"/>
        <v>2.744669218152012</v>
      </c>
      <c r="F409" s="56" t="e">
        <f t="shared" ca="1" si="94"/>
        <v>#N/A</v>
      </c>
      <c r="G409" s="56" t="e">
        <f t="shared" ca="1" si="86"/>
        <v>#N/A</v>
      </c>
      <c r="H409" s="116" t="e">
        <f t="shared" ca="1" si="87"/>
        <v>#N/A</v>
      </c>
      <c r="I409" s="57" t="e">
        <f t="shared" ca="1" si="88"/>
        <v>#N/A</v>
      </c>
      <c r="J409" s="131">
        <f t="shared" ca="1" si="95"/>
        <v>996</v>
      </c>
      <c r="K409" s="122" t="str">
        <f t="shared" ca="1" si="89"/>
        <v/>
      </c>
      <c r="L409" s="130" t="str">
        <f t="shared" ca="1" si="90"/>
        <v/>
      </c>
      <c r="M409" s="126">
        <f t="shared" ca="1" si="91"/>
        <v>995</v>
      </c>
      <c r="N409" s="58">
        <f t="shared" ca="1" si="82"/>
        <v>1620.0000000000002</v>
      </c>
      <c r="O409" s="160">
        <f t="shared" ca="1" si="82"/>
        <v>1543.1785379534019</v>
      </c>
    </row>
    <row r="410" spans="1:15" x14ac:dyDescent="0.25">
      <c r="A410" s="55">
        <f t="shared" ca="1" si="92"/>
        <v>240</v>
      </c>
      <c r="B410" s="55">
        <f t="shared" ca="1" si="83"/>
        <v>26.1</v>
      </c>
      <c r="C410" s="55">
        <f t="shared" ca="1" si="84"/>
        <v>25.686167304538003</v>
      </c>
      <c r="D410" s="55" t="str">
        <f t="shared" ca="1" si="85"/>
        <v>26.100 || 1620.000</v>
      </c>
      <c r="E410" s="120">
        <f t="shared" ca="1" si="93"/>
        <v>2.744669218152012</v>
      </c>
      <c r="F410" s="56" t="e">
        <f t="shared" ca="1" si="94"/>
        <v>#N/A</v>
      </c>
      <c r="G410" s="56" t="e">
        <f t="shared" ca="1" si="86"/>
        <v>#N/A</v>
      </c>
      <c r="H410" s="116" t="e">
        <f t="shared" ca="1" si="87"/>
        <v>#N/A</v>
      </c>
      <c r="I410" s="57" t="e">
        <f t="shared" ca="1" si="88"/>
        <v>#N/A</v>
      </c>
      <c r="J410" s="131">
        <f t="shared" ca="1" si="95"/>
        <v>996</v>
      </c>
      <c r="K410" s="122" t="str">
        <f t="shared" ca="1" si="89"/>
        <v/>
      </c>
      <c r="L410" s="130" t="str">
        <f t="shared" ca="1" si="90"/>
        <v/>
      </c>
      <c r="M410" s="126">
        <f t="shared" ca="1" si="91"/>
        <v>995</v>
      </c>
      <c r="N410" s="58">
        <f t="shared" ca="1" si="82"/>
        <v>1620.0000000000002</v>
      </c>
      <c r="O410" s="160">
        <f t="shared" ca="1" si="82"/>
        <v>1543.1785379534019</v>
      </c>
    </row>
    <row r="411" spans="1:15" x14ac:dyDescent="0.25">
      <c r="A411" s="55">
        <f t="shared" ca="1" si="92"/>
        <v>240</v>
      </c>
      <c r="B411" s="55">
        <f t="shared" ca="1" si="83"/>
        <v>26.1</v>
      </c>
      <c r="C411" s="55">
        <f t="shared" ca="1" si="84"/>
        <v>25.686167304538003</v>
      </c>
      <c r="D411" s="55" t="str">
        <f t="shared" ca="1" si="85"/>
        <v>26.100 || 1620.000</v>
      </c>
      <c r="E411" s="120">
        <f t="shared" ca="1" si="93"/>
        <v>2.744669218152012</v>
      </c>
      <c r="F411" s="56" t="e">
        <f t="shared" ca="1" si="94"/>
        <v>#N/A</v>
      </c>
      <c r="G411" s="56" t="e">
        <f t="shared" ca="1" si="86"/>
        <v>#N/A</v>
      </c>
      <c r="H411" s="116" t="e">
        <f t="shared" ca="1" si="87"/>
        <v>#N/A</v>
      </c>
      <c r="I411" s="57" t="e">
        <f t="shared" ca="1" si="88"/>
        <v>#N/A</v>
      </c>
      <c r="J411" s="131">
        <f t="shared" ca="1" si="95"/>
        <v>996</v>
      </c>
      <c r="K411" s="122" t="str">
        <f t="shared" ca="1" si="89"/>
        <v/>
      </c>
      <c r="L411" s="130" t="str">
        <f t="shared" ca="1" si="90"/>
        <v/>
      </c>
      <c r="M411" s="126">
        <f t="shared" ca="1" si="91"/>
        <v>995</v>
      </c>
      <c r="N411" s="58">
        <f t="shared" ca="1" si="82"/>
        <v>1620.0000000000002</v>
      </c>
      <c r="O411" s="160">
        <f t="shared" ca="1" si="82"/>
        <v>1543.1785379534019</v>
      </c>
    </row>
    <row r="412" spans="1:15" x14ac:dyDescent="0.25">
      <c r="A412" s="55">
        <f t="shared" ca="1" si="92"/>
        <v>240</v>
      </c>
      <c r="B412" s="55">
        <f t="shared" ca="1" si="83"/>
        <v>26.1</v>
      </c>
      <c r="C412" s="55">
        <f t="shared" ca="1" si="84"/>
        <v>25.686167304538003</v>
      </c>
      <c r="D412" s="55" t="str">
        <f t="shared" ca="1" si="85"/>
        <v>26.100 || 1620.000</v>
      </c>
      <c r="E412" s="120">
        <f t="shared" ca="1" si="93"/>
        <v>2.744669218152012</v>
      </c>
      <c r="F412" s="56" t="e">
        <f t="shared" ca="1" si="94"/>
        <v>#N/A</v>
      </c>
      <c r="G412" s="56" t="e">
        <f t="shared" ca="1" si="86"/>
        <v>#N/A</v>
      </c>
      <c r="H412" s="116" t="e">
        <f t="shared" ca="1" si="87"/>
        <v>#N/A</v>
      </c>
      <c r="I412" s="57" t="e">
        <f t="shared" ca="1" si="88"/>
        <v>#N/A</v>
      </c>
      <c r="J412" s="131">
        <f t="shared" ca="1" si="95"/>
        <v>996</v>
      </c>
      <c r="K412" s="122" t="str">
        <f t="shared" ca="1" si="89"/>
        <v/>
      </c>
      <c r="L412" s="130" t="str">
        <f t="shared" ca="1" si="90"/>
        <v/>
      </c>
      <c r="M412" s="126">
        <f t="shared" ca="1" si="91"/>
        <v>995</v>
      </c>
      <c r="N412" s="58">
        <f t="shared" ca="1" si="82"/>
        <v>1620.0000000000002</v>
      </c>
      <c r="O412" s="160">
        <f t="shared" ca="1" si="82"/>
        <v>1543.1785379534019</v>
      </c>
    </row>
    <row r="413" spans="1:15" x14ac:dyDescent="0.25">
      <c r="A413" s="55">
        <f t="shared" ca="1" si="92"/>
        <v>240</v>
      </c>
      <c r="B413" s="55">
        <f t="shared" ca="1" si="83"/>
        <v>26.1</v>
      </c>
      <c r="C413" s="55">
        <f t="shared" ca="1" si="84"/>
        <v>25.722828193344775</v>
      </c>
      <c r="D413" s="55" t="str">
        <f t="shared" ca="1" si="85"/>
        <v>26.100 || 1780.000</v>
      </c>
      <c r="E413" s="120">
        <f t="shared" ca="1" si="93"/>
        <v>2.8913127733790986</v>
      </c>
      <c r="F413" s="56" t="e">
        <f t="shared" ca="1" si="94"/>
        <v>#N/A</v>
      </c>
      <c r="G413" s="56" t="e">
        <f t="shared" ca="1" si="86"/>
        <v>#N/A</v>
      </c>
      <c r="H413" s="116" t="e">
        <f t="shared" ca="1" si="87"/>
        <v>#N/A</v>
      </c>
      <c r="I413" s="57" t="e">
        <f t="shared" ca="1" si="88"/>
        <v>#N/A</v>
      </c>
      <c r="J413" s="131">
        <f t="shared" ca="1" si="95"/>
        <v>996</v>
      </c>
      <c r="K413" s="122" t="str">
        <f t="shared" ca="1" si="89"/>
        <v/>
      </c>
      <c r="L413" s="130" t="str">
        <f t="shared" ca="1" si="90"/>
        <v/>
      </c>
      <c r="M413" s="126">
        <f t="shared" ca="1" si="91"/>
        <v>995</v>
      </c>
      <c r="N413" s="58">
        <f t="shared" ca="1" si="82"/>
        <v>1779.9999999999998</v>
      </c>
      <c r="O413" s="160">
        <f t="shared" ca="1" si="82"/>
        <v>1698.1166037701887</v>
      </c>
    </row>
    <row r="414" spans="1:15" x14ac:dyDescent="0.25">
      <c r="A414" s="55">
        <f t="shared" ca="1" si="92"/>
        <v>240</v>
      </c>
      <c r="B414" s="55">
        <f t="shared" ca="1" si="83"/>
        <v>26.1</v>
      </c>
      <c r="C414" s="55">
        <f t="shared" ca="1" si="84"/>
        <v>25.722828193344775</v>
      </c>
      <c r="D414" s="55" t="str">
        <f t="shared" ca="1" si="85"/>
        <v>26.100 || 1780.000</v>
      </c>
      <c r="E414" s="120">
        <f t="shared" ca="1" si="93"/>
        <v>2.8913127733790986</v>
      </c>
      <c r="F414" s="56" t="e">
        <f t="shared" ca="1" si="94"/>
        <v>#N/A</v>
      </c>
      <c r="G414" s="56" t="e">
        <f t="shared" ca="1" si="86"/>
        <v>#N/A</v>
      </c>
      <c r="H414" s="116" t="e">
        <f t="shared" ca="1" si="87"/>
        <v>#N/A</v>
      </c>
      <c r="I414" s="57" t="e">
        <f t="shared" ca="1" si="88"/>
        <v>#N/A</v>
      </c>
      <c r="J414" s="131">
        <f t="shared" ca="1" si="95"/>
        <v>996</v>
      </c>
      <c r="K414" s="122" t="str">
        <f t="shared" ca="1" si="89"/>
        <v/>
      </c>
      <c r="L414" s="130" t="str">
        <f t="shared" ca="1" si="90"/>
        <v/>
      </c>
      <c r="M414" s="126">
        <f t="shared" ca="1" si="91"/>
        <v>995</v>
      </c>
      <c r="N414" s="58">
        <f t="shared" ca="1" si="82"/>
        <v>1779.9999999999998</v>
      </c>
      <c r="O414" s="160">
        <f t="shared" ca="1" si="82"/>
        <v>1698.1166037701887</v>
      </c>
    </row>
    <row r="415" spans="1:15" x14ac:dyDescent="0.25">
      <c r="A415" s="55">
        <f t="shared" ca="1" si="92"/>
        <v>240</v>
      </c>
      <c r="B415" s="55">
        <f t="shared" ca="1" si="83"/>
        <v>26.1</v>
      </c>
      <c r="C415" s="55">
        <f t="shared" ca="1" si="84"/>
        <v>25.722828193344775</v>
      </c>
      <c r="D415" s="55" t="str">
        <f t="shared" ca="1" si="85"/>
        <v>26.100 || 1780.000</v>
      </c>
      <c r="E415" s="120">
        <f t="shared" ca="1" si="93"/>
        <v>2.8913127733790986</v>
      </c>
      <c r="F415" s="56" t="e">
        <f t="shared" ca="1" si="94"/>
        <v>#N/A</v>
      </c>
      <c r="G415" s="56" t="e">
        <f t="shared" ca="1" si="86"/>
        <v>#N/A</v>
      </c>
      <c r="H415" s="116" t="e">
        <f t="shared" ca="1" si="87"/>
        <v>#N/A</v>
      </c>
      <c r="I415" s="57" t="e">
        <f t="shared" ca="1" si="88"/>
        <v>#N/A</v>
      </c>
      <c r="J415" s="131">
        <f t="shared" ca="1" si="95"/>
        <v>996</v>
      </c>
      <c r="K415" s="122" t="str">
        <f t="shared" ca="1" si="89"/>
        <v/>
      </c>
      <c r="L415" s="130" t="str">
        <f t="shared" ca="1" si="90"/>
        <v/>
      </c>
      <c r="M415" s="126">
        <f t="shared" ca="1" si="91"/>
        <v>995</v>
      </c>
      <c r="N415" s="58">
        <f t="shared" ca="1" si="82"/>
        <v>1779.9999999999998</v>
      </c>
      <c r="O415" s="160">
        <f t="shared" ca="1" si="82"/>
        <v>1698.1166037701887</v>
      </c>
    </row>
    <row r="416" spans="1:15" x14ac:dyDescent="0.25">
      <c r="A416" s="55">
        <f t="shared" ca="1" si="92"/>
        <v>240</v>
      </c>
      <c r="B416" s="55">
        <f t="shared" ca="1" si="83"/>
        <v>26.1</v>
      </c>
      <c r="C416" s="55">
        <f t="shared" ca="1" si="84"/>
        <v>25.722828193344775</v>
      </c>
      <c r="D416" s="55" t="str">
        <f t="shared" ca="1" si="85"/>
        <v>26.100 || 1780.000</v>
      </c>
      <c r="E416" s="120">
        <f t="shared" ca="1" si="93"/>
        <v>2.8913127733790986</v>
      </c>
      <c r="F416" s="56" t="e">
        <f t="shared" ca="1" si="94"/>
        <v>#N/A</v>
      </c>
      <c r="G416" s="56" t="e">
        <f t="shared" ca="1" si="86"/>
        <v>#N/A</v>
      </c>
      <c r="H416" s="116" t="e">
        <f t="shared" ca="1" si="87"/>
        <v>#N/A</v>
      </c>
      <c r="I416" s="57" t="e">
        <f t="shared" ca="1" si="88"/>
        <v>#N/A</v>
      </c>
      <c r="J416" s="131">
        <f t="shared" ca="1" si="95"/>
        <v>996</v>
      </c>
      <c r="K416" s="122" t="str">
        <f t="shared" ca="1" si="89"/>
        <v/>
      </c>
      <c r="L416" s="130" t="str">
        <f t="shared" ca="1" si="90"/>
        <v/>
      </c>
      <c r="M416" s="126">
        <f t="shared" ca="1" si="91"/>
        <v>995</v>
      </c>
      <c r="N416" s="58">
        <f t="shared" ca="1" si="82"/>
        <v>1779.9999999999998</v>
      </c>
      <c r="O416" s="160">
        <f t="shared" ca="1" si="82"/>
        <v>1698.1166037701887</v>
      </c>
    </row>
    <row r="417" spans="1:15" x14ac:dyDescent="0.25">
      <c r="A417" s="55">
        <f t="shared" ca="1" si="92"/>
        <v>240</v>
      </c>
      <c r="B417" s="55">
        <f t="shared" ca="1" si="83"/>
        <v>26.1</v>
      </c>
      <c r="C417" s="55">
        <f t="shared" ca="1" si="84"/>
        <v>25.757011228034845</v>
      </c>
      <c r="D417" s="55" t="str">
        <f t="shared" ca="1" si="85"/>
        <v>26.100 || 1960.000</v>
      </c>
      <c r="E417" s="120">
        <f t="shared" ca="1" si="93"/>
        <v>3.0280449121393787</v>
      </c>
      <c r="F417" s="56" t="e">
        <f t="shared" ca="1" si="94"/>
        <v>#N/A</v>
      </c>
      <c r="G417" s="56" t="e">
        <f t="shared" ca="1" si="86"/>
        <v>#N/A</v>
      </c>
      <c r="H417" s="116" t="e">
        <f t="shared" ca="1" si="87"/>
        <v>#N/A</v>
      </c>
      <c r="I417" s="57" t="e">
        <f t="shared" ca="1" si="88"/>
        <v>#N/A</v>
      </c>
      <c r="J417" s="131">
        <f t="shared" ca="1" si="95"/>
        <v>996</v>
      </c>
      <c r="K417" s="122" t="str">
        <f t="shared" ca="1" si="89"/>
        <v/>
      </c>
      <c r="L417" s="130" t="str">
        <f t="shared" ca="1" si="90"/>
        <v/>
      </c>
      <c r="M417" s="126">
        <f t="shared" ca="1" si="91"/>
        <v>995</v>
      </c>
      <c r="N417" s="58">
        <f t="shared" ca="1" si="82"/>
        <v>1960</v>
      </c>
      <c r="O417" s="160">
        <f t="shared" ca="1" si="82"/>
        <v>1867.832968977687</v>
      </c>
    </row>
    <row r="418" spans="1:15" x14ac:dyDescent="0.25">
      <c r="A418" s="55">
        <f t="shared" ca="1" si="92"/>
        <v>240</v>
      </c>
      <c r="B418" s="55">
        <f t="shared" ca="1" si="83"/>
        <v>26.1</v>
      </c>
      <c r="C418" s="55">
        <f t="shared" ca="1" si="84"/>
        <v>25.757011228034845</v>
      </c>
      <c r="D418" s="55" t="str">
        <f t="shared" ca="1" si="85"/>
        <v>26.100 || 1960.000</v>
      </c>
      <c r="E418" s="120">
        <f t="shared" ca="1" si="93"/>
        <v>3.0280449121393787</v>
      </c>
      <c r="F418" s="56" t="e">
        <f t="shared" ca="1" si="94"/>
        <v>#N/A</v>
      </c>
      <c r="G418" s="56" t="e">
        <f t="shared" ca="1" si="86"/>
        <v>#N/A</v>
      </c>
      <c r="H418" s="116" t="e">
        <f t="shared" ca="1" si="87"/>
        <v>#N/A</v>
      </c>
      <c r="I418" s="57" t="e">
        <f t="shared" ca="1" si="88"/>
        <v>#N/A</v>
      </c>
      <c r="J418" s="131">
        <f t="shared" ca="1" si="95"/>
        <v>996</v>
      </c>
      <c r="K418" s="122" t="str">
        <f t="shared" ca="1" si="89"/>
        <v/>
      </c>
      <c r="L418" s="130" t="str">
        <f t="shared" ca="1" si="90"/>
        <v/>
      </c>
      <c r="M418" s="126">
        <f t="shared" ca="1" si="91"/>
        <v>995</v>
      </c>
      <c r="N418" s="58">
        <f t="shared" ca="1" si="82"/>
        <v>1960</v>
      </c>
      <c r="O418" s="160">
        <f t="shared" ca="1" si="82"/>
        <v>1867.832968977687</v>
      </c>
    </row>
    <row r="419" spans="1:15" x14ac:dyDescent="0.25">
      <c r="A419" s="55">
        <f t="shared" ca="1" si="92"/>
        <v>240</v>
      </c>
      <c r="B419" s="55">
        <f t="shared" ca="1" si="83"/>
        <v>26.1</v>
      </c>
      <c r="C419" s="55">
        <f t="shared" ca="1" si="84"/>
        <v>25.757011228034845</v>
      </c>
      <c r="D419" s="55" t="str">
        <f t="shared" ca="1" si="85"/>
        <v>26.100 || 1960.000</v>
      </c>
      <c r="E419" s="120">
        <f t="shared" ca="1" si="93"/>
        <v>3.0280449121393787</v>
      </c>
      <c r="F419" s="56" t="e">
        <f t="shared" ca="1" si="94"/>
        <v>#N/A</v>
      </c>
      <c r="G419" s="56" t="e">
        <f t="shared" ca="1" si="86"/>
        <v>#N/A</v>
      </c>
      <c r="H419" s="116" t="e">
        <f t="shared" ca="1" si="87"/>
        <v>#N/A</v>
      </c>
      <c r="I419" s="57" t="e">
        <f t="shared" ca="1" si="88"/>
        <v>#N/A</v>
      </c>
      <c r="J419" s="131">
        <f t="shared" ca="1" si="95"/>
        <v>996</v>
      </c>
      <c r="K419" s="122" t="str">
        <f t="shared" ca="1" si="89"/>
        <v/>
      </c>
      <c r="L419" s="130" t="str">
        <f t="shared" ca="1" si="90"/>
        <v/>
      </c>
      <c r="M419" s="126">
        <f t="shared" ca="1" si="91"/>
        <v>995</v>
      </c>
      <c r="N419" s="58">
        <f t="shared" ca="1" si="82"/>
        <v>1960</v>
      </c>
      <c r="O419" s="160">
        <f t="shared" ca="1" si="82"/>
        <v>1867.832968977687</v>
      </c>
    </row>
    <row r="420" spans="1:15" x14ac:dyDescent="0.25">
      <c r="A420" s="55">
        <f t="shared" ca="1" si="92"/>
        <v>240</v>
      </c>
      <c r="B420" s="55">
        <f t="shared" ca="1" si="83"/>
        <v>26.1</v>
      </c>
      <c r="C420" s="55">
        <f t="shared" ca="1" si="84"/>
        <v>25.757011228034845</v>
      </c>
      <c r="D420" s="55" t="str">
        <f t="shared" ca="1" si="85"/>
        <v>26.100 || 1960.000</v>
      </c>
      <c r="E420" s="120">
        <f t="shared" ca="1" si="93"/>
        <v>3.0280449121393787</v>
      </c>
      <c r="F420" s="56" t="e">
        <f t="shared" ca="1" si="94"/>
        <v>#N/A</v>
      </c>
      <c r="G420" s="56" t="e">
        <f t="shared" ca="1" si="86"/>
        <v>#N/A</v>
      </c>
      <c r="H420" s="116" t="e">
        <f t="shared" ca="1" si="87"/>
        <v>#N/A</v>
      </c>
      <c r="I420" s="57" t="e">
        <f t="shared" ca="1" si="88"/>
        <v>#N/A</v>
      </c>
      <c r="J420" s="131">
        <f t="shared" ca="1" si="95"/>
        <v>996</v>
      </c>
      <c r="K420" s="122" t="str">
        <f t="shared" ca="1" si="89"/>
        <v/>
      </c>
      <c r="L420" s="130" t="str">
        <f t="shared" ca="1" si="90"/>
        <v/>
      </c>
      <c r="M420" s="126">
        <f t="shared" ca="1" si="91"/>
        <v>995</v>
      </c>
      <c r="N420" s="58">
        <f t="shared" ca="1" si="82"/>
        <v>1960</v>
      </c>
      <c r="O420" s="160">
        <f t="shared" ca="1" si="82"/>
        <v>1867.832968977687</v>
      </c>
    </row>
    <row r="421" spans="1:15" x14ac:dyDescent="0.25">
      <c r="A421" s="55">
        <f t="shared" ca="1" si="92"/>
        <v>240</v>
      </c>
      <c r="B421" s="55">
        <f t="shared" ca="1" si="83"/>
        <v>26.1</v>
      </c>
      <c r="C421" s="55">
        <f t="shared" ca="1" si="84"/>
        <v>25.78695831993015</v>
      </c>
      <c r="D421" s="55" t="str">
        <f t="shared" ca="1" si="85"/>
        <v>26.100 || 2150.000</v>
      </c>
      <c r="E421" s="120">
        <f t="shared" ca="1" si="93"/>
        <v>3.1478332797206008</v>
      </c>
      <c r="F421" s="56" t="e">
        <f t="shared" ca="1" si="94"/>
        <v>#N/A</v>
      </c>
      <c r="G421" s="56" t="e">
        <f t="shared" ca="1" si="86"/>
        <v>#N/A</v>
      </c>
      <c r="H421" s="116" t="e">
        <f t="shared" ca="1" si="87"/>
        <v>#N/A</v>
      </c>
      <c r="I421" s="57" t="e">
        <f t="shared" ca="1" si="88"/>
        <v>#N/A</v>
      </c>
      <c r="J421" s="131">
        <f t="shared" ca="1" si="95"/>
        <v>996</v>
      </c>
      <c r="K421" s="122" t="str">
        <f t="shared" ca="1" si="89"/>
        <v/>
      </c>
      <c r="L421" s="130" t="str">
        <f t="shared" ca="1" si="90"/>
        <v/>
      </c>
      <c r="M421" s="126">
        <f t="shared" ca="1" si="91"/>
        <v>995</v>
      </c>
      <c r="N421" s="58">
        <f t="shared" ca="1" si="82"/>
        <v>2150</v>
      </c>
      <c r="O421" s="160">
        <f t="shared" ca="1" si="82"/>
        <v>2052.8029618061255</v>
      </c>
    </row>
    <row r="422" spans="1:15" x14ac:dyDescent="0.25">
      <c r="A422" s="55">
        <f t="shared" ca="1" si="92"/>
        <v>240</v>
      </c>
      <c r="B422" s="55">
        <f t="shared" ca="1" si="83"/>
        <v>26.1</v>
      </c>
      <c r="C422" s="55">
        <f t="shared" ca="1" si="84"/>
        <v>25.78695831993015</v>
      </c>
      <c r="D422" s="55" t="str">
        <f t="shared" ca="1" si="85"/>
        <v>26.100 || 2150.000</v>
      </c>
      <c r="E422" s="120">
        <f t="shared" ca="1" si="93"/>
        <v>3.1478332797206008</v>
      </c>
      <c r="F422" s="56" t="e">
        <f t="shared" ca="1" si="94"/>
        <v>#N/A</v>
      </c>
      <c r="G422" s="56" t="e">
        <f t="shared" ca="1" si="86"/>
        <v>#N/A</v>
      </c>
      <c r="H422" s="116" t="e">
        <f t="shared" ca="1" si="87"/>
        <v>#N/A</v>
      </c>
      <c r="I422" s="57" t="e">
        <f t="shared" ca="1" si="88"/>
        <v>#N/A</v>
      </c>
      <c r="J422" s="131">
        <f t="shared" ca="1" si="95"/>
        <v>996</v>
      </c>
      <c r="K422" s="122" t="str">
        <f t="shared" ca="1" si="89"/>
        <v/>
      </c>
      <c r="L422" s="130" t="str">
        <f t="shared" ca="1" si="90"/>
        <v/>
      </c>
      <c r="M422" s="126">
        <f t="shared" ca="1" si="91"/>
        <v>995</v>
      </c>
      <c r="N422" s="58">
        <f t="shared" ca="1" si="82"/>
        <v>2150</v>
      </c>
      <c r="O422" s="160">
        <f t="shared" ca="1" si="82"/>
        <v>2052.8029618061255</v>
      </c>
    </row>
    <row r="423" spans="1:15" x14ac:dyDescent="0.25">
      <c r="A423" s="55">
        <f t="shared" ca="1" si="92"/>
        <v>240</v>
      </c>
      <c r="B423" s="55">
        <f t="shared" ca="1" si="83"/>
        <v>26.1</v>
      </c>
      <c r="C423" s="55">
        <f t="shared" ca="1" si="84"/>
        <v>25.78695831993015</v>
      </c>
      <c r="D423" s="55" t="str">
        <f t="shared" ca="1" si="85"/>
        <v>26.100 || 2150.000</v>
      </c>
      <c r="E423" s="120">
        <f t="shared" ca="1" si="93"/>
        <v>3.1478332797206008</v>
      </c>
      <c r="F423" s="56" t="e">
        <f t="shared" ca="1" si="94"/>
        <v>#N/A</v>
      </c>
      <c r="G423" s="56" t="e">
        <f t="shared" ca="1" si="86"/>
        <v>#N/A</v>
      </c>
      <c r="H423" s="116" t="e">
        <f t="shared" ca="1" si="87"/>
        <v>#N/A</v>
      </c>
      <c r="I423" s="57" t="e">
        <f t="shared" ca="1" si="88"/>
        <v>#N/A</v>
      </c>
      <c r="J423" s="131">
        <f t="shared" ca="1" si="95"/>
        <v>996</v>
      </c>
      <c r="K423" s="122" t="str">
        <f t="shared" ca="1" si="89"/>
        <v/>
      </c>
      <c r="L423" s="130" t="str">
        <f t="shared" ca="1" si="90"/>
        <v/>
      </c>
      <c r="M423" s="126">
        <f t="shared" ca="1" si="91"/>
        <v>995</v>
      </c>
      <c r="N423" s="58">
        <f t="shared" ca="1" si="82"/>
        <v>2150</v>
      </c>
      <c r="O423" s="160">
        <f t="shared" ca="1" si="82"/>
        <v>2052.8029618061255</v>
      </c>
    </row>
    <row r="424" spans="1:15" x14ac:dyDescent="0.25">
      <c r="A424" s="55">
        <f t="shared" ca="1" si="92"/>
        <v>240</v>
      </c>
      <c r="B424" s="55">
        <f t="shared" ca="1" si="83"/>
        <v>26.1</v>
      </c>
      <c r="C424" s="55">
        <f t="shared" ca="1" si="84"/>
        <v>25.78695831993015</v>
      </c>
      <c r="D424" s="55" t="str">
        <f t="shared" ca="1" si="85"/>
        <v>26.100 || 2150.000</v>
      </c>
      <c r="E424" s="120">
        <f t="shared" ca="1" si="93"/>
        <v>3.1478332797206008</v>
      </c>
      <c r="F424" s="56" t="e">
        <f t="shared" ca="1" si="94"/>
        <v>#N/A</v>
      </c>
      <c r="G424" s="56" t="e">
        <f t="shared" ca="1" si="86"/>
        <v>#N/A</v>
      </c>
      <c r="H424" s="116" t="e">
        <f t="shared" ca="1" si="87"/>
        <v>#N/A</v>
      </c>
      <c r="I424" s="57" t="e">
        <f t="shared" ca="1" si="88"/>
        <v>#N/A</v>
      </c>
      <c r="J424" s="131">
        <f t="shared" ca="1" si="95"/>
        <v>996</v>
      </c>
      <c r="K424" s="122" t="str">
        <f t="shared" ca="1" si="89"/>
        <v/>
      </c>
      <c r="L424" s="130" t="str">
        <f t="shared" ca="1" si="90"/>
        <v/>
      </c>
      <c r="M424" s="126">
        <f t="shared" ca="1" si="91"/>
        <v>995</v>
      </c>
      <c r="N424" s="58">
        <f t="shared" ref="N424:O487" ca="1" si="96">N328*10</f>
        <v>2150</v>
      </c>
      <c r="O424" s="160">
        <f t="shared" ca="1" si="96"/>
        <v>2052.8029618061255</v>
      </c>
    </row>
    <row r="425" spans="1:15" x14ac:dyDescent="0.25">
      <c r="A425" s="55">
        <f t="shared" ca="1" si="92"/>
        <v>240</v>
      </c>
      <c r="B425" s="55">
        <f t="shared" ca="1" si="83"/>
        <v>26.1</v>
      </c>
      <c r="C425" s="55">
        <f t="shared" ca="1" si="84"/>
        <v>25.815700513334171</v>
      </c>
      <c r="D425" s="55" t="str">
        <f t="shared" ca="1" si="85"/>
        <v>26.100 || 2370.000</v>
      </c>
      <c r="E425" s="120">
        <f t="shared" ca="1" si="93"/>
        <v>3.262802053336685</v>
      </c>
      <c r="F425" s="56" t="e">
        <f t="shared" ca="1" si="94"/>
        <v>#N/A</v>
      </c>
      <c r="G425" s="56" t="e">
        <f t="shared" ca="1" si="86"/>
        <v>#N/A</v>
      </c>
      <c r="H425" s="116" t="e">
        <f t="shared" ca="1" si="87"/>
        <v>#N/A</v>
      </c>
      <c r="I425" s="57" t="e">
        <f t="shared" ca="1" si="88"/>
        <v>#N/A</v>
      </c>
      <c r="J425" s="131">
        <f t="shared" ca="1" si="95"/>
        <v>996</v>
      </c>
      <c r="K425" s="122" t="str">
        <f t="shared" ca="1" si="89"/>
        <v/>
      </c>
      <c r="L425" s="130" t="str">
        <f t="shared" ca="1" si="90"/>
        <v/>
      </c>
      <c r="M425" s="126">
        <f t="shared" ca="1" si="91"/>
        <v>995</v>
      </c>
      <c r="N425" s="58">
        <f t="shared" ca="1" si="96"/>
        <v>2370.0000000000005</v>
      </c>
      <c r="O425" s="160">
        <f t="shared" ca="1" si="96"/>
        <v>2257.3214215082444</v>
      </c>
    </row>
    <row r="426" spans="1:15" x14ac:dyDescent="0.25">
      <c r="A426" s="55">
        <f t="shared" ca="1" si="92"/>
        <v>240</v>
      </c>
      <c r="B426" s="55">
        <f t="shared" ca="1" si="83"/>
        <v>26.1</v>
      </c>
      <c r="C426" s="55">
        <f t="shared" ca="1" si="84"/>
        <v>25.815700513334171</v>
      </c>
      <c r="D426" s="55" t="str">
        <f t="shared" ca="1" si="85"/>
        <v>26.100 || 2370.000</v>
      </c>
      <c r="E426" s="120">
        <f t="shared" ca="1" si="93"/>
        <v>3.262802053336685</v>
      </c>
      <c r="F426" s="56" t="e">
        <f t="shared" ca="1" si="94"/>
        <v>#N/A</v>
      </c>
      <c r="G426" s="56" t="e">
        <f t="shared" ca="1" si="86"/>
        <v>#N/A</v>
      </c>
      <c r="H426" s="116" t="e">
        <f t="shared" ca="1" si="87"/>
        <v>#N/A</v>
      </c>
      <c r="I426" s="57" t="e">
        <f t="shared" ca="1" si="88"/>
        <v>#N/A</v>
      </c>
      <c r="J426" s="131">
        <f t="shared" ca="1" si="95"/>
        <v>996</v>
      </c>
      <c r="K426" s="122" t="str">
        <f t="shared" ca="1" si="89"/>
        <v/>
      </c>
      <c r="L426" s="130" t="str">
        <f t="shared" ca="1" si="90"/>
        <v/>
      </c>
      <c r="M426" s="126">
        <f t="shared" ca="1" si="91"/>
        <v>995</v>
      </c>
      <c r="N426" s="58">
        <f t="shared" ca="1" si="96"/>
        <v>2370.0000000000005</v>
      </c>
      <c r="O426" s="160">
        <f t="shared" ca="1" si="96"/>
        <v>2257.3214215082444</v>
      </c>
    </row>
    <row r="427" spans="1:15" x14ac:dyDescent="0.25">
      <c r="A427" s="55">
        <f t="shared" ca="1" si="92"/>
        <v>240</v>
      </c>
      <c r="B427" s="55">
        <f t="shared" ca="1" si="83"/>
        <v>26.1</v>
      </c>
      <c r="C427" s="55">
        <f t="shared" ca="1" si="84"/>
        <v>25.815700513334171</v>
      </c>
      <c r="D427" s="55" t="str">
        <f t="shared" ca="1" si="85"/>
        <v>26.100 || 2370.000</v>
      </c>
      <c r="E427" s="120">
        <f t="shared" ca="1" si="93"/>
        <v>3.262802053336685</v>
      </c>
      <c r="F427" s="56" t="e">
        <f t="shared" ca="1" si="94"/>
        <v>#N/A</v>
      </c>
      <c r="G427" s="56" t="e">
        <f t="shared" ca="1" si="86"/>
        <v>#N/A</v>
      </c>
      <c r="H427" s="116" t="e">
        <f t="shared" ca="1" si="87"/>
        <v>#N/A</v>
      </c>
      <c r="I427" s="57" t="e">
        <f t="shared" ca="1" si="88"/>
        <v>#N/A</v>
      </c>
      <c r="J427" s="131">
        <f t="shared" ca="1" si="95"/>
        <v>996</v>
      </c>
      <c r="K427" s="122" t="str">
        <f t="shared" ca="1" si="89"/>
        <v/>
      </c>
      <c r="L427" s="130" t="str">
        <f t="shared" ca="1" si="90"/>
        <v/>
      </c>
      <c r="M427" s="126">
        <f t="shared" ca="1" si="91"/>
        <v>995</v>
      </c>
      <c r="N427" s="58">
        <f t="shared" ca="1" si="96"/>
        <v>2370.0000000000005</v>
      </c>
      <c r="O427" s="160">
        <f t="shared" ca="1" si="96"/>
        <v>2257.3214215082444</v>
      </c>
    </row>
    <row r="428" spans="1:15" x14ac:dyDescent="0.25">
      <c r="A428" s="55">
        <f t="shared" ca="1" si="92"/>
        <v>240</v>
      </c>
      <c r="B428" s="55">
        <f t="shared" ca="1" si="83"/>
        <v>26.1</v>
      </c>
      <c r="C428" s="55">
        <f t="shared" ca="1" si="84"/>
        <v>25.815700513334171</v>
      </c>
      <c r="D428" s="55" t="str">
        <f t="shared" ca="1" si="85"/>
        <v>26.100 || 2370.000</v>
      </c>
      <c r="E428" s="120">
        <f t="shared" ca="1" si="93"/>
        <v>3.262802053336685</v>
      </c>
      <c r="F428" s="56" t="e">
        <f t="shared" ca="1" si="94"/>
        <v>#N/A</v>
      </c>
      <c r="G428" s="56" t="e">
        <f t="shared" ca="1" si="86"/>
        <v>#N/A</v>
      </c>
      <c r="H428" s="116" t="e">
        <f t="shared" ca="1" si="87"/>
        <v>#N/A</v>
      </c>
      <c r="I428" s="57" t="e">
        <f t="shared" ca="1" si="88"/>
        <v>#N/A</v>
      </c>
      <c r="J428" s="131">
        <f t="shared" ca="1" si="95"/>
        <v>996</v>
      </c>
      <c r="K428" s="122" t="str">
        <f t="shared" ca="1" si="89"/>
        <v/>
      </c>
      <c r="L428" s="130" t="str">
        <f t="shared" ca="1" si="90"/>
        <v/>
      </c>
      <c r="M428" s="126">
        <f t="shared" ca="1" si="91"/>
        <v>995</v>
      </c>
      <c r="N428" s="58">
        <f t="shared" ca="1" si="96"/>
        <v>2370.0000000000005</v>
      </c>
      <c r="O428" s="160">
        <f t="shared" ca="1" si="96"/>
        <v>2257.3214215082444</v>
      </c>
    </row>
    <row r="429" spans="1:15" x14ac:dyDescent="0.25">
      <c r="A429" s="55">
        <f t="shared" ca="1" si="92"/>
        <v>240</v>
      </c>
      <c r="B429" s="55">
        <f t="shared" ca="1" si="83"/>
        <v>26.1</v>
      </c>
      <c r="C429" s="55">
        <f t="shared" ca="1" si="84"/>
        <v>25.841584158415845</v>
      </c>
      <c r="D429" s="55" t="str">
        <f t="shared" ca="1" si="85"/>
        <v>26.100 || 2610.000</v>
      </c>
      <c r="E429" s="120">
        <f t="shared" ca="1" si="93"/>
        <v>3.36633663366338</v>
      </c>
      <c r="F429" s="56" t="e">
        <f t="shared" ca="1" si="94"/>
        <v>#N/A</v>
      </c>
      <c r="G429" s="56" t="e">
        <f t="shared" ca="1" si="86"/>
        <v>#N/A</v>
      </c>
      <c r="H429" s="116" t="e">
        <f t="shared" ca="1" si="87"/>
        <v>#N/A</v>
      </c>
      <c r="I429" s="57" t="e">
        <f t="shared" ca="1" si="88"/>
        <v>#N/A</v>
      </c>
      <c r="J429" s="131">
        <f t="shared" ca="1" si="95"/>
        <v>996</v>
      </c>
      <c r="K429" s="122" t="str">
        <f t="shared" ca="1" si="89"/>
        <v/>
      </c>
      <c r="L429" s="130" t="str">
        <f t="shared" ca="1" si="90"/>
        <v/>
      </c>
      <c r="M429" s="126">
        <f t="shared" ca="1" si="91"/>
        <v>995</v>
      </c>
      <c r="N429" s="58">
        <f t="shared" ca="1" si="96"/>
        <v>2610</v>
      </c>
      <c r="O429" s="160">
        <f t="shared" ca="1" si="96"/>
        <v>2487.1067528355111</v>
      </c>
    </row>
    <row r="430" spans="1:15" x14ac:dyDescent="0.25">
      <c r="A430" s="55">
        <f t="shared" ca="1" si="92"/>
        <v>240</v>
      </c>
      <c r="B430" s="55">
        <f t="shared" ca="1" si="83"/>
        <v>26.1</v>
      </c>
      <c r="C430" s="55">
        <f t="shared" ca="1" si="84"/>
        <v>25.841584158415845</v>
      </c>
      <c r="D430" s="55" t="str">
        <f t="shared" ca="1" si="85"/>
        <v>26.100 || 2610.000</v>
      </c>
      <c r="E430" s="120">
        <f t="shared" ca="1" si="93"/>
        <v>3.36633663366338</v>
      </c>
      <c r="F430" s="56" t="e">
        <f t="shared" ca="1" si="94"/>
        <v>#N/A</v>
      </c>
      <c r="G430" s="56" t="e">
        <f t="shared" ca="1" si="86"/>
        <v>#N/A</v>
      </c>
      <c r="H430" s="116" t="e">
        <f t="shared" ca="1" si="87"/>
        <v>#N/A</v>
      </c>
      <c r="I430" s="57" t="e">
        <f t="shared" ca="1" si="88"/>
        <v>#N/A</v>
      </c>
      <c r="J430" s="131">
        <f t="shared" ca="1" si="95"/>
        <v>996</v>
      </c>
      <c r="K430" s="122" t="str">
        <f t="shared" ca="1" si="89"/>
        <v/>
      </c>
      <c r="L430" s="130" t="str">
        <f t="shared" ca="1" si="90"/>
        <v/>
      </c>
      <c r="M430" s="126">
        <f t="shared" ca="1" si="91"/>
        <v>995</v>
      </c>
      <c r="N430" s="58">
        <f t="shared" ca="1" si="96"/>
        <v>2610</v>
      </c>
      <c r="O430" s="160">
        <f t="shared" ca="1" si="96"/>
        <v>2487.1067528355111</v>
      </c>
    </row>
    <row r="431" spans="1:15" x14ac:dyDescent="0.25">
      <c r="A431" s="55">
        <f t="shared" ca="1" si="92"/>
        <v>240</v>
      </c>
      <c r="B431" s="55">
        <f t="shared" ca="1" si="83"/>
        <v>26.1</v>
      </c>
      <c r="C431" s="55">
        <f t="shared" ca="1" si="84"/>
        <v>25.841584158415845</v>
      </c>
      <c r="D431" s="55" t="str">
        <f t="shared" ca="1" si="85"/>
        <v>26.100 || 2610.000</v>
      </c>
      <c r="E431" s="120">
        <f t="shared" ca="1" si="93"/>
        <v>3.36633663366338</v>
      </c>
      <c r="F431" s="56" t="e">
        <f t="shared" ca="1" si="94"/>
        <v>#N/A</v>
      </c>
      <c r="G431" s="56" t="e">
        <f t="shared" ca="1" si="86"/>
        <v>#N/A</v>
      </c>
      <c r="H431" s="116" t="e">
        <f t="shared" ca="1" si="87"/>
        <v>#N/A</v>
      </c>
      <c r="I431" s="57" t="e">
        <f t="shared" ca="1" si="88"/>
        <v>#N/A</v>
      </c>
      <c r="J431" s="131">
        <f t="shared" ca="1" si="95"/>
        <v>996</v>
      </c>
      <c r="K431" s="122" t="str">
        <f t="shared" ca="1" si="89"/>
        <v/>
      </c>
      <c r="L431" s="130" t="str">
        <f t="shared" ca="1" si="90"/>
        <v/>
      </c>
      <c r="M431" s="126">
        <f t="shared" ca="1" si="91"/>
        <v>995</v>
      </c>
      <c r="N431" s="58">
        <f t="shared" ca="1" si="96"/>
        <v>2610</v>
      </c>
      <c r="O431" s="160">
        <f t="shared" ca="1" si="96"/>
        <v>2487.1067528355111</v>
      </c>
    </row>
    <row r="432" spans="1:15" x14ac:dyDescent="0.25">
      <c r="A432" s="55">
        <f t="shared" ca="1" si="92"/>
        <v>240</v>
      </c>
      <c r="B432" s="55">
        <f t="shared" ca="1" si="83"/>
        <v>26.1</v>
      </c>
      <c r="C432" s="55">
        <f t="shared" ca="1" si="84"/>
        <v>25.841584158415845</v>
      </c>
      <c r="D432" s="55" t="str">
        <f t="shared" ca="1" si="85"/>
        <v>26.100 || 2610.000</v>
      </c>
      <c r="E432" s="120">
        <f t="shared" ca="1" si="93"/>
        <v>3.36633663366338</v>
      </c>
      <c r="F432" s="56" t="e">
        <f t="shared" ca="1" si="94"/>
        <v>#N/A</v>
      </c>
      <c r="G432" s="56" t="e">
        <f t="shared" ca="1" si="86"/>
        <v>#N/A</v>
      </c>
      <c r="H432" s="116" t="e">
        <f t="shared" ca="1" si="87"/>
        <v>#N/A</v>
      </c>
      <c r="I432" s="57" t="e">
        <f t="shared" ca="1" si="88"/>
        <v>#N/A</v>
      </c>
      <c r="J432" s="131">
        <f t="shared" ca="1" si="95"/>
        <v>996</v>
      </c>
      <c r="K432" s="122" t="str">
        <f t="shared" ca="1" si="89"/>
        <v/>
      </c>
      <c r="L432" s="130" t="str">
        <f t="shared" ca="1" si="90"/>
        <v/>
      </c>
      <c r="M432" s="126">
        <f t="shared" ca="1" si="91"/>
        <v>995</v>
      </c>
      <c r="N432" s="58">
        <f t="shared" ca="1" si="96"/>
        <v>2610</v>
      </c>
      <c r="O432" s="160">
        <f t="shared" ca="1" si="96"/>
        <v>2487.1067528355111</v>
      </c>
    </row>
    <row r="433" spans="1:15" x14ac:dyDescent="0.25">
      <c r="A433" s="55">
        <f t="shared" ca="1" si="92"/>
        <v>240</v>
      </c>
      <c r="B433" s="55">
        <f t="shared" ca="1" si="83"/>
        <v>26.1</v>
      </c>
      <c r="C433" s="55">
        <f t="shared" ca="1" si="84"/>
        <v>25.864783674596872</v>
      </c>
      <c r="D433" s="55" t="str">
        <f t="shared" ca="1" si="85"/>
        <v>26.100 || 2870.000</v>
      </c>
      <c r="E433" s="120">
        <f t="shared" ca="1" si="93"/>
        <v>3.4591346983874871</v>
      </c>
      <c r="F433" s="56" t="e">
        <f t="shared" ca="1" si="94"/>
        <v>#N/A</v>
      </c>
      <c r="G433" s="56" t="e">
        <f t="shared" ca="1" si="86"/>
        <v>#N/A</v>
      </c>
      <c r="H433" s="116" t="e">
        <f t="shared" ca="1" si="87"/>
        <v>#N/A</v>
      </c>
      <c r="I433" s="57" t="e">
        <f t="shared" ca="1" si="88"/>
        <v>#N/A</v>
      </c>
      <c r="J433" s="131">
        <f t="shared" ca="1" si="95"/>
        <v>996</v>
      </c>
      <c r="K433" s="122" t="str">
        <f t="shared" ca="1" si="89"/>
        <v/>
      </c>
      <c r="L433" s="130" t="str">
        <f t="shared" ca="1" si="90"/>
        <v/>
      </c>
      <c r="M433" s="126">
        <f t="shared" ca="1" si="91"/>
        <v>995</v>
      </c>
      <c r="N433" s="58">
        <f t="shared" ca="1" si="96"/>
        <v>2869.9999999999995</v>
      </c>
      <c r="O433" s="160">
        <f t="shared" ca="1" si="96"/>
        <v>2736.9143209095892</v>
      </c>
    </row>
    <row r="434" spans="1:15" x14ac:dyDescent="0.25">
      <c r="A434" s="55">
        <f t="shared" ca="1" si="92"/>
        <v>240</v>
      </c>
      <c r="B434" s="55">
        <f t="shared" ca="1" si="83"/>
        <v>26.1</v>
      </c>
      <c r="C434" s="55">
        <f t="shared" ca="1" si="84"/>
        <v>25.864783674596872</v>
      </c>
      <c r="D434" s="55" t="str">
        <f t="shared" ca="1" si="85"/>
        <v>26.100 || 2870.000</v>
      </c>
      <c r="E434" s="120">
        <f t="shared" ca="1" si="93"/>
        <v>3.4591346983874871</v>
      </c>
      <c r="F434" s="56" t="e">
        <f t="shared" ca="1" si="94"/>
        <v>#N/A</v>
      </c>
      <c r="G434" s="56" t="e">
        <f t="shared" ca="1" si="86"/>
        <v>#N/A</v>
      </c>
      <c r="H434" s="116" t="e">
        <f t="shared" ca="1" si="87"/>
        <v>#N/A</v>
      </c>
      <c r="I434" s="57" t="e">
        <f t="shared" ca="1" si="88"/>
        <v>#N/A</v>
      </c>
      <c r="J434" s="131">
        <f t="shared" ca="1" si="95"/>
        <v>996</v>
      </c>
      <c r="K434" s="122" t="str">
        <f t="shared" ca="1" si="89"/>
        <v/>
      </c>
      <c r="L434" s="130" t="str">
        <f t="shared" ca="1" si="90"/>
        <v/>
      </c>
      <c r="M434" s="126">
        <f t="shared" ca="1" si="91"/>
        <v>995</v>
      </c>
      <c r="N434" s="58">
        <f t="shared" ca="1" si="96"/>
        <v>2869.9999999999995</v>
      </c>
      <c r="O434" s="160">
        <f t="shared" ca="1" si="96"/>
        <v>2736.9143209095892</v>
      </c>
    </row>
    <row r="435" spans="1:15" x14ac:dyDescent="0.25">
      <c r="A435" s="55">
        <f t="shared" ca="1" si="92"/>
        <v>240</v>
      </c>
      <c r="B435" s="55">
        <f t="shared" ca="1" si="83"/>
        <v>26.1</v>
      </c>
      <c r="C435" s="55">
        <f t="shared" ca="1" si="84"/>
        <v>25.864783674596872</v>
      </c>
      <c r="D435" s="55" t="str">
        <f t="shared" ca="1" si="85"/>
        <v>26.100 || 2870.000</v>
      </c>
      <c r="E435" s="120">
        <f t="shared" ca="1" si="93"/>
        <v>3.4591346983874871</v>
      </c>
      <c r="F435" s="56" t="e">
        <f t="shared" ca="1" si="94"/>
        <v>#N/A</v>
      </c>
      <c r="G435" s="56" t="e">
        <f t="shared" ca="1" si="86"/>
        <v>#N/A</v>
      </c>
      <c r="H435" s="116" t="e">
        <f t="shared" ca="1" si="87"/>
        <v>#N/A</v>
      </c>
      <c r="I435" s="57" t="e">
        <f t="shared" ca="1" si="88"/>
        <v>#N/A</v>
      </c>
      <c r="J435" s="131">
        <f t="shared" ca="1" si="95"/>
        <v>996</v>
      </c>
      <c r="K435" s="122" t="str">
        <f t="shared" ca="1" si="89"/>
        <v/>
      </c>
      <c r="L435" s="130" t="str">
        <f t="shared" ca="1" si="90"/>
        <v/>
      </c>
      <c r="M435" s="126">
        <f t="shared" ca="1" si="91"/>
        <v>995</v>
      </c>
      <c r="N435" s="58">
        <f t="shared" ca="1" si="96"/>
        <v>2869.9999999999995</v>
      </c>
      <c r="O435" s="160">
        <f t="shared" ca="1" si="96"/>
        <v>2736.9143209095892</v>
      </c>
    </row>
    <row r="436" spans="1:15" x14ac:dyDescent="0.25">
      <c r="A436" s="55">
        <f t="shared" ca="1" si="92"/>
        <v>240</v>
      </c>
      <c r="B436" s="55">
        <f t="shared" ca="1" si="83"/>
        <v>26.1</v>
      </c>
      <c r="C436" s="55">
        <f t="shared" ca="1" si="84"/>
        <v>25.864783674596872</v>
      </c>
      <c r="D436" s="55" t="str">
        <f t="shared" ca="1" si="85"/>
        <v>26.100 || 2870.000</v>
      </c>
      <c r="E436" s="120">
        <f t="shared" ca="1" si="93"/>
        <v>3.4591346983874871</v>
      </c>
      <c r="F436" s="56" t="e">
        <f t="shared" ca="1" si="94"/>
        <v>#N/A</v>
      </c>
      <c r="G436" s="56" t="e">
        <f t="shared" ca="1" si="86"/>
        <v>#N/A</v>
      </c>
      <c r="H436" s="116" t="e">
        <f t="shared" ca="1" si="87"/>
        <v>#N/A</v>
      </c>
      <c r="I436" s="57" t="e">
        <f t="shared" ca="1" si="88"/>
        <v>#N/A</v>
      </c>
      <c r="J436" s="131">
        <f t="shared" ca="1" si="95"/>
        <v>996</v>
      </c>
      <c r="K436" s="122" t="str">
        <f t="shared" ca="1" si="89"/>
        <v/>
      </c>
      <c r="L436" s="130" t="str">
        <f t="shared" ca="1" si="90"/>
        <v/>
      </c>
      <c r="M436" s="126">
        <f t="shared" ca="1" si="91"/>
        <v>995</v>
      </c>
      <c r="N436" s="58">
        <f t="shared" ca="1" si="96"/>
        <v>2869.9999999999995</v>
      </c>
      <c r="O436" s="160">
        <f t="shared" ca="1" si="96"/>
        <v>2736.9143209095892</v>
      </c>
    </row>
    <row r="437" spans="1:15" x14ac:dyDescent="0.25">
      <c r="A437" s="55">
        <f t="shared" ca="1" si="92"/>
        <v>240</v>
      </c>
      <c r="B437" s="55">
        <f t="shared" ca="1" si="83"/>
        <v>26.1</v>
      </c>
      <c r="C437" s="55">
        <f t="shared" ca="1" si="84"/>
        <v>25.886193151501836</v>
      </c>
      <c r="D437" s="55" t="str">
        <f t="shared" ca="1" si="85"/>
        <v>26.100 || 3160.000</v>
      </c>
      <c r="E437" s="120">
        <f t="shared" ca="1" si="93"/>
        <v>3.5447726060073421</v>
      </c>
      <c r="F437" s="56" t="e">
        <f t="shared" ca="1" si="94"/>
        <v>#N/A</v>
      </c>
      <c r="G437" s="56" t="e">
        <f t="shared" ca="1" si="86"/>
        <v>#N/A</v>
      </c>
      <c r="H437" s="116" t="e">
        <f t="shared" ca="1" si="87"/>
        <v>#N/A</v>
      </c>
      <c r="I437" s="57" t="e">
        <f t="shared" ca="1" si="88"/>
        <v>#N/A</v>
      </c>
      <c r="J437" s="131">
        <f t="shared" ca="1" si="95"/>
        <v>996</v>
      </c>
      <c r="K437" s="122" t="str">
        <f t="shared" ca="1" si="89"/>
        <v/>
      </c>
      <c r="L437" s="130" t="str">
        <f t="shared" ca="1" si="90"/>
        <v/>
      </c>
      <c r="M437" s="126">
        <f t="shared" ca="1" si="91"/>
        <v>995</v>
      </c>
      <c r="N437" s="58">
        <f t="shared" ca="1" si="96"/>
        <v>3160</v>
      </c>
      <c r="O437" s="160">
        <f t="shared" ca="1" si="96"/>
        <v>3011.511248526228</v>
      </c>
    </row>
    <row r="438" spans="1:15" x14ac:dyDescent="0.25">
      <c r="A438" s="55">
        <f t="shared" ca="1" si="92"/>
        <v>240</v>
      </c>
      <c r="B438" s="55">
        <f t="shared" ca="1" si="83"/>
        <v>26.1</v>
      </c>
      <c r="C438" s="55">
        <f t="shared" ca="1" si="84"/>
        <v>25.886193151501836</v>
      </c>
      <c r="D438" s="55" t="str">
        <f t="shared" ca="1" si="85"/>
        <v>26.100 || 3160.000</v>
      </c>
      <c r="E438" s="120">
        <f t="shared" ca="1" si="93"/>
        <v>3.5447726060073421</v>
      </c>
      <c r="F438" s="56" t="e">
        <f t="shared" ca="1" si="94"/>
        <v>#N/A</v>
      </c>
      <c r="G438" s="56" t="e">
        <f t="shared" ca="1" si="86"/>
        <v>#N/A</v>
      </c>
      <c r="H438" s="116" t="e">
        <f t="shared" ca="1" si="87"/>
        <v>#N/A</v>
      </c>
      <c r="I438" s="57" t="e">
        <f t="shared" ca="1" si="88"/>
        <v>#N/A</v>
      </c>
      <c r="J438" s="131">
        <f t="shared" ca="1" si="95"/>
        <v>996</v>
      </c>
      <c r="K438" s="122" t="str">
        <f t="shared" ca="1" si="89"/>
        <v/>
      </c>
      <c r="L438" s="130" t="str">
        <f t="shared" ca="1" si="90"/>
        <v/>
      </c>
      <c r="M438" s="126">
        <f t="shared" ca="1" si="91"/>
        <v>995</v>
      </c>
      <c r="N438" s="58">
        <f t="shared" ca="1" si="96"/>
        <v>3160</v>
      </c>
      <c r="O438" s="160">
        <f t="shared" ca="1" si="96"/>
        <v>3011.511248526228</v>
      </c>
    </row>
    <row r="439" spans="1:15" x14ac:dyDescent="0.25">
      <c r="A439" s="55">
        <f t="shared" ca="1" si="92"/>
        <v>240</v>
      </c>
      <c r="B439" s="55">
        <f t="shared" ca="1" si="83"/>
        <v>26.1</v>
      </c>
      <c r="C439" s="55">
        <f t="shared" ca="1" si="84"/>
        <v>25.886193151501836</v>
      </c>
      <c r="D439" s="55" t="str">
        <f t="shared" ca="1" si="85"/>
        <v>26.100 || 3160.000</v>
      </c>
      <c r="E439" s="120">
        <f t="shared" ca="1" si="93"/>
        <v>3.5447726060073421</v>
      </c>
      <c r="F439" s="56" t="e">
        <f t="shared" ca="1" si="94"/>
        <v>#N/A</v>
      </c>
      <c r="G439" s="56" t="e">
        <f t="shared" ca="1" si="86"/>
        <v>#N/A</v>
      </c>
      <c r="H439" s="116" t="e">
        <f t="shared" ca="1" si="87"/>
        <v>#N/A</v>
      </c>
      <c r="I439" s="57" t="e">
        <f t="shared" ca="1" si="88"/>
        <v>#N/A</v>
      </c>
      <c r="J439" s="131">
        <f t="shared" ca="1" si="95"/>
        <v>996</v>
      </c>
      <c r="K439" s="122" t="str">
        <f t="shared" ca="1" si="89"/>
        <v/>
      </c>
      <c r="L439" s="130" t="str">
        <f t="shared" ca="1" si="90"/>
        <v/>
      </c>
      <c r="M439" s="126">
        <f t="shared" ca="1" si="91"/>
        <v>995</v>
      </c>
      <c r="N439" s="58">
        <f t="shared" ca="1" si="96"/>
        <v>3160</v>
      </c>
      <c r="O439" s="160">
        <f t="shared" ca="1" si="96"/>
        <v>3011.511248526228</v>
      </c>
    </row>
    <row r="440" spans="1:15" x14ac:dyDescent="0.25">
      <c r="A440" s="55">
        <f t="shared" ca="1" si="92"/>
        <v>240</v>
      </c>
      <c r="B440" s="55">
        <f t="shared" ca="1" si="83"/>
        <v>26.1</v>
      </c>
      <c r="C440" s="55">
        <f t="shared" ca="1" si="84"/>
        <v>25.886193151501836</v>
      </c>
      <c r="D440" s="55" t="str">
        <f t="shared" ca="1" si="85"/>
        <v>26.100 || 3160.000</v>
      </c>
      <c r="E440" s="120">
        <f t="shared" ca="1" si="93"/>
        <v>3.5447726060073421</v>
      </c>
      <c r="F440" s="56" t="e">
        <f t="shared" ca="1" si="94"/>
        <v>#N/A</v>
      </c>
      <c r="G440" s="56" t="e">
        <f t="shared" ca="1" si="86"/>
        <v>#N/A</v>
      </c>
      <c r="H440" s="116" t="e">
        <f t="shared" ca="1" si="87"/>
        <v>#N/A</v>
      </c>
      <c r="I440" s="57" t="e">
        <f t="shared" ca="1" si="88"/>
        <v>#N/A</v>
      </c>
      <c r="J440" s="131">
        <f t="shared" ca="1" si="95"/>
        <v>996</v>
      </c>
      <c r="K440" s="122" t="str">
        <f t="shared" ca="1" si="89"/>
        <v/>
      </c>
      <c r="L440" s="130" t="str">
        <f t="shared" ca="1" si="90"/>
        <v/>
      </c>
      <c r="M440" s="126">
        <f t="shared" ca="1" si="91"/>
        <v>995</v>
      </c>
      <c r="N440" s="58">
        <f t="shared" ca="1" si="96"/>
        <v>3160</v>
      </c>
      <c r="O440" s="160">
        <f t="shared" ca="1" si="96"/>
        <v>3011.511248526228</v>
      </c>
    </row>
    <row r="441" spans="1:15" x14ac:dyDescent="0.25">
      <c r="A441" s="55">
        <f t="shared" ca="1" si="92"/>
        <v>240</v>
      </c>
      <c r="B441" s="55">
        <f t="shared" ca="1" si="83"/>
        <v>26.1</v>
      </c>
      <c r="C441" s="55">
        <f t="shared" ca="1" si="84"/>
        <v>25.90570719602978</v>
      </c>
      <c r="D441" s="55" t="str">
        <f t="shared" ca="1" si="85"/>
        <v>26.100 || 3480.000</v>
      </c>
      <c r="E441" s="120">
        <f t="shared" ca="1" si="93"/>
        <v>3.6228287841191218</v>
      </c>
      <c r="F441" s="56" t="e">
        <f t="shared" ca="1" si="94"/>
        <v>#N/A</v>
      </c>
      <c r="G441" s="56" t="e">
        <f t="shared" ca="1" si="86"/>
        <v>#N/A</v>
      </c>
      <c r="H441" s="116" t="e">
        <f t="shared" ca="1" si="87"/>
        <v>#N/A</v>
      </c>
      <c r="I441" s="57" t="e">
        <f t="shared" ca="1" si="88"/>
        <v>#N/A</v>
      </c>
      <c r="J441" s="131">
        <f t="shared" ca="1" si="95"/>
        <v>996</v>
      </c>
      <c r="K441" s="122" t="str">
        <f t="shared" ca="1" si="89"/>
        <v/>
      </c>
      <c r="L441" s="130" t="str">
        <f t="shared" ca="1" si="90"/>
        <v/>
      </c>
      <c r="M441" s="126">
        <f t="shared" ca="1" si="91"/>
        <v>995</v>
      </c>
      <c r="N441" s="58">
        <f t="shared" ca="1" si="96"/>
        <v>3480</v>
      </c>
      <c r="O441" s="160">
        <f t="shared" ca="1" si="96"/>
        <v>3316.1423371140145</v>
      </c>
    </row>
    <row r="442" spans="1:15" x14ac:dyDescent="0.25">
      <c r="A442" s="55">
        <f t="shared" ca="1" si="92"/>
        <v>240</v>
      </c>
      <c r="B442" s="55">
        <f t="shared" ca="1" si="83"/>
        <v>26.1</v>
      </c>
      <c r="C442" s="55">
        <f t="shared" ca="1" si="84"/>
        <v>25.90570719602978</v>
      </c>
      <c r="D442" s="55" t="str">
        <f t="shared" ca="1" si="85"/>
        <v>26.100 || 3480.000</v>
      </c>
      <c r="E442" s="120">
        <f t="shared" ca="1" si="93"/>
        <v>3.6228287841191218</v>
      </c>
      <c r="F442" s="56" t="e">
        <f t="shared" ca="1" si="94"/>
        <v>#N/A</v>
      </c>
      <c r="G442" s="56" t="e">
        <f t="shared" ca="1" si="86"/>
        <v>#N/A</v>
      </c>
      <c r="H442" s="116" t="e">
        <f t="shared" ca="1" si="87"/>
        <v>#N/A</v>
      </c>
      <c r="I442" s="57" t="e">
        <f t="shared" ca="1" si="88"/>
        <v>#N/A</v>
      </c>
      <c r="J442" s="131">
        <f t="shared" ca="1" si="95"/>
        <v>996</v>
      </c>
      <c r="K442" s="122" t="str">
        <f t="shared" ca="1" si="89"/>
        <v/>
      </c>
      <c r="L442" s="130" t="str">
        <f t="shared" ca="1" si="90"/>
        <v/>
      </c>
      <c r="M442" s="126">
        <f t="shared" ca="1" si="91"/>
        <v>995</v>
      </c>
      <c r="N442" s="58">
        <f t="shared" ca="1" si="96"/>
        <v>3480</v>
      </c>
      <c r="O442" s="160">
        <f t="shared" ca="1" si="96"/>
        <v>3316.1423371140145</v>
      </c>
    </row>
    <row r="443" spans="1:15" x14ac:dyDescent="0.25">
      <c r="A443" s="55">
        <f t="shared" ca="1" si="92"/>
        <v>240</v>
      </c>
      <c r="B443" s="55">
        <f t="shared" ca="1" si="83"/>
        <v>26.1</v>
      </c>
      <c r="C443" s="55">
        <f t="shared" ca="1" si="84"/>
        <v>25.90570719602978</v>
      </c>
      <c r="D443" s="55" t="str">
        <f t="shared" ca="1" si="85"/>
        <v>26.100 || 3480.000</v>
      </c>
      <c r="E443" s="120">
        <f t="shared" ca="1" si="93"/>
        <v>3.6228287841191218</v>
      </c>
      <c r="F443" s="56" t="e">
        <f t="shared" ca="1" si="94"/>
        <v>#N/A</v>
      </c>
      <c r="G443" s="56" t="e">
        <f t="shared" ca="1" si="86"/>
        <v>#N/A</v>
      </c>
      <c r="H443" s="116" t="e">
        <f t="shared" ca="1" si="87"/>
        <v>#N/A</v>
      </c>
      <c r="I443" s="57" t="e">
        <f t="shared" ca="1" si="88"/>
        <v>#N/A</v>
      </c>
      <c r="J443" s="131">
        <f t="shared" ca="1" si="95"/>
        <v>996</v>
      </c>
      <c r="K443" s="122" t="str">
        <f t="shared" ca="1" si="89"/>
        <v/>
      </c>
      <c r="L443" s="130" t="str">
        <f t="shared" ca="1" si="90"/>
        <v/>
      </c>
      <c r="M443" s="126">
        <f t="shared" ca="1" si="91"/>
        <v>995</v>
      </c>
      <c r="N443" s="58">
        <f t="shared" ca="1" si="96"/>
        <v>3480</v>
      </c>
      <c r="O443" s="160">
        <f t="shared" ca="1" si="96"/>
        <v>3316.1423371140145</v>
      </c>
    </row>
    <row r="444" spans="1:15" x14ac:dyDescent="0.25">
      <c r="A444" s="55">
        <f t="shared" ca="1" si="92"/>
        <v>240</v>
      </c>
      <c r="B444" s="55">
        <f t="shared" ca="1" si="83"/>
        <v>26.1</v>
      </c>
      <c r="C444" s="55">
        <f t="shared" ca="1" si="84"/>
        <v>25.90570719602978</v>
      </c>
      <c r="D444" s="55" t="str">
        <f t="shared" ca="1" si="85"/>
        <v>26.100 || 3480.000</v>
      </c>
      <c r="E444" s="120">
        <f t="shared" ca="1" si="93"/>
        <v>3.6228287841191218</v>
      </c>
      <c r="F444" s="56" t="e">
        <f t="shared" ca="1" si="94"/>
        <v>#N/A</v>
      </c>
      <c r="G444" s="56" t="e">
        <f t="shared" ca="1" si="86"/>
        <v>#N/A</v>
      </c>
      <c r="H444" s="116" t="e">
        <f t="shared" ca="1" si="87"/>
        <v>#N/A</v>
      </c>
      <c r="I444" s="57" t="e">
        <f t="shared" ca="1" si="88"/>
        <v>#N/A</v>
      </c>
      <c r="J444" s="131">
        <f t="shared" ca="1" si="95"/>
        <v>996</v>
      </c>
      <c r="K444" s="122" t="str">
        <f t="shared" ca="1" si="89"/>
        <v/>
      </c>
      <c r="L444" s="130" t="str">
        <f t="shared" ca="1" si="90"/>
        <v/>
      </c>
      <c r="M444" s="126">
        <f t="shared" ca="1" si="91"/>
        <v>995</v>
      </c>
      <c r="N444" s="58">
        <f t="shared" ca="1" si="96"/>
        <v>3480</v>
      </c>
      <c r="O444" s="160">
        <f t="shared" ca="1" si="96"/>
        <v>3316.1423371140145</v>
      </c>
    </row>
    <row r="445" spans="1:15" x14ac:dyDescent="0.25">
      <c r="A445" s="55">
        <f t="shared" ca="1" si="92"/>
        <v>240</v>
      </c>
      <c r="B445" s="55">
        <f t="shared" ca="1" si="83"/>
        <v>26.1</v>
      </c>
      <c r="C445" s="55">
        <f t="shared" ca="1" si="84"/>
        <v>25.923342236975184</v>
      </c>
      <c r="D445" s="55" t="str">
        <f t="shared" ca="1" si="85"/>
        <v>26.100 || 3830.000</v>
      </c>
      <c r="E445" s="120">
        <f t="shared" ca="1" si="93"/>
        <v>3.693368947900737</v>
      </c>
      <c r="F445" s="56" t="e">
        <f t="shared" ca="1" si="94"/>
        <v>#N/A</v>
      </c>
      <c r="G445" s="56" t="e">
        <f t="shared" ca="1" si="86"/>
        <v>#N/A</v>
      </c>
      <c r="H445" s="116" t="e">
        <f t="shared" ca="1" si="87"/>
        <v>#N/A</v>
      </c>
      <c r="I445" s="57" t="e">
        <f t="shared" ca="1" si="88"/>
        <v>#N/A</v>
      </c>
      <c r="J445" s="131">
        <f t="shared" ca="1" si="95"/>
        <v>996</v>
      </c>
      <c r="K445" s="122" t="str">
        <f t="shared" ca="1" si="89"/>
        <v/>
      </c>
      <c r="L445" s="130" t="str">
        <f t="shared" ca="1" si="90"/>
        <v/>
      </c>
      <c r="M445" s="126">
        <f t="shared" ca="1" si="91"/>
        <v>995</v>
      </c>
      <c r="N445" s="58">
        <f t="shared" ca="1" si="96"/>
        <v>3830</v>
      </c>
      <c r="O445" s="160">
        <f t="shared" ca="1" si="96"/>
        <v>3650.8081297159388</v>
      </c>
    </row>
    <row r="446" spans="1:15" x14ac:dyDescent="0.25">
      <c r="A446" s="55">
        <f t="shared" ca="1" si="92"/>
        <v>240</v>
      </c>
      <c r="B446" s="55">
        <f t="shared" ca="1" si="83"/>
        <v>26.1</v>
      </c>
      <c r="C446" s="55">
        <f t="shared" ca="1" si="84"/>
        <v>25.923342236975184</v>
      </c>
      <c r="D446" s="55" t="str">
        <f t="shared" ca="1" si="85"/>
        <v>26.100 || 3830.000</v>
      </c>
      <c r="E446" s="120">
        <f t="shared" ca="1" si="93"/>
        <v>3.693368947900737</v>
      </c>
      <c r="F446" s="56" t="e">
        <f t="shared" ca="1" si="94"/>
        <v>#N/A</v>
      </c>
      <c r="G446" s="56" t="e">
        <f t="shared" ca="1" si="86"/>
        <v>#N/A</v>
      </c>
      <c r="H446" s="116" t="e">
        <f t="shared" ca="1" si="87"/>
        <v>#N/A</v>
      </c>
      <c r="I446" s="57" t="e">
        <f t="shared" ca="1" si="88"/>
        <v>#N/A</v>
      </c>
      <c r="J446" s="131">
        <f t="shared" ca="1" si="95"/>
        <v>996</v>
      </c>
      <c r="K446" s="122" t="str">
        <f t="shared" ca="1" si="89"/>
        <v/>
      </c>
      <c r="L446" s="130" t="str">
        <f t="shared" ca="1" si="90"/>
        <v/>
      </c>
      <c r="M446" s="126">
        <f t="shared" ca="1" si="91"/>
        <v>995</v>
      </c>
      <c r="N446" s="58">
        <f t="shared" ca="1" si="96"/>
        <v>3830</v>
      </c>
      <c r="O446" s="160">
        <f t="shared" ca="1" si="96"/>
        <v>3650.8081297159388</v>
      </c>
    </row>
    <row r="447" spans="1:15" x14ac:dyDescent="0.25">
      <c r="A447" s="55">
        <f t="shared" ca="1" si="92"/>
        <v>240</v>
      </c>
      <c r="B447" s="55">
        <f t="shared" ca="1" si="83"/>
        <v>26.1</v>
      </c>
      <c r="C447" s="55">
        <f t="shared" ca="1" si="84"/>
        <v>25.923342236975184</v>
      </c>
      <c r="D447" s="55" t="str">
        <f t="shared" ca="1" si="85"/>
        <v>26.100 || 3830.000</v>
      </c>
      <c r="E447" s="120">
        <f t="shared" ca="1" si="93"/>
        <v>3.693368947900737</v>
      </c>
      <c r="F447" s="56" t="e">
        <f t="shared" ca="1" si="94"/>
        <v>#N/A</v>
      </c>
      <c r="G447" s="56" t="e">
        <f t="shared" ca="1" si="86"/>
        <v>#N/A</v>
      </c>
      <c r="H447" s="116" t="e">
        <f t="shared" ca="1" si="87"/>
        <v>#N/A</v>
      </c>
      <c r="I447" s="57" t="e">
        <f t="shared" ca="1" si="88"/>
        <v>#N/A</v>
      </c>
      <c r="J447" s="131">
        <f t="shared" ca="1" si="95"/>
        <v>996</v>
      </c>
      <c r="K447" s="122" t="str">
        <f t="shared" ca="1" si="89"/>
        <v/>
      </c>
      <c r="L447" s="130" t="str">
        <f t="shared" ca="1" si="90"/>
        <v/>
      </c>
      <c r="M447" s="126">
        <f t="shared" ca="1" si="91"/>
        <v>995</v>
      </c>
      <c r="N447" s="58">
        <f t="shared" ca="1" si="96"/>
        <v>3830</v>
      </c>
      <c r="O447" s="160">
        <f t="shared" ca="1" si="96"/>
        <v>3650.8081297159388</v>
      </c>
    </row>
    <row r="448" spans="1:15" x14ac:dyDescent="0.25">
      <c r="A448" s="55">
        <f t="shared" ca="1" si="92"/>
        <v>240</v>
      </c>
      <c r="B448" s="55">
        <f t="shared" ca="1" si="83"/>
        <v>26.1</v>
      </c>
      <c r="C448" s="55">
        <f t="shared" ca="1" si="84"/>
        <v>25.923342236975184</v>
      </c>
      <c r="D448" s="55" t="str">
        <f t="shared" ca="1" si="85"/>
        <v>26.100 || 3830.000</v>
      </c>
      <c r="E448" s="120">
        <f t="shared" ca="1" si="93"/>
        <v>3.693368947900737</v>
      </c>
      <c r="F448" s="56" t="e">
        <f t="shared" ca="1" si="94"/>
        <v>#N/A</v>
      </c>
      <c r="G448" s="56" t="e">
        <f t="shared" ca="1" si="86"/>
        <v>#N/A</v>
      </c>
      <c r="H448" s="116" t="e">
        <f t="shared" ca="1" si="87"/>
        <v>#N/A</v>
      </c>
      <c r="I448" s="57" t="e">
        <f t="shared" ca="1" si="88"/>
        <v>#N/A</v>
      </c>
      <c r="J448" s="131">
        <f t="shared" ca="1" si="95"/>
        <v>996</v>
      </c>
      <c r="K448" s="122" t="str">
        <f t="shared" ca="1" si="89"/>
        <v/>
      </c>
      <c r="L448" s="130" t="str">
        <f t="shared" ca="1" si="90"/>
        <v/>
      </c>
      <c r="M448" s="126">
        <f t="shared" ca="1" si="91"/>
        <v>995</v>
      </c>
      <c r="N448" s="58">
        <f t="shared" ca="1" si="96"/>
        <v>3830</v>
      </c>
      <c r="O448" s="160">
        <f t="shared" ca="1" si="96"/>
        <v>3650.8081297159388</v>
      </c>
    </row>
    <row r="449" spans="1:15" x14ac:dyDescent="0.25">
      <c r="A449" s="55">
        <f t="shared" ca="1" si="92"/>
        <v>240</v>
      </c>
      <c r="B449" s="55">
        <f t="shared" ca="1" si="83"/>
        <v>26.1</v>
      </c>
      <c r="C449" s="55">
        <f t="shared" ca="1" si="84"/>
        <v>25.939568074232827</v>
      </c>
      <c r="D449" s="55" t="str">
        <f t="shared" ca="1" si="85"/>
        <v>26.100 || 4220.000</v>
      </c>
      <c r="E449" s="120">
        <f t="shared" ca="1" si="93"/>
        <v>3.7582722969313096</v>
      </c>
      <c r="F449" s="56" t="e">
        <f t="shared" ca="1" si="94"/>
        <v>#N/A</v>
      </c>
      <c r="G449" s="56" t="e">
        <f t="shared" ca="1" si="86"/>
        <v>#N/A</v>
      </c>
      <c r="H449" s="116" t="e">
        <f t="shared" ca="1" si="87"/>
        <v>#N/A</v>
      </c>
      <c r="I449" s="57" t="e">
        <f t="shared" ca="1" si="88"/>
        <v>#N/A</v>
      </c>
      <c r="J449" s="131">
        <f t="shared" ca="1" si="95"/>
        <v>996</v>
      </c>
      <c r="K449" s="122" t="str">
        <f t="shared" ca="1" si="89"/>
        <v/>
      </c>
      <c r="L449" s="130" t="str">
        <f t="shared" ca="1" si="90"/>
        <v/>
      </c>
      <c r="M449" s="126">
        <f t="shared" ca="1" si="91"/>
        <v>995</v>
      </c>
      <c r="N449" s="58">
        <f t="shared" ca="1" si="96"/>
        <v>4219.9999999999991</v>
      </c>
      <c r="O449" s="160">
        <f t="shared" ca="1" si="96"/>
        <v>4020.2736225286944</v>
      </c>
    </row>
    <row r="450" spans="1:15" x14ac:dyDescent="0.25">
      <c r="A450" s="55">
        <f t="shared" ca="1" si="92"/>
        <v>240</v>
      </c>
      <c r="B450" s="55">
        <f t="shared" ca="1" si="83"/>
        <v>26.1</v>
      </c>
      <c r="C450" s="55">
        <f t="shared" ca="1" si="84"/>
        <v>25.939568074232827</v>
      </c>
      <c r="D450" s="55" t="str">
        <f t="shared" ca="1" si="85"/>
        <v>26.100 || 4220.000</v>
      </c>
      <c r="E450" s="120">
        <f t="shared" ca="1" si="93"/>
        <v>3.7582722969313096</v>
      </c>
      <c r="F450" s="56" t="e">
        <f t="shared" ca="1" si="94"/>
        <v>#N/A</v>
      </c>
      <c r="G450" s="56" t="e">
        <f t="shared" ca="1" si="86"/>
        <v>#N/A</v>
      </c>
      <c r="H450" s="116" t="e">
        <f t="shared" ca="1" si="87"/>
        <v>#N/A</v>
      </c>
      <c r="I450" s="57" t="e">
        <f t="shared" ca="1" si="88"/>
        <v>#N/A</v>
      </c>
      <c r="J450" s="131">
        <f t="shared" ca="1" si="95"/>
        <v>996</v>
      </c>
      <c r="K450" s="122" t="str">
        <f t="shared" ca="1" si="89"/>
        <v/>
      </c>
      <c r="L450" s="130" t="str">
        <f t="shared" ca="1" si="90"/>
        <v/>
      </c>
      <c r="M450" s="126">
        <f t="shared" ca="1" si="91"/>
        <v>995</v>
      </c>
      <c r="N450" s="58">
        <f t="shared" ca="1" si="96"/>
        <v>4219.9999999999991</v>
      </c>
      <c r="O450" s="160">
        <f t="shared" ca="1" si="96"/>
        <v>4020.2736225286944</v>
      </c>
    </row>
    <row r="451" spans="1:15" x14ac:dyDescent="0.25">
      <c r="A451" s="55">
        <f t="shared" ca="1" si="92"/>
        <v>240</v>
      </c>
      <c r="B451" s="55">
        <f t="shared" ca="1" si="83"/>
        <v>26.1</v>
      </c>
      <c r="C451" s="55">
        <f t="shared" ca="1" si="84"/>
        <v>25.939568074232827</v>
      </c>
      <c r="D451" s="55" t="str">
        <f t="shared" ca="1" si="85"/>
        <v>26.100 || 4220.000</v>
      </c>
      <c r="E451" s="120">
        <f t="shared" ca="1" si="93"/>
        <v>3.7582722969313096</v>
      </c>
      <c r="F451" s="56" t="e">
        <f t="shared" ca="1" si="94"/>
        <v>#N/A</v>
      </c>
      <c r="G451" s="56" t="e">
        <f t="shared" ca="1" si="86"/>
        <v>#N/A</v>
      </c>
      <c r="H451" s="116" t="e">
        <f t="shared" ca="1" si="87"/>
        <v>#N/A</v>
      </c>
      <c r="I451" s="57" t="e">
        <f t="shared" ca="1" si="88"/>
        <v>#N/A</v>
      </c>
      <c r="J451" s="131">
        <f t="shared" ca="1" si="95"/>
        <v>996</v>
      </c>
      <c r="K451" s="122" t="str">
        <f t="shared" ca="1" si="89"/>
        <v/>
      </c>
      <c r="L451" s="130" t="str">
        <f t="shared" ca="1" si="90"/>
        <v/>
      </c>
      <c r="M451" s="126">
        <f t="shared" ca="1" si="91"/>
        <v>995</v>
      </c>
      <c r="N451" s="58">
        <f t="shared" ca="1" si="96"/>
        <v>4219.9999999999991</v>
      </c>
      <c r="O451" s="160">
        <f t="shared" ca="1" si="96"/>
        <v>4020.2736225286944</v>
      </c>
    </row>
    <row r="452" spans="1:15" x14ac:dyDescent="0.25">
      <c r="A452" s="55">
        <f t="shared" ca="1" si="92"/>
        <v>240</v>
      </c>
      <c r="B452" s="55">
        <f t="shared" ca="1" si="83"/>
        <v>26.1</v>
      </c>
      <c r="C452" s="55">
        <f t="shared" ca="1" si="84"/>
        <v>25.939568074232827</v>
      </c>
      <c r="D452" s="55" t="str">
        <f t="shared" ca="1" si="85"/>
        <v>26.100 || 4220.000</v>
      </c>
      <c r="E452" s="120">
        <f t="shared" ca="1" si="93"/>
        <v>3.7582722969313096</v>
      </c>
      <c r="F452" s="56" t="e">
        <f t="shared" ca="1" si="94"/>
        <v>#N/A</v>
      </c>
      <c r="G452" s="56" t="e">
        <f t="shared" ca="1" si="86"/>
        <v>#N/A</v>
      </c>
      <c r="H452" s="116" t="e">
        <f t="shared" ca="1" si="87"/>
        <v>#N/A</v>
      </c>
      <c r="I452" s="57" t="e">
        <f t="shared" ca="1" si="88"/>
        <v>#N/A</v>
      </c>
      <c r="J452" s="131">
        <f t="shared" ca="1" si="95"/>
        <v>996</v>
      </c>
      <c r="K452" s="122" t="str">
        <f t="shared" ca="1" si="89"/>
        <v/>
      </c>
      <c r="L452" s="130" t="str">
        <f t="shared" ca="1" si="90"/>
        <v/>
      </c>
      <c r="M452" s="126">
        <f t="shared" ca="1" si="91"/>
        <v>995</v>
      </c>
      <c r="N452" s="58">
        <f t="shared" ca="1" si="96"/>
        <v>4219.9999999999991</v>
      </c>
      <c r="O452" s="160">
        <f t="shared" ca="1" si="96"/>
        <v>4020.2736225286944</v>
      </c>
    </row>
    <row r="453" spans="1:15" x14ac:dyDescent="0.25">
      <c r="A453" s="55">
        <f t="shared" ca="1" si="92"/>
        <v>240</v>
      </c>
      <c r="B453" s="55">
        <f t="shared" ca="1" si="83"/>
        <v>26.1</v>
      </c>
      <c r="C453" s="55">
        <f t="shared" ca="1" si="84"/>
        <v>25.954008701056559</v>
      </c>
      <c r="D453" s="55" t="str">
        <f t="shared" ca="1" si="85"/>
        <v>26.100 || 4640.000</v>
      </c>
      <c r="E453" s="120">
        <f t="shared" ca="1" si="93"/>
        <v>3.8160348042262342</v>
      </c>
      <c r="F453" s="56" t="e">
        <f t="shared" ca="1" si="94"/>
        <v>#N/A</v>
      </c>
      <c r="G453" s="56" t="e">
        <f t="shared" ca="1" si="86"/>
        <v>#N/A</v>
      </c>
      <c r="H453" s="116" t="e">
        <f t="shared" ca="1" si="87"/>
        <v>#N/A</v>
      </c>
      <c r="I453" s="57" t="e">
        <f t="shared" ca="1" si="88"/>
        <v>#N/A</v>
      </c>
      <c r="J453" s="131">
        <f t="shared" ca="1" si="95"/>
        <v>996</v>
      </c>
      <c r="K453" s="122" t="str">
        <f t="shared" ca="1" si="89"/>
        <v/>
      </c>
      <c r="L453" s="130" t="str">
        <f t="shared" ca="1" si="90"/>
        <v/>
      </c>
      <c r="M453" s="126">
        <f t="shared" ca="1" si="91"/>
        <v>995</v>
      </c>
      <c r="N453" s="58">
        <f t="shared" ca="1" si="96"/>
        <v>4640.0000000000009</v>
      </c>
      <c r="O453" s="160">
        <f t="shared" ca="1" si="96"/>
        <v>4425.0197739671185</v>
      </c>
    </row>
    <row r="454" spans="1:15" x14ac:dyDescent="0.25">
      <c r="A454" s="55">
        <f t="shared" ca="1" si="92"/>
        <v>240</v>
      </c>
      <c r="B454" s="55">
        <f t="shared" ref="B454:B517" ca="1" si="97">INDEX($N$1:$N$774,A454)</f>
        <v>26.1</v>
      </c>
      <c r="C454" s="55">
        <f t="shared" ref="C454:C517" ca="1" si="98">1/(1/B454+1/N454)</f>
        <v>25.954008701056559</v>
      </c>
      <c r="D454" s="55" t="str">
        <f t="shared" ref="D454:D517" ca="1" si="99">CONCATENATE(TEXT(MIN(B454,N454),"#0.000#")," || ",TEXT(MAX(B454,N454),"#0.000#"))</f>
        <v>26.100 || 4640.000</v>
      </c>
      <c r="E454" s="120">
        <f t="shared" ca="1" si="93"/>
        <v>3.8160348042262342</v>
      </c>
      <c r="F454" s="56" t="e">
        <f t="shared" ca="1" si="94"/>
        <v>#N/A</v>
      </c>
      <c r="G454" s="56" t="e">
        <f t="shared" ref="G454:G517" ca="1" si="100">INDEX($N$1:$N$774,F454)</f>
        <v>#N/A</v>
      </c>
      <c r="H454" s="116" t="e">
        <f t="shared" ref="H454:H517" ca="1" si="101">G454+N454</f>
        <v>#N/A</v>
      </c>
      <c r="I454" s="57" t="e">
        <f t="shared" ref="I454:I517" ca="1" si="102">CONCATENATE(TEXT(MIN(G454,N454),"#0.000#")," + ",TEXT(MAX(G454,N454),"#0.000#"))</f>
        <v>#N/A</v>
      </c>
      <c r="J454" s="131">
        <f t="shared" ca="1" si="95"/>
        <v>996</v>
      </c>
      <c r="K454" s="122" t="str">
        <f t="shared" ref="K454:K517" ca="1" si="103">IF(E454&lt;$C$4,D454,IF(J454&lt;$C$4,I454,""))</f>
        <v/>
      </c>
      <c r="L454" s="130" t="str">
        <f t="shared" ref="L454:L517" ca="1" si="104">IF(E454&lt;$C$4,C454,IF(J454&lt;$C$4,H454,""))</f>
        <v/>
      </c>
      <c r="M454" s="126">
        <f t="shared" ref="M454:M517" ca="1" si="105">IF(E454&lt;=$C$4,E454,IF(J454&lt;=$C$4,J454,995))</f>
        <v>995</v>
      </c>
      <c r="N454" s="58">
        <f t="shared" ca="1" si="96"/>
        <v>4640.0000000000009</v>
      </c>
      <c r="O454" s="160">
        <f t="shared" ca="1" si="96"/>
        <v>4425.0197739671185</v>
      </c>
    </row>
    <row r="455" spans="1:15" x14ac:dyDescent="0.25">
      <c r="A455" s="55">
        <f t="shared" ref="A455:A518" ca="1" si="106">MATCH(1/($A$5-(1/N455)),$O$1:$O$775,1)</f>
        <v>240</v>
      </c>
      <c r="B455" s="55">
        <f t="shared" ca="1" si="97"/>
        <v>26.1</v>
      </c>
      <c r="C455" s="55">
        <f t="shared" ca="1" si="98"/>
        <v>25.954008701056559</v>
      </c>
      <c r="D455" s="55" t="str">
        <f t="shared" ca="1" si="99"/>
        <v>26.100 || 4640.000</v>
      </c>
      <c r="E455" s="120">
        <f t="shared" ref="E455:E518" ca="1" si="107">IFERROR(IF(OR(B455=0,AND(B455&lt;&gt;$A$4,N455&lt;&gt;$A$4)),ABS($A$4-C455)/$E$5,999),998)</f>
        <v>3.8160348042262342</v>
      </c>
      <c r="F455" s="56" t="e">
        <f t="shared" ref="F455:F518" ca="1" si="108">MATCH($A$4-N455,$O$1:$O$774,1)</f>
        <v>#N/A</v>
      </c>
      <c r="G455" s="56" t="e">
        <f t="shared" ca="1" si="100"/>
        <v>#N/A</v>
      </c>
      <c r="H455" s="116" t="e">
        <f t="shared" ca="1" si="101"/>
        <v>#N/A</v>
      </c>
      <c r="I455" s="57" t="e">
        <f t="shared" ca="1" si="102"/>
        <v>#N/A</v>
      </c>
      <c r="J455" s="131">
        <f t="shared" ref="J455:J518" ca="1" si="109">IFERROR(IF(OR(G455=0,AND(G455&lt;&gt;$A$4,N455&lt;&gt;$A$4)),ABS($A$4-H455)/$E$5,997),996)</f>
        <v>996</v>
      </c>
      <c r="K455" s="122" t="str">
        <f t="shared" ca="1" si="103"/>
        <v/>
      </c>
      <c r="L455" s="130" t="str">
        <f t="shared" ca="1" si="104"/>
        <v/>
      </c>
      <c r="M455" s="126">
        <f t="shared" ca="1" si="105"/>
        <v>995</v>
      </c>
      <c r="N455" s="58">
        <f t="shared" ca="1" si="96"/>
        <v>4640.0000000000009</v>
      </c>
      <c r="O455" s="160">
        <f t="shared" ca="1" si="96"/>
        <v>4425.0197739671185</v>
      </c>
    </row>
    <row r="456" spans="1:15" x14ac:dyDescent="0.25">
      <c r="A456" s="55">
        <f t="shared" ca="1" si="106"/>
        <v>240</v>
      </c>
      <c r="B456" s="55">
        <f t="shared" ca="1" si="97"/>
        <v>26.1</v>
      </c>
      <c r="C456" s="55">
        <f t="shared" ca="1" si="98"/>
        <v>25.954008701056559</v>
      </c>
      <c r="D456" s="55" t="str">
        <f t="shared" ca="1" si="99"/>
        <v>26.100 || 4640.000</v>
      </c>
      <c r="E456" s="120">
        <f t="shared" ca="1" si="107"/>
        <v>3.8160348042262342</v>
      </c>
      <c r="F456" s="56" t="e">
        <f t="shared" ca="1" si="108"/>
        <v>#N/A</v>
      </c>
      <c r="G456" s="56" t="e">
        <f t="shared" ca="1" si="100"/>
        <v>#N/A</v>
      </c>
      <c r="H456" s="116" t="e">
        <f t="shared" ca="1" si="101"/>
        <v>#N/A</v>
      </c>
      <c r="I456" s="57" t="e">
        <f t="shared" ca="1" si="102"/>
        <v>#N/A</v>
      </c>
      <c r="J456" s="131">
        <f t="shared" ca="1" si="109"/>
        <v>996</v>
      </c>
      <c r="K456" s="122" t="str">
        <f t="shared" ca="1" si="103"/>
        <v/>
      </c>
      <c r="L456" s="130" t="str">
        <f t="shared" ca="1" si="104"/>
        <v/>
      </c>
      <c r="M456" s="126">
        <f t="shared" ca="1" si="105"/>
        <v>995</v>
      </c>
      <c r="N456" s="58">
        <f t="shared" ca="1" si="96"/>
        <v>4640.0000000000009</v>
      </c>
      <c r="O456" s="160">
        <f t="shared" ca="1" si="96"/>
        <v>4425.0197739671185</v>
      </c>
    </row>
    <row r="457" spans="1:15" x14ac:dyDescent="0.25">
      <c r="A457" s="55">
        <f t="shared" ca="1" si="106"/>
        <v>240</v>
      </c>
      <c r="B457" s="55">
        <f t="shared" ca="1" si="97"/>
        <v>26.1</v>
      </c>
      <c r="C457" s="55">
        <f t="shared" ca="1" si="98"/>
        <v>25.967368236599757</v>
      </c>
      <c r="D457" s="55" t="str">
        <f t="shared" ca="1" si="99"/>
        <v>26.100 || 5110.000</v>
      </c>
      <c r="E457" s="120">
        <f t="shared" ca="1" si="107"/>
        <v>3.8694729463990285</v>
      </c>
      <c r="F457" s="56" t="e">
        <f t="shared" ca="1" si="108"/>
        <v>#N/A</v>
      </c>
      <c r="G457" s="56" t="e">
        <f t="shared" ca="1" si="100"/>
        <v>#N/A</v>
      </c>
      <c r="H457" s="116" t="e">
        <f t="shared" ca="1" si="101"/>
        <v>#N/A</v>
      </c>
      <c r="I457" s="57" t="e">
        <f t="shared" ca="1" si="102"/>
        <v>#N/A</v>
      </c>
      <c r="J457" s="131">
        <f t="shared" ca="1" si="109"/>
        <v>996</v>
      </c>
      <c r="K457" s="122" t="str">
        <f t="shared" ca="1" si="103"/>
        <v/>
      </c>
      <c r="L457" s="130" t="str">
        <f t="shared" ca="1" si="104"/>
        <v/>
      </c>
      <c r="M457" s="126">
        <f t="shared" ca="1" si="105"/>
        <v>995</v>
      </c>
      <c r="N457" s="58">
        <f t="shared" ca="1" si="96"/>
        <v>5110</v>
      </c>
      <c r="O457" s="160">
        <f t="shared" ca="1" si="96"/>
        <v>4869.3326031397773</v>
      </c>
    </row>
    <row r="458" spans="1:15" x14ac:dyDescent="0.25">
      <c r="A458" s="55">
        <f t="shared" ca="1" si="106"/>
        <v>240</v>
      </c>
      <c r="B458" s="55">
        <f t="shared" ca="1" si="97"/>
        <v>26.1</v>
      </c>
      <c r="C458" s="55">
        <f t="shared" ca="1" si="98"/>
        <v>25.967368236599757</v>
      </c>
      <c r="D458" s="55" t="str">
        <f t="shared" ca="1" si="99"/>
        <v>26.100 || 5110.000</v>
      </c>
      <c r="E458" s="120">
        <f t="shared" ca="1" si="107"/>
        <v>3.8694729463990285</v>
      </c>
      <c r="F458" s="56" t="e">
        <f t="shared" ca="1" si="108"/>
        <v>#N/A</v>
      </c>
      <c r="G458" s="56" t="e">
        <f t="shared" ca="1" si="100"/>
        <v>#N/A</v>
      </c>
      <c r="H458" s="116" t="e">
        <f t="shared" ca="1" si="101"/>
        <v>#N/A</v>
      </c>
      <c r="I458" s="57" t="e">
        <f t="shared" ca="1" si="102"/>
        <v>#N/A</v>
      </c>
      <c r="J458" s="131">
        <f t="shared" ca="1" si="109"/>
        <v>996</v>
      </c>
      <c r="K458" s="122" t="str">
        <f t="shared" ca="1" si="103"/>
        <v/>
      </c>
      <c r="L458" s="130" t="str">
        <f t="shared" ca="1" si="104"/>
        <v/>
      </c>
      <c r="M458" s="126">
        <f t="shared" ca="1" si="105"/>
        <v>995</v>
      </c>
      <c r="N458" s="58">
        <f t="shared" ca="1" si="96"/>
        <v>5110</v>
      </c>
      <c r="O458" s="160">
        <f t="shared" ca="1" si="96"/>
        <v>4869.3326031397773</v>
      </c>
    </row>
    <row r="459" spans="1:15" x14ac:dyDescent="0.25">
      <c r="A459" s="55">
        <f t="shared" ca="1" si="106"/>
        <v>240</v>
      </c>
      <c r="B459" s="55">
        <f t="shared" ca="1" si="97"/>
        <v>26.1</v>
      </c>
      <c r="C459" s="55">
        <f t="shared" ca="1" si="98"/>
        <v>25.967368236599757</v>
      </c>
      <c r="D459" s="55" t="str">
        <f t="shared" ca="1" si="99"/>
        <v>26.100 || 5110.000</v>
      </c>
      <c r="E459" s="120">
        <f t="shared" ca="1" si="107"/>
        <v>3.8694729463990285</v>
      </c>
      <c r="F459" s="56" t="e">
        <f t="shared" ca="1" si="108"/>
        <v>#N/A</v>
      </c>
      <c r="G459" s="56" t="e">
        <f t="shared" ca="1" si="100"/>
        <v>#N/A</v>
      </c>
      <c r="H459" s="116" t="e">
        <f t="shared" ca="1" si="101"/>
        <v>#N/A</v>
      </c>
      <c r="I459" s="57" t="e">
        <f t="shared" ca="1" si="102"/>
        <v>#N/A</v>
      </c>
      <c r="J459" s="131">
        <f t="shared" ca="1" si="109"/>
        <v>996</v>
      </c>
      <c r="K459" s="122" t="str">
        <f t="shared" ca="1" si="103"/>
        <v/>
      </c>
      <c r="L459" s="130" t="str">
        <f t="shared" ca="1" si="104"/>
        <v/>
      </c>
      <c r="M459" s="126">
        <f t="shared" ca="1" si="105"/>
        <v>995</v>
      </c>
      <c r="N459" s="58">
        <f t="shared" ca="1" si="96"/>
        <v>5110</v>
      </c>
      <c r="O459" s="160">
        <f t="shared" ca="1" si="96"/>
        <v>4869.3326031397773</v>
      </c>
    </row>
    <row r="460" spans="1:15" x14ac:dyDescent="0.25">
      <c r="A460" s="55">
        <f t="shared" ca="1" si="106"/>
        <v>240</v>
      </c>
      <c r="B460" s="55">
        <f t="shared" ca="1" si="97"/>
        <v>26.1</v>
      </c>
      <c r="C460" s="55">
        <f t="shared" ca="1" si="98"/>
        <v>25.967368236599757</v>
      </c>
      <c r="D460" s="55" t="str">
        <f t="shared" ca="1" si="99"/>
        <v>26.100 || 5110.000</v>
      </c>
      <c r="E460" s="120">
        <f t="shared" ca="1" si="107"/>
        <v>3.8694729463990285</v>
      </c>
      <c r="F460" s="56" t="e">
        <f t="shared" ca="1" si="108"/>
        <v>#N/A</v>
      </c>
      <c r="G460" s="56" t="e">
        <f t="shared" ca="1" si="100"/>
        <v>#N/A</v>
      </c>
      <c r="H460" s="116" t="e">
        <f t="shared" ca="1" si="101"/>
        <v>#N/A</v>
      </c>
      <c r="I460" s="57" t="e">
        <f t="shared" ca="1" si="102"/>
        <v>#N/A</v>
      </c>
      <c r="J460" s="131">
        <f t="shared" ca="1" si="109"/>
        <v>996</v>
      </c>
      <c r="K460" s="122" t="str">
        <f t="shared" ca="1" si="103"/>
        <v/>
      </c>
      <c r="L460" s="130" t="str">
        <f t="shared" ca="1" si="104"/>
        <v/>
      </c>
      <c r="M460" s="126">
        <f t="shared" ca="1" si="105"/>
        <v>995</v>
      </c>
      <c r="N460" s="58">
        <f t="shared" ca="1" si="96"/>
        <v>5110</v>
      </c>
      <c r="O460" s="160">
        <f t="shared" ca="1" si="96"/>
        <v>4869.3326031397773</v>
      </c>
    </row>
    <row r="461" spans="1:15" x14ac:dyDescent="0.25">
      <c r="A461" s="55">
        <f t="shared" ca="1" si="106"/>
        <v>240</v>
      </c>
      <c r="B461" s="55">
        <f t="shared" ca="1" si="97"/>
        <v>26.1</v>
      </c>
      <c r="C461" s="55">
        <f t="shared" ca="1" si="98"/>
        <v>25.979348576893788</v>
      </c>
      <c r="D461" s="55" t="str">
        <f t="shared" ca="1" si="99"/>
        <v>26.100 || 5620.000</v>
      </c>
      <c r="E461" s="120">
        <f t="shared" ca="1" si="107"/>
        <v>3.9173943075751509</v>
      </c>
      <c r="F461" s="56" t="e">
        <f t="shared" ca="1" si="108"/>
        <v>#N/A</v>
      </c>
      <c r="G461" s="56" t="e">
        <f t="shared" ca="1" si="100"/>
        <v>#N/A</v>
      </c>
      <c r="H461" s="116" t="e">
        <f t="shared" ca="1" si="101"/>
        <v>#N/A</v>
      </c>
      <c r="I461" s="57" t="e">
        <f t="shared" ca="1" si="102"/>
        <v>#N/A</v>
      </c>
      <c r="J461" s="131">
        <f t="shared" ca="1" si="109"/>
        <v>996</v>
      </c>
      <c r="K461" s="122" t="str">
        <f t="shared" ca="1" si="103"/>
        <v/>
      </c>
      <c r="L461" s="130" t="str">
        <f t="shared" ca="1" si="104"/>
        <v/>
      </c>
      <c r="M461" s="126">
        <f t="shared" ca="1" si="105"/>
        <v>995</v>
      </c>
      <c r="N461" s="58">
        <f t="shared" ca="1" si="96"/>
        <v>5620.0000000000009</v>
      </c>
      <c r="O461" s="160">
        <f t="shared" ca="1" si="96"/>
        <v>5358.9364616498297</v>
      </c>
    </row>
    <row r="462" spans="1:15" x14ac:dyDescent="0.25">
      <c r="A462" s="55">
        <f t="shared" ca="1" si="106"/>
        <v>240</v>
      </c>
      <c r="B462" s="55">
        <f t="shared" ca="1" si="97"/>
        <v>26.1</v>
      </c>
      <c r="C462" s="55">
        <f t="shared" ca="1" si="98"/>
        <v>25.979348576893788</v>
      </c>
      <c r="D462" s="55" t="str">
        <f t="shared" ca="1" si="99"/>
        <v>26.100 || 5620.000</v>
      </c>
      <c r="E462" s="120">
        <f t="shared" ca="1" si="107"/>
        <v>3.9173943075751509</v>
      </c>
      <c r="F462" s="56" t="e">
        <f t="shared" ca="1" si="108"/>
        <v>#N/A</v>
      </c>
      <c r="G462" s="56" t="e">
        <f t="shared" ca="1" si="100"/>
        <v>#N/A</v>
      </c>
      <c r="H462" s="116" t="e">
        <f t="shared" ca="1" si="101"/>
        <v>#N/A</v>
      </c>
      <c r="I462" s="57" t="e">
        <f t="shared" ca="1" si="102"/>
        <v>#N/A</v>
      </c>
      <c r="J462" s="131">
        <f t="shared" ca="1" si="109"/>
        <v>996</v>
      </c>
      <c r="K462" s="122" t="str">
        <f t="shared" ca="1" si="103"/>
        <v/>
      </c>
      <c r="L462" s="130" t="str">
        <f t="shared" ca="1" si="104"/>
        <v/>
      </c>
      <c r="M462" s="126">
        <f t="shared" ca="1" si="105"/>
        <v>995</v>
      </c>
      <c r="N462" s="58">
        <f t="shared" ca="1" si="96"/>
        <v>5620.0000000000009</v>
      </c>
      <c r="O462" s="160">
        <f t="shared" ca="1" si="96"/>
        <v>5358.9364616498297</v>
      </c>
    </row>
    <row r="463" spans="1:15" x14ac:dyDescent="0.25">
      <c r="A463" s="55">
        <f t="shared" ca="1" si="106"/>
        <v>240</v>
      </c>
      <c r="B463" s="55">
        <f t="shared" ca="1" si="97"/>
        <v>26.1</v>
      </c>
      <c r="C463" s="55">
        <f t="shared" ca="1" si="98"/>
        <v>25.979348576893788</v>
      </c>
      <c r="D463" s="55" t="str">
        <f t="shared" ca="1" si="99"/>
        <v>26.100 || 5620.000</v>
      </c>
      <c r="E463" s="120">
        <f t="shared" ca="1" si="107"/>
        <v>3.9173943075751509</v>
      </c>
      <c r="F463" s="56" t="e">
        <f t="shared" ca="1" si="108"/>
        <v>#N/A</v>
      </c>
      <c r="G463" s="56" t="e">
        <f t="shared" ca="1" si="100"/>
        <v>#N/A</v>
      </c>
      <c r="H463" s="116" t="e">
        <f t="shared" ca="1" si="101"/>
        <v>#N/A</v>
      </c>
      <c r="I463" s="57" t="e">
        <f t="shared" ca="1" si="102"/>
        <v>#N/A</v>
      </c>
      <c r="J463" s="131">
        <f t="shared" ca="1" si="109"/>
        <v>996</v>
      </c>
      <c r="K463" s="122" t="str">
        <f t="shared" ca="1" si="103"/>
        <v/>
      </c>
      <c r="L463" s="130" t="str">
        <f t="shared" ca="1" si="104"/>
        <v/>
      </c>
      <c r="M463" s="126">
        <f t="shared" ca="1" si="105"/>
        <v>995</v>
      </c>
      <c r="N463" s="58">
        <f t="shared" ca="1" si="96"/>
        <v>5620.0000000000009</v>
      </c>
      <c r="O463" s="160">
        <f t="shared" ca="1" si="96"/>
        <v>5358.9364616498297</v>
      </c>
    </row>
    <row r="464" spans="1:15" x14ac:dyDescent="0.25">
      <c r="A464" s="55">
        <f t="shared" ca="1" si="106"/>
        <v>240</v>
      </c>
      <c r="B464" s="55">
        <f t="shared" ca="1" si="97"/>
        <v>26.1</v>
      </c>
      <c r="C464" s="55">
        <f t="shared" ca="1" si="98"/>
        <v>25.979348576893788</v>
      </c>
      <c r="D464" s="55" t="str">
        <f t="shared" ca="1" si="99"/>
        <v>26.100 || 5620.000</v>
      </c>
      <c r="E464" s="120">
        <f t="shared" ca="1" si="107"/>
        <v>3.9173943075751509</v>
      </c>
      <c r="F464" s="56" t="e">
        <f t="shared" ca="1" si="108"/>
        <v>#N/A</v>
      </c>
      <c r="G464" s="56" t="e">
        <f t="shared" ca="1" si="100"/>
        <v>#N/A</v>
      </c>
      <c r="H464" s="116" t="e">
        <f t="shared" ca="1" si="101"/>
        <v>#N/A</v>
      </c>
      <c r="I464" s="57" t="e">
        <f t="shared" ca="1" si="102"/>
        <v>#N/A</v>
      </c>
      <c r="J464" s="131">
        <f t="shared" ca="1" si="109"/>
        <v>996</v>
      </c>
      <c r="K464" s="122" t="str">
        <f t="shared" ca="1" si="103"/>
        <v/>
      </c>
      <c r="L464" s="130" t="str">
        <f t="shared" ca="1" si="104"/>
        <v/>
      </c>
      <c r="M464" s="126">
        <f t="shared" ca="1" si="105"/>
        <v>995</v>
      </c>
      <c r="N464" s="58">
        <f t="shared" ca="1" si="96"/>
        <v>5620.0000000000009</v>
      </c>
      <c r="O464" s="160">
        <f t="shared" ca="1" si="96"/>
        <v>5358.9364616498297</v>
      </c>
    </row>
    <row r="465" spans="1:15" x14ac:dyDescent="0.25">
      <c r="A465" s="55">
        <f t="shared" ca="1" si="106"/>
        <v>240</v>
      </c>
      <c r="B465" s="55">
        <f t="shared" ca="1" si="97"/>
        <v>26.1</v>
      </c>
      <c r="C465" s="55">
        <f t="shared" ca="1" si="98"/>
        <v>25.990411994659034</v>
      </c>
      <c r="D465" s="55" t="str">
        <f t="shared" ca="1" si="99"/>
        <v>26.100 || 6190.000</v>
      </c>
      <c r="E465" s="120">
        <f t="shared" ca="1" si="107"/>
        <v>3.9616479786361367</v>
      </c>
      <c r="F465" s="56" t="e">
        <f t="shared" ca="1" si="108"/>
        <v>#N/A</v>
      </c>
      <c r="G465" s="56" t="e">
        <f t="shared" ca="1" si="100"/>
        <v>#N/A</v>
      </c>
      <c r="H465" s="116" t="e">
        <f t="shared" ca="1" si="101"/>
        <v>#N/A</v>
      </c>
      <c r="I465" s="57" t="e">
        <f t="shared" ca="1" si="102"/>
        <v>#N/A</v>
      </c>
      <c r="J465" s="131">
        <f t="shared" ca="1" si="109"/>
        <v>996</v>
      </c>
      <c r="K465" s="122" t="str">
        <f t="shared" ca="1" si="103"/>
        <v/>
      </c>
      <c r="L465" s="130" t="str">
        <f t="shared" ca="1" si="104"/>
        <v/>
      </c>
      <c r="M465" s="126">
        <f t="shared" ca="1" si="105"/>
        <v>995</v>
      </c>
      <c r="N465" s="58">
        <f t="shared" ca="1" si="96"/>
        <v>6189.9999999999991</v>
      </c>
      <c r="O465" s="160">
        <f t="shared" ca="1" si="96"/>
        <v>5898.1183440144696</v>
      </c>
    </row>
    <row r="466" spans="1:15" x14ac:dyDescent="0.25">
      <c r="A466" s="55">
        <f t="shared" ca="1" si="106"/>
        <v>240</v>
      </c>
      <c r="B466" s="55">
        <f t="shared" ca="1" si="97"/>
        <v>26.1</v>
      </c>
      <c r="C466" s="55">
        <f t="shared" ca="1" si="98"/>
        <v>25.990411994659034</v>
      </c>
      <c r="D466" s="55" t="str">
        <f t="shared" ca="1" si="99"/>
        <v>26.100 || 6190.000</v>
      </c>
      <c r="E466" s="120">
        <f t="shared" ca="1" si="107"/>
        <v>3.9616479786361367</v>
      </c>
      <c r="F466" s="56" t="e">
        <f t="shared" ca="1" si="108"/>
        <v>#N/A</v>
      </c>
      <c r="G466" s="56" t="e">
        <f t="shared" ca="1" si="100"/>
        <v>#N/A</v>
      </c>
      <c r="H466" s="116" t="e">
        <f t="shared" ca="1" si="101"/>
        <v>#N/A</v>
      </c>
      <c r="I466" s="57" t="e">
        <f t="shared" ca="1" si="102"/>
        <v>#N/A</v>
      </c>
      <c r="J466" s="131">
        <f t="shared" ca="1" si="109"/>
        <v>996</v>
      </c>
      <c r="K466" s="122" t="str">
        <f t="shared" ca="1" si="103"/>
        <v/>
      </c>
      <c r="L466" s="130" t="str">
        <f t="shared" ca="1" si="104"/>
        <v/>
      </c>
      <c r="M466" s="126">
        <f t="shared" ca="1" si="105"/>
        <v>995</v>
      </c>
      <c r="N466" s="58">
        <f t="shared" ca="1" si="96"/>
        <v>6189.9999999999991</v>
      </c>
      <c r="O466" s="160">
        <f t="shared" ca="1" si="96"/>
        <v>5898.1183440144696</v>
      </c>
    </row>
    <row r="467" spans="1:15" x14ac:dyDescent="0.25">
      <c r="A467" s="55">
        <f t="shared" ca="1" si="106"/>
        <v>240</v>
      </c>
      <c r="B467" s="55">
        <f t="shared" ca="1" si="97"/>
        <v>26.1</v>
      </c>
      <c r="C467" s="55">
        <f t="shared" ca="1" si="98"/>
        <v>25.990411994659034</v>
      </c>
      <c r="D467" s="55" t="str">
        <f t="shared" ca="1" si="99"/>
        <v>26.100 || 6190.000</v>
      </c>
      <c r="E467" s="120">
        <f t="shared" ca="1" si="107"/>
        <v>3.9616479786361367</v>
      </c>
      <c r="F467" s="56" t="e">
        <f t="shared" ca="1" si="108"/>
        <v>#N/A</v>
      </c>
      <c r="G467" s="56" t="e">
        <f t="shared" ca="1" si="100"/>
        <v>#N/A</v>
      </c>
      <c r="H467" s="116" t="e">
        <f t="shared" ca="1" si="101"/>
        <v>#N/A</v>
      </c>
      <c r="I467" s="57" t="e">
        <f t="shared" ca="1" si="102"/>
        <v>#N/A</v>
      </c>
      <c r="J467" s="131">
        <f t="shared" ca="1" si="109"/>
        <v>996</v>
      </c>
      <c r="K467" s="122" t="str">
        <f t="shared" ca="1" si="103"/>
        <v/>
      </c>
      <c r="L467" s="130" t="str">
        <f t="shared" ca="1" si="104"/>
        <v/>
      </c>
      <c r="M467" s="126">
        <f t="shared" ca="1" si="105"/>
        <v>995</v>
      </c>
      <c r="N467" s="58">
        <f t="shared" ca="1" si="96"/>
        <v>6189.9999999999991</v>
      </c>
      <c r="O467" s="160">
        <f t="shared" ca="1" si="96"/>
        <v>5898.1183440144696</v>
      </c>
    </row>
    <row r="468" spans="1:15" x14ac:dyDescent="0.25">
      <c r="A468" s="55">
        <f t="shared" ca="1" si="106"/>
        <v>240</v>
      </c>
      <c r="B468" s="55">
        <f t="shared" ca="1" si="97"/>
        <v>26.1</v>
      </c>
      <c r="C468" s="55">
        <f t="shared" ca="1" si="98"/>
        <v>25.990411994659034</v>
      </c>
      <c r="D468" s="55" t="str">
        <f t="shared" ca="1" si="99"/>
        <v>26.100 || 6190.000</v>
      </c>
      <c r="E468" s="120">
        <f t="shared" ca="1" si="107"/>
        <v>3.9616479786361367</v>
      </c>
      <c r="F468" s="56" t="e">
        <f t="shared" ca="1" si="108"/>
        <v>#N/A</v>
      </c>
      <c r="G468" s="56" t="e">
        <f t="shared" ca="1" si="100"/>
        <v>#N/A</v>
      </c>
      <c r="H468" s="116" t="e">
        <f t="shared" ca="1" si="101"/>
        <v>#N/A</v>
      </c>
      <c r="I468" s="57" t="e">
        <f t="shared" ca="1" si="102"/>
        <v>#N/A</v>
      </c>
      <c r="J468" s="131">
        <f t="shared" ca="1" si="109"/>
        <v>996</v>
      </c>
      <c r="K468" s="122" t="str">
        <f t="shared" ca="1" si="103"/>
        <v/>
      </c>
      <c r="L468" s="130" t="str">
        <f t="shared" ca="1" si="104"/>
        <v/>
      </c>
      <c r="M468" s="126">
        <f t="shared" ca="1" si="105"/>
        <v>995</v>
      </c>
      <c r="N468" s="58">
        <f t="shared" ca="1" si="96"/>
        <v>6189.9999999999991</v>
      </c>
      <c r="O468" s="160">
        <f t="shared" ca="1" si="96"/>
        <v>5898.1183440144696</v>
      </c>
    </row>
    <row r="469" spans="1:15" x14ac:dyDescent="0.25">
      <c r="A469" s="55">
        <f t="shared" ca="1" si="106"/>
        <v>240</v>
      </c>
      <c r="B469" s="55">
        <f t="shared" ca="1" si="97"/>
        <v>26.1</v>
      </c>
      <c r="C469" s="55">
        <f t="shared" ca="1" si="98"/>
        <v>26.000351077368677</v>
      </c>
      <c r="D469" s="55" t="str">
        <f t="shared" ca="1" si="99"/>
        <v>26.100 || 6810.000</v>
      </c>
      <c r="E469" s="120">
        <f t="shared" ca="1" si="107"/>
        <v>4.001404309474708</v>
      </c>
      <c r="F469" s="56" t="e">
        <f t="shared" ca="1" si="108"/>
        <v>#N/A</v>
      </c>
      <c r="G469" s="56" t="e">
        <f t="shared" ca="1" si="100"/>
        <v>#N/A</v>
      </c>
      <c r="H469" s="116" t="e">
        <f t="shared" ca="1" si="101"/>
        <v>#N/A</v>
      </c>
      <c r="I469" s="57" t="e">
        <f t="shared" ca="1" si="102"/>
        <v>#N/A</v>
      </c>
      <c r="J469" s="131">
        <f t="shared" ca="1" si="109"/>
        <v>996</v>
      </c>
      <c r="K469" s="122" t="str">
        <f t="shared" ca="1" si="103"/>
        <v/>
      </c>
      <c r="L469" s="130" t="str">
        <f t="shared" ca="1" si="104"/>
        <v/>
      </c>
      <c r="M469" s="126">
        <f t="shared" ca="1" si="105"/>
        <v>995</v>
      </c>
      <c r="N469" s="58">
        <f t="shared" ca="1" si="96"/>
        <v>6810.0000000000009</v>
      </c>
      <c r="O469" s="160">
        <f t="shared" ca="1" si="96"/>
        <v>6492.6034839654276</v>
      </c>
    </row>
    <row r="470" spans="1:15" x14ac:dyDescent="0.25">
      <c r="A470" s="55">
        <f t="shared" ca="1" si="106"/>
        <v>240</v>
      </c>
      <c r="B470" s="55">
        <f t="shared" ca="1" si="97"/>
        <v>26.1</v>
      </c>
      <c r="C470" s="55">
        <f t="shared" ca="1" si="98"/>
        <v>26.000351077368677</v>
      </c>
      <c r="D470" s="55" t="str">
        <f t="shared" ca="1" si="99"/>
        <v>26.100 || 6810.000</v>
      </c>
      <c r="E470" s="120">
        <f t="shared" ca="1" si="107"/>
        <v>4.001404309474708</v>
      </c>
      <c r="F470" s="56" t="e">
        <f t="shared" ca="1" si="108"/>
        <v>#N/A</v>
      </c>
      <c r="G470" s="56" t="e">
        <f t="shared" ca="1" si="100"/>
        <v>#N/A</v>
      </c>
      <c r="H470" s="116" t="e">
        <f t="shared" ca="1" si="101"/>
        <v>#N/A</v>
      </c>
      <c r="I470" s="57" t="e">
        <f t="shared" ca="1" si="102"/>
        <v>#N/A</v>
      </c>
      <c r="J470" s="131">
        <f t="shared" ca="1" si="109"/>
        <v>996</v>
      </c>
      <c r="K470" s="122" t="str">
        <f t="shared" ca="1" si="103"/>
        <v/>
      </c>
      <c r="L470" s="130" t="str">
        <f t="shared" ca="1" si="104"/>
        <v/>
      </c>
      <c r="M470" s="126">
        <f t="shared" ca="1" si="105"/>
        <v>995</v>
      </c>
      <c r="N470" s="58">
        <f t="shared" ca="1" si="96"/>
        <v>6810.0000000000009</v>
      </c>
      <c r="O470" s="160">
        <f t="shared" ca="1" si="96"/>
        <v>6492.6034839654276</v>
      </c>
    </row>
    <row r="471" spans="1:15" x14ac:dyDescent="0.25">
      <c r="A471" s="55">
        <f t="shared" ca="1" si="106"/>
        <v>240</v>
      </c>
      <c r="B471" s="55">
        <f t="shared" ca="1" si="97"/>
        <v>26.1</v>
      </c>
      <c r="C471" s="55">
        <f t="shared" ca="1" si="98"/>
        <v>26.000351077368677</v>
      </c>
      <c r="D471" s="55" t="str">
        <f t="shared" ca="1" si="99"/>
        <v>26.100 || 6810.000</v>
      </c>
      <c r="E471" s="120">
        <f t="shared" ca="1" si="107"/>
        <v>4.001404309474708</v>
      </c>
      <c r="F471" s="56" t="e">
        <f t="shared" ca="1" si="108"/>
        <v>#N/A</v>
      </c>
      <c r="G471" s="56" t="e">
        <f t="shared" ca="1" si="100"/>
        <v>#N/A</v>
      </c>
      <c r="H471" s="116" t="e">
        <f t="shared" ca="1" si="101"/>
        <v>#N/A</v>
      </c>
      <c r="I471" s="57" t="e">
        <f t="shared" ca="1" si="102"/>
        <v>#N/A</v>
      </c>
      <c r="J471" s="131">
        <f t="shared" ca="1" si="109"/>
        <v>996</v>
      </c>
      <c r="K471" s="122" t="str">
        <f t="shared" ca="1" si="103"/>
        <v/>
      </c>
      <c r="L471" s="130" t="str">
        <f t="shared" ca="1" si="104"/>
        <v/>
      </c>
      <c r="M471" s="126">
        <f t="shared" ca="1" si="105"/>
        <v>995</v>
      </c>
      <c r="N471" s="58">
        <f t="shared" ca="1" si="96"/>
        <v>6810.0000000000009</v>
      </c>
      <c r="O471" s="160">
        <f t="shared" ca="1" si="96"/>
        <v>6492.6034839654276</v>
      </c>
    </row>
    <row r="472" spans="1:15" x14ac:dyDescent="0.25">
      <c r="A472" s="55">
        <f t="shared" ca="1" si="106"/>
        <v>240</v>
      </c>
      <c r="B472" s="55">
        <f t="shared" ca="1" si="97"/>
        <v>26.1</v>
      </c>
      <c r="C472" s="55">
        <f t="shared" ca="1" si="98"/>
        <v>26.000351077368677</v>
      </c>
      <c r="D472" s="55" t="str">
        <f t="shared" ca="1" si="99"/>
        <v>26.100 || 6810.000</v>
      </c>
      <c r="E472" s="120">
        <f t="shared" ca="1" si="107"/>
        <v>4.001404309474708</v>
      </c>
      <c r="F472" s="56" t="e">
        <f t="shared" ca="1" si="108"/>
        <v>#N/A</v>
      </c>
      <c r="G472" s="56" t="e">
        <f t="shared" ca="1" si="100"/>
        <v>#N/A</v>
      </c>
      <c r="H472" s="116" t="e">
        <f t="shared" ca="1" si="101"/>
        <v>#N/A</v>
      </c>
      <c r="I472" s="57" t="e">
        <f t="shared" ca="1" si="102"/>
        <v>#N/A</v>
      </c>
      <c r="J472" s="131">
        <f t="shared" ca="1" si="109"/>
        <v>996</v>
      </c>
      <c r="K472" s="122" t="str">
        <f t="shared" ca="1" si="103"/>
        <v/>
      </c>
      <c r="L472" s="130" t="str">
        <f t="shared" ca="1" si="104"/>
        <v/>
      </c>
      <c r="M472" s="126">
        <f t="shared" ca="1" si="105"/>
        <v>995</v>
      </c>
      <c r="N472" s="58">
        <f t="shared" ca="1" si="96"/>
        <v>6810.0000000000009</v>
      </c>
      <c r="O472" s="160">
        <f t="shared" ca="1" si="96"/>
        <v>6492.6034839654276</v>
      </c>
    </row>
    <row r="473" spans="1:15" x14ac:dyDescent="0.25">
      <c r="A473" s="55">
        <f t="shared" ca="1" si="106"/>
        <v>240</v>
      </c>
      <c r="B473" s="55">
        <f t="shared" ca="1" si="97"/>
        <v>26.1</v>
      </c>
      <c r="C473" s="55">
        <f t="shared" ca="1" si="98"/>
        <v>26.00948698529119</v>
      </c>
      <c r="D473" s="55" t="str">
        <f t="shared" ca="1" si="99"/>
        <v>26.100 || 7500.000</v>
      </c>
      <c r="E473" s="120">
        <f t="shared" ca="1" si="107"/>
        <v>4.0379479411647594</v>
      </c>
      <c r="F473" s="56" t="e">
        <f t="shared" ca="1" si="108"/>
        <v>#N/A</v>
      </c>
      <c r="G473" s="56" t="e">
        <f t="shared" ca="1" si="100"/>
        <v>#N/A</v>
      </c>
      <c r="H473" s="116" t="e">
        <f t="shared" ca="1" si="101"/>
        <v>#N/A</v>
      </c>
      <c r="I473" s="57" t="e">
        <f t="shared" ca="1" si="102"/>
        <v>#N/A</v>
      </c>
      <c r="J473" s="131">
        <f t="shared" ca="1" si="109"/>
        <v>996</v>
      </c>
      <c r="K473" s="122" t="str">
        <f t="shared" ca="1" si="103"/>
        <v/>
      </c>
      <c r="L473" s="130" t="str">
        <f t="shared" ca="1" si="104"/>
        <v/>
      </c>
      <c r="M473" s="126">
        <f t="shared" ca="1" si="105"/>
        <v>995</v>
      </c>
      <c r="N473" s="58">
        <f t="shared" ca="1" si="96"/>
        <v>7500</v>
      </c>
      <c r="O473" s="160">
        <f t="shared" ca="1" si="96"/>
        <v>7146.677549742958</v>
      </c>
    </row>
    <row r="474" spans="1:15" x14ac:dyDescent="0.25">
      <c r="A474" s="55">
        <f t="shared" ca="1" si="106"/>
        <v>240</v>
      </c>
      <c r="B474" s="55">
        <f t="shared" ca="1" si="97"/>
        <v>26.1</v>
      </c>
      <c r="C474" s="55">
        <f t="shared" ca="1" si="98"/>
        <v>26.00948698529119</v>
      </c>
      <c r="D474" s="55" t="str">
        <f t="shared" ca="1" si="99"/>
        <v>26.100 || 7500.000</v>
      </c>
      <c r="E474" s="120">
        <f t="shared" ca="1" si="107"/>
        <v>4.0379479411647594</v>
      </c>
      <c r="F474" s="56" t="e">
        <f t="shared" ca="1" si="108"/>
        <v>#N/A</v>
      </c>
      <c r="G474" s="56" t="e">
        <f t="shared" ca="1" si="100"/>
        <v>#N/A</v>
      </c>
      <c r="H474" s="116" t="e">
        <f t="shared" ca="1" si="101"/>
        <v>#N/A</v>
      </c>
      <c r="I474" s="57" t="e">
        <f t="shared" ca="1" si="102"/>
        <v>#N/A</v>
      </c>
      <c r="J474" s="131">
        <f t="shared" ca="1" si="109"/>
        <v>996</v>
      </c>
      <c r="K474" s="122" t="str">
        <f t="shared" ca="1" si="103"/>
        <v/>
      </c>
      <c r="L474" s="130" t="str">
        <f t="shared" ca="1" si="104"/>
        <v/>
      </c>
      <c r="M474" s="126">
        <f t="shared" ca="1" si="105"/>
        <v>995</v>
      </c>
      <c r="N474" s="58">
        <f t="shared" ca="1" si="96"/>
        <v>7500</v>
      </c>
      <c r="O474" s="160">
        <f t="shared" ca="1" si="96"/>
        <v>7146.677549742958</v>
      </c>
    </row>
    <row r="475" spans="1:15" x14ac:dyDescent="0.25">
      <c r="A475" s="55">
        <f t="shared" ca="1" si="106"/>
        <v>240</v>
      </c>
      <c r="B475" s="55">
        <f t="shared" ca="1" si="97"/>
        <v>26.1</v>
      </c>
      <c r="C475" s="55">
        <f t="shared" ca="1" si="98"/>
        <v>26.00948698529119</v>
      </c>
      <c r="D475" s="55" t="str">
        <f t="shared" ca="1" si="99"/>
        <v>26.100 || 7500.000</v>
      </c>
      <c r="E475" s="120">
        <f t="shared" ca="1" si="107"/>
        <v>4.0379479411647594</v>
      </c>
      <c r="F475" s="56" t="e">
        <f t="shared" ca="1" si="108"/>
        <v>#N/A</v>
      </c>
      <c r="G475" s="56" t="e">
        <f t="shared" ca="1" si="100"/>
        <v>#N/A</v>
      </c>
      <c r="H475" s="116" t="e">
        <f t="shared" ca="1" si="101"/>
        <v>#N/A</v>
      </c>
      <c r="I475" s="57" t="e">
        <f t="shared" ca="1" si="102"/>
        <v>#N/A</v>
      </c>
      <c r="J475" s="131">
        <f t="shared" ca="1" si="109"/>
        <v>996</v>
      </c>
      <c r="K475" s="122" t="str">
        <f t="shared" ca="1" si="103"/>
        <v/>
      </c>
      <c r="L475" s="130" t="str">
        <f t="shared" ca="1" si="104"/>
        <v/>
      </c>
      <c r="M475" s="126">
        <f t="shared" ca="1" si="105"/>
        <v>995</v>
      </c>
      <c r="N475" s="58">
        <f t="shared" ca="1" si="96"/>
        <v>7500</v>
      </c>
      <c r="O475" s="160">
        <f t="shared" ca="1" si="96"/>
        <v>7146.677549742958</v>
      </c>
    </row>
    <row r="476" spans="1:15" x14ac:dyDescent="0.25">
      <c r="A476" s="55">
        <f t="shared" ca="1" si="106"/>
        <v>240</v>
      </c>
      <c r="B476" s="55">
        <f t="shared" ca="1" si="97"/>
        <v>26.1</v>
      </c>
      <c r="C476" s="55">
        <f t="shared" ca="1" si="98"/>
        <v>26.00948698529119</v>
      </c>
      <c r="D476" s="55" t="str">
        <f t="shared" ca="1" si="99"/>
        <v>26.100 || 7500.000</v>
      </c>
      <c r="E476" s="120">
        <f t="shared" ca="1" si="107"/>
        <v>4.0379479411647594</v>
      </c>
      <c r="F476" s="56" t="e">
        <f t="shared" ca="1" si="108"/>
        <v>#N/A</v>
      </c>
      <c r="G476" s="56" t="e">
        <f t="shared" ca="1" si="100"/>
        <v>#N/A</v>
      </c>
      <c r="H476" s="116" t="e">
        <f t="shared" ca="1" si="101"/>
        <v>#N/A</v>
      </c>
      <c r="I476" s="57" t="e">
        <f t="shared" ca="1" si="102"/>
        <v>#N/A</v>
      </c>
      <c r="J476" s="131">
        <f t="shared" ca="1" si="109"/>
        <v>996</v>
      </c>
      <c r="K476" s="122" t="str">
        <f t="shared" ca="1" si="103"/>
        <v/>
      </c>
      <c r="L476" s="130" t="str">
        <f t="shared" ca="1" si="104"/>
        <v/>
      </c>
      <c r="M476" s="126">
        <f t="shared" ca="1" si="105"/>
        <v>995</v>
      </c>
      <c r="N476" s="58">
        <f t="shared" ca="1" si="96"/>
        <v>7500</v>
      </c>
      <c r="O476" s="160">
        <f t="shared" ca="1" si="96"/>
        <v>7146.677549742958</v>
      </c>
    </row>
    <row r="477" spans="1:15" x14ac:dyDescent="0.25">
      <c r="A477" s="55">
        <f t="shared" ca="1" si="106"/>
        <v>240</v>
      </c>
      <c r="B477" s="55">
        <f t="shared" ca="1" si="97"/>
        <v>26.1</v>
      </c>
      <c r="C477" s="55">
        <f t="shared" ca="1" si="98"/>
        <v>26.017689491427124</v>
      </c>
      <c r="D477" s="55" t="str">
        <f t="shared" ca="1" si="99"/>
        <v>26.100 || 8250.000</v>
      </c>
      <c r="E477" s="120">
        <f t="shared" ca="1" si="107"/>
        <v>4.0707579657084949</v>
      </c>
      <c r="F477" s="56" t="e">
        <f t="shared" ca="1" si="108"/>
        <v>#N/A</v>
      </c>
      <c r="G477" s="56" t="e">
        <f t="shared" ca="1" si="100"/>
        <v>#N/A</v>
      </c>
      <c r="H477" s="116" t="e">
        <f t="shared" ca="1" si="101"/>
        <v>#N/A</v>
      </c>
      <c r="I477" s="57" t="e">
        <f t="shared" ca="1" si="102"/>
        <v>#N/A</v>
      </c>
      <c r="J477" s="131">
        <f t="shared" ca="1" si="109"/>
        <v>996</v>
      </c>
      <c r="K477" s="122" t="str">
        <f t="shared" ca="1" si="103"/>
        <v/>
      </c>
      <c r="L477" s="130" t="str">
        <f t="shared" ca="1" si="104"/>
        <v/>
      </c>
      <c r="M477" s="126">
        <f t="shared" ca="1" si="105"/>
        <v>995</v>
      </c>
      <c r="N477" s="58">
        <f t="shared" ca="1" si="96"/>
        <v>8250</v>
      </c>
      <c r="O477" s="160">
        <f t="shared" ca="1" si="96"/>
        <v>7866.0663612761364</v>
      </c>
    </row>
    <row r="478" spans="1:15" x14ac:dyDescent="0.25">
      <c r="A478" s="55">
        <f t="shared" ca="1" si="106"/>
        <v>240</v>
      </c>
      <c r="B478" s="55">
        <f t="shared" ca="1" si="97"/>
        <v>26.1</v>
      </c>
      <c r="C478" s="55">
        <f t="shared" ca="1" si="98"/>
        <v>26.017689491427124</v>
      </c>
      <c r="D478" s="55" t="str">
        <f t="shared" ca="1" si="99"/>
        <v>26.100 || 8250.000</v>
      </c>
      <c r="E478" s="120">
        <f t="shared" ca="1" si="107"/>
        <v>4.0707579657084949</v>
      </c>
      <c r="F478" s="56" t="e">
        <f t="shared" ca="1" si="108"/>
        <v>#N/A</v>
      </c>
      <c r="G478" s="56" t="e">
        <f t="shared" ca="1" si="100"/>
        <v>#N/A</v>
      </c>
      <c r="H478" s="116" t="e">
        <f t="shared" ca="1" si="101"/>
        <v>#N/A</v>
      </c>
      <c r="I478" s="57" t="e">
        <f t="shared" ca="1" si="102"/>
        <v>#N/A</v>
      </c>
      <c r="J478" s="131">
        <f t="shared" ca="1" si="109"/>
        <v>996</v>
      </c>
      <c r="K478" s="122" t="str">
        <f t="shared" ca="1" si="103"/>
        <v/>
      </c>
      <c r="L478" s="130" t="str">
        <f t="shared" ca="1" si="104"/>
        <v/>
      </c>
      <c r="M478" s="126">
        <f t="shared" ca="1" si="105"/>
        <v>995</v>
      </c>
      <c r="N478" s="58">
        <f t="shared" ca="1" si="96"/>
        <v>8250</v>
      </c>
      <c r="O478" s="160">
        <f t="shared" ca="1" si="96"/>
        <v>7866.0663612761364</v>
      </c>
    </row>
    <row r="479" spans="1:15" x14ac:dyDescent="0.25">
      <c r="A479" s="55">
        <f t="shared" ca="1" si="106"/>
        <v>240</v>
      </c>
      <c r="B479" s="55">
        <f t="shared" ca="1" si="97"/>
        <v>26.1</v>
      </c>
      <c r="C479" s="55">
        <f t="shared" ca="1" si="98"/>
        <v>26.017689491427124</v>
      </c>
      <c r="D479" s="55" t="str">
        <f t="shared" ca="1" si="99"/>
        <v>26.100 || 8250.000</v>
      </c>
      <c r="E479" s="120">
        <f t="shared" ca="1" si="107"/>
        <v>4.0707579657084949</v>
      </c>
      <c r="F479" s="56" t="e">
        <f t="shared" ca="1" si="108"/>
        <v>#N/A</v>
      </c>
      <c r="G479" s="56" t="e">
        <f t="shared" ca="1" si="100"/>
        <v>#N/A</v>
      </c>
      <c r="H479" s="116" t="e">
        <f t="shared" ca="1" si="101"/>
        <v>#N/A</v>
      </c>
      <c r="I479" s="57" t="e">
        <f t="shared" ca="1" si="102"/>
        <v>#N/A</v>
      </c>
      <c r="J479" s="131">
        <f t="shared" ca="1" si="109"/>
        <v>996</v>
      </c>
      <c r="K479" s="122" t="str">
        <f t="shared" ca="1" si="103"/>
        <v/>
      </c>
      <c r="L479" s="130" t="str">
        <f t="shared" ca="1" si="104"/>
        <v/>
      </c>
      <c r="M479" s="126">
        <f t="shared" ca="1" si="105"/>
        <v>995</v>
      </c>
      <c r="N479" s="58">
        <f t="shared" ca="1" si="96"/>
        <v>8250</v>
      </c>
      <c r="O479" s="160">
        <f t="shared" ca="1" si="96"/>
        <v>7866.0663612761364</v>
      </c>
    </row>
    <row r="480" spans="1:15" x14ac:dyDescent="0.25">
      <c r="A480" s="55">
        <f t="shared" ca="1" si="106"/>
        <v>240</v>
      </c>
      <c r="B480" s="55">
        <f t="shared" ca="1" si="97"/>
        <v>26.1</v>
      </c>
      <c r="C480" s="55">
        <f t="shared" ca="1" si="98"/>
        <v>26.017689491427124</v>
      </c>
      <c r="D480" s="55" t="str">
        <f t="shared" ca="1" si="99"/>
        <v>26.100 || 8250.000</v>
      </c>
      <c r="E480" s="120">
        <f t="shared" ca="1" si="107"/>
        <v>4.0707579657084949</v>
      </c>
      <c r="F480" s="56" t="e">
        <f t="shared" ca="1" si="108"/>
        <v>#N/A</v>
      </c>
      <c r="G480" s="56" t="e">
        <f t="shared" ca="1" si="100"/>
        <v>#N/A</v>
      </c>
      <c r="H480" s="116" t="e">
        <f t="shared" ca="1" si="101"/>
        <v>#N/A</v>
      </c>
      <c r="I480" s="57" t="e">
        <f t="shared" ca="1" si="102"/>
        <v>#N/A</v>
      </c>
      <c r="J480" s="131">
        <f t="shared" ca="1" si="109"/>
        <v>996</v>
      </c>
      <c r="K480" s="122" t="str">
        <f t="shared" ca="1" si="103"/>
        <v/>
      </c>
      <c r="L480" s="130" t="str">
        <f t="shared" ca="1" si="104"/>
        <v/>
      </c>
      <c r="M480" s="126">
        <f t="shared" ca="1" si="105"/>
        <v>995</v>
      </c>
      <c r="N480" s="58">
        <f t="shared" ca="1" si="96"/>
        <v>8250</v>
      </c>
      <c r="O480" s="160">
        <f t="shared" ca="1" si="96"/>
        <v>7866.0663612761364</v>
      </c>
    </row>
    <row r="481" spans="1:15" x14ac:dyDescent="0.25">
      <c r="A481" s="55">
        <f t="shared" ca="1" si="106"/>
        <v>240</v>
      </c>
      <c r="B481" s="55">
        <f t="shared" ca="1" si="97"/>
        <v>26.1</v>
      </c>
      <c r="C481" s="55">
        <f t="shared" ca="1" si="98"/>
        <v>26.025273965840654</v>
      </c>
      <c r="D481" s="55" t="str">
        <f t="shared" ca="1" si="99"/>
        <v>26.100 || 9090.000</v>
      </c>
      <c r="E481" s="120">
        <f t="shared" ca="1" si="107"/>
        <v>4.101095863362616</v>
      </c>
      <c r="F481" s="56" t="e">
        <f t="shared" ca="1" si="108"/>
        <v>#N/A</v>
      </c>
      <c r="G481" s="56" t="e">
        <f t="shared" ca="1" si="100"/>
        <v>#N/A</v>
      </c>
      <c r="H481" s="116" t="e">
        <f t="shared" ca="1" si="101"/>
        <v>#N/A</v>
      </c>
      <c r="I481" s="57" t="e">
        <f t="shared" ca="1" si="102"/>
        <v>#N/A</v>
      </c>
      <c r="J481" s="131">
        <f t="shared" ca="1" si="109"/>
        <v>996</v>
      </c>
      <c r="K481" s="122" t="str">
        <f t="shared" ca="1" si="103"/>
        <v/>
      </c>
      <c r="L481" s="130" t="str">
        <f t="shared" ca="1" si="104"/>
        <v/>
      </c>
      <c r="M481" s="126">
        <f t="shared" ca="1" si="105"/>
        <v>995</v>
      </c>
      <c r="N481" s="58">
        <f t="shared" ca="1" si="96"/>
        <v>9090</v>
      </c>
      <c r="O481" s="160">
        <f t="shared" ca="1" si="96"/>
        <v>8659.8210143166361</v>
      </c>
    </row>
    <row r="482" spans="1:15" x14ac:dyDescent="0.25">
      <c r="A482" s="55">
        <f t="shared" ca="1" si="106"/>
        <v>240</v>
      </c>
      <c r="B482" s="55">
        <f t="shared" ca="1" si="97"/>
        <v>26.1</v>
      </c>
      <c r="C482" s="55">
        <f t="shared" ca="1" si="98"/>
        <v>26.025273965840654</v>
      </c>
      <c r="D482" s="55" t="str">
        <f t="shared" ca="1" si="99"/>
        <v>26.100 || 9090.000</v>
      </c>
      <c r="E482" s="120">
        <f t="shared" ca="1" si="107"/>
        <v>4.101095863362616</v>
      </c>
      <c r="F482" s="56" t="e">
        <f t="shared" ca="1" si="108"/>
        <v>#N/A</v>
      </c>
      <c r="G482" s="56" t="e">
        <f t="shared" ca="1" si="100"/>
        <v>#N/A</v>
      </c>
      <c r="H482" s="116" t="e">
        <f t="shared" ca="1" si="101"/>
        <v>#N/A</v>
      </c>
      <c r="I482" s="57" t="e">
        <f t="shared" ca="1" si="102"/>
        <v>#N/A</v>
      </c>
      <c r="J482" s="131">
        <f t="shared" ca="1" si="109"/>
        <v>996</v>
      </c>
      <c r="K482" s="122" t="str">
        <f t="shared" ca="1" si="103"/>
        <v/>
      </c>
      <c r="L482" s="130" t="str">
        <f t="shared" ca="1" si="104"/>
        <v/>
      </c>
      <c r="M482" s="126">
        <f t="shared" ca="1" si="105"/>
        <v>995</v>
      </c>
      <c r="N482" s="58">
        <f t="shared" ca="1" si="96"/>
        <v>9090</v>
      </c>
      <c r="O482" s="160">
        <f t="shared" ca="1" si="96"/>
        <v>8659.8210143166361</v>
      </c>
    </row>
    <row r="483" spans="1:15" x14ac:dyDescent="0.25">
      <c r="A483" s="55">
        <f t="shared" ca="1" si="106"/>
        <v>240</v>
      </c>
      <c r="B483" s="55">
        <f t="shared" ca="1" si="97"/>
        <v>26.1</v>
      </c>
      <c r="C483" s="55">
        <f t="shared" ca="1" si="98"/>
        <v>26.025273965840654</v>
      </c>
      <c r="D483" s="55" t="str">
        <f t="shared" ca="1" si="99"/>
        <v>26.100 || 9090.000</v>
      </c>
      <c r="E483" s="120">
        <f t="shared" ca="1" si="107"/>
        <v>4.101095863362616</v>
      </c>
      <c r="F483" s="56" t="e">
        <f t="shared" ca="1" si="108"/>
        <v>#N/A</v>
      </c>
      <c r="G483" s="56" t="e">
        <f t="shared" ca="1" si="100"/>
        <v>#N/A</v>
      </c>
      <c r="H483" s="116" t="e">
        <f t="shared" ca="1" si="101"/>
        <v>#N/A</v>
      </c>
      <c r="I483" s="57" t="e">
        <f t="shared" ca="1" si="102"/>
        <v>#N/A</v>
      </c>
      <c r="J483" s="131">
        <f t="shared" ca="1" si="109"/>
        <v>996</v>
      </c>
      <c r="K483" s="122" t="str">
        <f t="shared" ca="1" si="103"/>
        <v/>
      </c>
      <c r="L483" s="130" t="str">
        <f t="shared" ca="1" si="104"/>
        <v/>
      </c>
      <c r="M483" s="126">
        <f t="shared" ca="1" si="105"/>
        <v>995</v>
      </c>
      <c r="N483" s="58">
        <f t="shared" ca="1" si="96"/>
        <v>9090</v>
      </c>
      <c r="O483" s="160">
        <f t="shared" ca="1" si="96"/>
        <v>8659.8210143166361</v>
      </c>
    </row>
    <row r="484" spans="1:15" x14ac:dyDescent="0.25">
      <c r="A484" s="55">
        <f t="shared" ca="1" si="106"/>
        <v>240</v>
      </c>
      <c r="B484" s="55">
        <f t="shared" ca="1" si="97"/>
        <v>26.1</v>
      </c>
      <c r="C484" s="55">
        <f t="shared" ca="1" si="98"/>
        <v>26.025273965840654</v>
      </c>
      <c r="D484" s="55" t="str">
        <f t="shared" ca="1" si="99"/>
        <v>26.100 || 9090.000</v>
      </c>
      <c r="E484" s="120">
        <f t="shared" ca="1" si="107"/>
        <v>4.101095863362616</v>
      </c>
      <c r="F484" s="56" t="e">
        <f t="shared" ca="1" si="108"/>
        <v>#N/A</v>
      </c>
      <c r="G484" s="56" t="e">
        <f t="shared" ca="1" si="100"/>
        <v>#N/A</v>
      </c>
      <c r="H484" s="116" t="e">
        <f t="shared" ca="1" si="101"/>
        <v>#N/A</v>
      </c>
      <c r="I484" s="57" t="e">
        <f t="shared" ca="1" si="102"/>
        <v>#N/A</v>
      </c>
      <c r="J484" s="131">
        <f t="shared" ca="1" si="109"/>
        <v>996</v>
      </c>
      <c r="K484" s="122" t="str">
        <f t="shared" ca="1" si="103"/>
        <v/>
      </c>
      <c r="L484" s="130" t="str">
        <f t="shared" ca="1" si="104"/>
        <v/>
      </c>
      <c r="M484" s="126">
        <f t="shared" ca="1" si="105"/>
        <v>995</v>
      </c>
      <c r="N484" s="58">
        <f t="shared" ca="1" si="96"/>
        <v>9090</v>
      </c>
      <c r="O484" s="160">
        <f t="shared" ca="1" si="96"/>
        <v>8659.8210143166361</v>
      </c>
    </row>
    <row r="485" spans="1:15" x14ac:dyDescent="0.25">
      <c r="A485" s="55">
        <f t="shared" ca="1" si="106"/>
        <v>240</v>
      </c>
      <c r="B485" s="55">
        <f t="shared" ca="1" si="97"/>
        <v>26.1</v>
      </c>
      <c r="C485" s="55">
        <f t="shared" ca="1" si="98"/>
        <v>26.032056332970946</v>
      </c>
      <c r="D485" s="55" t="str">
        <f t="shared" ca="1" si="99"/>
        <v>26.100 || 10000.000</v>
      </c>
      <c r="E485" s="120">
        <f t="shared" ca="1" si="107"/>
        <v>4.1282253318837832</v>
      </c>
      <c r="F485" s="56" t="e">
        <f t="shared" ca="1" si="108"/>
        <v>#N/A</v>
      </c>
      <c r="G485" s="56" t="e">
        <f t="shared" ca="1" si="100"/>
        <v>#N/A</v>
      </c>
      <c r="H485" s="116" t="e">
        <f t="shared" ca="1" si="101"/>
        <v>#N/A</v>
      </c>
      <c r="I485" s="57" t="e">
        <f t="shared" ca="1" si="102"/>
        <v>#N/A</v>
      </c>
      <c r="J485" s="131">
        <f t="shared" ca="1" si="109"/>
        <v>996</v>
      </c>
      <c r="K485" s="122" t="str">
        <f t="shared" ca="1" si="103"/>
        <v/>
      </c>
      <c r="L485" s="130" t="str">
        <f t="shared" ca="1" si="104"/>
        <v/>
      </c>
      <c r="M485" s="126">
        <f t="shared" ca="1" si="105"/>
        <v>995</v>
      </c>
      <c r="N485" s="58">
        <f t="shared" ca="1" si="96"/>
        <v>10000</v>
      </c>
      <c r="O485" s="160">
        <f t="shared" ca="1" si="96"/>
        <v>9534.1491492424229</v>
      </c>
    </row>
    <row r="486" spans="1:15" x14ac:dyDescent="0.25">
      <c r="A486" s="55">
        <f t="shared" ca="1" si="106"/>
        <v>240</v>
      </c>
      <c r="B486" s="55">
        <f t="shared" ca="1" si="97"/>
        <v>26.1</v>
      </c>
      <c r="C486" s="55">
        <f t="shared" ca="1" si="98"/>
        <v>26.032056332970946</v>
      </c>
      <c r="D486" s="55" t="str">
        <f t="shared" ca="1" si="99"/>
        <v>26.100 || 10000.000</v>
      </c>
      <c r="E486" s="120">
        <f t="shared" ca="1" si="107"/>
        <v>4.1282253318837832</v>
      </c>
      <c r="F486" s="56" t="e">
        <f t="shared" ca="1" si="108"/>
        <v>#N/A</v>
      </c>
      <c r="G486" s="56" t="e">
        <f t="shared" ca="1" si="100"/>
        <v>#N/A</v>
      </c>
      <c r="H486" s="116" t="e">
        <f t="shared" ca="1" si="101"/>
        <v>#N/A</v>
      </c>
      <c r="I486" s="57" t="e">
        <f t="shared" ca="1" si="102"/>
        <v>#N/A</v>
      </c>
      <c r="J486" s="131">
        <f t="shared" ca="1" si="109"/>
        <v>996</v>
      </c>
      <c r="K486" s="122" t="str">
        <f t="shared" ca="1" si="103"/>
        <v/>
      </c>
      <c r="L486" s="130" t="str">
        <f t="shared" ca="1" si="104"/>
        <v/>
      </c>
      <c r="M486" s="126">
        <f t="shared" ca="1" si="105"/>
        <v>995</v>
      </c>
      <c r="N486" s="58">
        <f t="shared" ca="1" si="96"/>
        <v>10000</v>
      </c>
      <c r="O486" s="160">
        <f t="shared" ca="1" si="96"/>
        <v>9534.1491492424211</v>
      </c>
    </row>
    <row r="487" spans="1:15" x14ac:dyDescent="0.25">
      <c r="A487" s="55">
        <f t="shared" ca="1" si="106"/>
        <v>240</v>
      </c>
      <c r="B487" s="55">
        <f t="shared" ca="1" si="97"/>
        <v>26.1</v>
      </c>
      <c r="C487" s="55">
        <f t="shared" ca="1" si="98"/>
        <v>26.032056332970946</v>
      </c>
      <c r="D487" s="55" t="str">
        <f t="shared" ca="1" si="99"/>
        <v>26.100 || 10000.000</v>
      </c>
      <c r="E487" s="120">
        <f t="shared" ca="1" si="107"/>
        <v>4.1282253318837832</v>
      </c>
      <c r="F487" s="56" t="e">
        <f t="shared" ca="1" si="108"/>
        <v>#N/A</v>
      </c>
      <c r="G487" s="56" t="e">
        <f t="shared" ca="1" si="100"/>
        <v>#N/A</v>
      </c>
      <c r="H487" s="116" t="e">
        <f t="shared" ca="1" si="101"/>
        <v>#N/A</v>
      </c>
      <c r="I487" s="57" t="e">
        <f t="shared" ca="1" si="102"/>
        <v>#N/A</v>
      </c>
      <c r="J487" s="131">
        <f t="shared" ca="1" si="109"/>
        <v>996</v>
      </c>
      <c r="K487" s="122" t="str">
        <f t="shared" ca="1" si="103"/>
        <v/>
      </c>
      <c r="L487" s="130" t="str">
        <f t="shared" ca="1" si="104"/>
        <v/>
      </c>
      <c r="M487" s="126">
        <f t="shared" ca="1" si="105"/>
        <v>995</v>
      </c>
      <c r="N487" s="58">
        <f t="shared" ca="1" si="96"/>
        <v>10000</v>
      </c>
      <c r="O487" s="160">
        <f t="shared" ca="1" si="96"/>
        <v>9534.1491492424211</v>
      </c>
    </row>
    <row r="488" spans="1:15" x14ac:dyDescent="0.25">
      <c r="A488" s="55">
        <f t="shared" ca="1" si="106"/>
        <v>240</v>
      </c>
      <c r="B488" s="55">
        <f t="shared" ca="1" si="97"/>
        <v>26.1</v>
      </c>
      <c r="C488" s="55">
        <f t="shared" ca="1" si="98"/>
        <v>26.032056332970946</v>
      </c>
      <c r="D488" s="55" t="str">
        <f t="shared" ca="1" si="99"/>
        <v>26.100 || 10000.000</v>
      </c>
      <c r="E488" s="120">
        <f t="shared" ca="1" si="107"/>
        <v>4.1282253318837832</v>
      </c>
      <c r="F488" s="56" t="e">
        <f t="shared" ca="1" si="108"/>
        <v>#N/A</v>
      </c>
      <c r="G488" s="56" t="e">
        <f t="shared" ca="1" si="100"/>
        <v>#N/A</v>
      </c>
      <c r="H488" s="116" t="e">
        <f t="shared" ca="1" si="101"/>
        <v>#N/A</v>
      </c>
      <c r="I488" s="57" t="e">
        <f t="shared" ca="1" si="102"/>
        <v>#N/A</v>
      </c>
      <c r="J488" s="131">
        <f t="shared" ca="1" si="109"/>
        <v>996</v>
      </c>
      <c r="K488" s="122" t="str">
        <f t="shared" ca="1" si="103"/>
        <v/>
      </c>
      <c r="L488" s="130" t="str">
        <f t="shared" ca="1" si="104"/>
        <v/>
      </c>
      <c r="M488" s="126">
        <f t="shared" ca="1" si="105"/>
        <v>995</v>
      </c>
      <c r="N488" s="58">
        <f t="shared" ref="N488:O551" ca="1" si="110">N392*10</f>
        <v>10000</v>
      </c>
      <c r="O488" s="160">
        <f t="shared" ca="1" si="110"/>
        <v>9534.1491492424211</v>
      </c>
    </row>
    <row r="489" spans="1:15" x14ac:dyDescent="0.25">
      <c r="A489" s="55">
        <f t="shared" ca="1" si="106"/>
        <v>240</v>
      </c>
      <c r="B489" s="55">
        <f t="shared" ca="1" si="97"/>
        <v>26.1</v>
      </c>
      <c r="C489" s="55">
        <f t="shared" ca="1" si="98"/>
        <v>26.038218409047623</v>
      </c>
      <c r="D489" s="55" t="str">
        <f t="shared" ca="1" si="99"/>
        <v>26.100 || 11000.000</v>
      </c>
      <c r="E489" s="120">
        <f t="shared" ca="1" si="107"/>
        <v>4.1528736361904919</v>
      </c>
      <c r="F489" s="56" t="e">
        <f t="shared" ca="1" si="108"/>
        <v>#N/A</v>
      </c>
      <c r="G489" s="56" t="e">
        <f t="shared" ca="1" si="100"/>
        <v>#N/A</v>
      </c>
      <c r="H489" s="116" t="e">
        <f t="shared" ca="1" si="101"/>
        <v>#N/A</v>
      </c>
      <c r="I489" s="57" t="e">
        <f t="shared" ca="1" si="102"/>
        <v>#N/A</v>
      </c>
      <c r="J489" s="131">
        <f t="shared" ca="1" si="109"/>
        <v>996</v>
      </c>
      <c r="K489" s="122" t="str">
        <f t="shared" ca="1" si="103"/>
        <v/>
      </c>
      <c r="L489" s="130" t="str">
        <f t="shared" ca="1" si="104"/>
        <v/>
      </c>
      <c r="M489" s="126">
        <f t="shared" ca="1" si="105"/>
        <v>995</v>
      </c>
      <c r="N489" s="58">
        <f t="shared" ca="1" si="110"/>
        <v>11000</v>
      </c>
      <c r="O489" s="160">
        <f t="shared" ca="1" si="110"/>
        <v>10488.088481701518</v>
      </c>
    </row>
    <row r="490" spans="1:15" x14ac:dyDescent="0.25">
      <c r="A490" s="55">
        <f t="shared" ca="1" si="106"/>
        <v>240</v>
      </c>
      <c r="B490" s="55">
        <f t="shared" ca="1" si="97"/>
        <v>26.1</v>
      </c>
      <c r="C490" s="55">
        <f t="shared" ca="1" si="98"/>
        <v>26.038218409047623</v>
      </c>
      <c r="D490" s="55" t="str">
        <f t="shared" ca="1" si="99"/>
        <v>26.100 || 11000.000</v>
      </c>
      <c r="E490" s="120">
        <f t="shared" ca="1" si="107"/>
        <v>4.1528736361904919</v>
      </c>
      <c r="F490" s="56" t="e">
        <f t="shared" ca="1" si="108"/>
        <v>#N/A</v>
      </c>
      <c r="G490" s="56" t="e">
        <f t="shared" ca="1" si="100"/>
        <v>#N/A</v>
      </c>
      <c r="H490" s="116" t="e">
        <f t="shared" ca="1" si="101"/>
        <v>#N/A</v>
      </c>
      <c r="I490" s="57" t="e">
        <f t="shared" ca="1" si="102"/>
        <v>#N/A</v>
      </c>
      <c r="J490" s="131">
        <f t="shared" ca="1" si="109"/>
        <v>996</v>
      </c>
      <c r="K490" s="122" t="str">
        <f t="shared" ca="1" si="103"/>
        <v/>
      </c>
      <c r="L490" s="130" t="str">
        <f t="shared" ca="1" si="104"/>
        <v/>
      </c>
      <c r="M490" s="126">
        <f t="shared" ca="1" si="105"/>
        <v>995</v>
      </c>
      <c r="N490" s="58">
        <f t="shared" ca="1" si="110"/>
        <v>11000</v>
      </c>
      <c r="O490" s="160">
        <f t="shared" ca="1" si="110"/>
        <v>10488.088481701518</v>
      </c>
    </row>
    <row r="491" spans="1:15" x14ac:dyDescent="0.25">
      <c r="A491" s="55">
        <f t="shared" ca="1" si="106"/>
        <v>240</v>
      </c>
      <c r="B491" s="55">
        <f t="shared" ca="1" si="97"/>
        <v>26.1</v>
      </c>
      <c r="C491" s="55">
        <f t="shared" ca="1" si="98"/>
        <v>26.038218409047623</v>
      </c>
      <c r="D491" s="55" t="str">
        <f t="shared" ca="1" si="99"/>
        <v>26.100 || 11000.000</v>
      </c>
      <c r="E491" s="120">
        <f t="shared" ca="1" si="107"/>
        <v>4.1528736361904919</v>
      </c>
      <c r="F491" s="56" t="e">
        <f t="shared" ca="1" si="108"/>
        <v>#N/A</v>
      </c>
      <c r="G491" s="56" t="e">
        <f t="shared" ca="1" si="100"/>
        <v>#N/A</v>
      </c>
      <c r="H491" s="116" t="e">
        <f t="shared" ca="1" si="101"/>
        <v>#N/A</v>
      </c>
      <c r="I491" s="57" t="e">
        <f t="shared" ca="1" si="102"/>
        <v>#N/A</v>
      </c>
      <c r="J491" s="131">
        <f t="shared" ca="1" si="109"/>
        <v>996</v>
      </c>
      <c r="K491" s="122" t="str">
        <f t="shared" ca="1" si="103"/>
        <v/>
      </c>
      <c r="L491" s="130" t="str">
        <f t="shared" ca="1" si="104"/>
        <v/>
      </c>
      <c r="M491" s="126">
        <f t="shared" ca="1" si="105"/>
        <v>995</v>
      </c>
      <c r="N491" s="58">
        <f t="shared" ca="1" si="110"/>
        <v>11000</v>
      </c>
      <c r="O491" s="160">
        <f t="shared" ca="1" si="110"/>
        <v>10488.088481701518</v>
      </c>
    </row>
    <row r="492" spans="1:15" x14ac:dyDescent="0.25">
      <c r="A492" s="55">
        <f t="shared" ca="1" si="106"/>
        <v>240</v>
      </c>
      <c r="B492" s="55">
        <f t="shared" ca="1" si="97"/>
        <v>26.1</v>
      </c>
      <c r="C492" s="55">
        <f t="shared" ca="1" si="98"/>
        <v>26.038218409047623</v>
      </c>
      <c r="D492" s="55" t="str">
        <f t="shared" ca="1" si="99"/>
        <v>26.100 || 11000.000</v>
      </c>
      <c r="E492" s="120">
        <f t="shared" ca="1" si="107"/>
        <v>4.1528736361904919</v>
      </c>
      <c r="F492" s="56" t="e">
        <f t="shared" ca="1" si="108"/>
        <v>#N/A</v>
      </c>
      <c r="G492" s="56" t="e">
        <f t="shared" ca="1" si="100"/>
        <v>#N/A</v>
      </c>
      <c r="H492" s="116" t="e">
        <f t="shared" ca="1" si="101"/>
        <v>#N/A</v>
      </c>
      <c r="I492" s="57" t="e">
        <f t="shared" ca="1" si="102"/>
        <v>#N/A</v>
      </c>
      <c r="J492" s="131">
        <f t="shared" ca="1" si="109"/>
        <v>996</v>
      </c>
      <c r="K492" s="122" t="str">
        <f t="shared" ca="1" si="103"/>
        <v/>
      </c>
      <c r="L492" s="130" t="str">
        <f t="shared" ca="1" si="104"/>
        <v/>
      </c>
      <c r="M492" s="126">
        <f t="shared" ca="1" si="105"/>
        <v>995</v>
      </c>
      <c r="N492" s="58">
        <f t="shared" ca="1" si="110"/>
        <v>11000</v>
      </c>
      <c r="O492" s="160">
        <f t="shared" ca="1" si="110"/>
        <v>10488.088481701518</v>
      </c>
    </row>
    <row r="493" spans="1:15" x14ac:dyDescent="0.25">
      <c r="A493" s="55">
        <f t="shared" ca="1" si="106"/>
        <v>240</v>
      </c>
      <c r="B493" s="55">
        <f t="shared" ca="1" si="97"/>
        <v>26.1</v>
      </c>
      <c r="C493" s="55">
        <f t="shared" ca="1" si="98"/>
        <v>26.04382282844443</v>
      </c>
      <c r="D493" s="55" t="str">
        <f t="shared" ca="1" si="99"/>
        <v>26.100 || 12100.000</v>
      </c>
      <c r="E493" s="120">
        <f t="shared" ca="1" si="107"/>
        <v>4.1752913137777199</v>
      </c>
      <c r="F493" s="56" t="e">
        <f t="shared" ca="1" si="108"/>
        <v>#N/A</v>
      </c>
      <c r="G493" s="56" t="e">
        <f t="shared" ca="1" si="100"/>
        <v>#N/A</v>
      </c>
      <c r="H493" s="116" t="e">
        <f t="shared" ca="1" si="101"/>
        <v>#N/A</v>
      </c>
      <c r="I493" s="57" t="e">
        <f t="shared" ca="1" si="102"/>
        <v>#N/A</v>
      </c>
      <c r="J493" s="131">
        <f t="shared" ca="1" si="109"/>
        <v>996</v>
      </c>
      <c r="K493" s="122" t="str">
        <f t="shared" ca="1" si="103"/>
        <v/>
      </c>
      <c r="L493" s="130" t="str">
        <f t="shared" ca="1" si="104"/>
        <v/>
      </c>
      <c r="M493" s="126">
        <f t="shared" ca="1" si="105"/>
        <v>995</v>
      </c>
      <c r="N493" s="58">
        <f t="shared" ca="1" si="110"/>
        <v>12100</v>
      </c>
      <c r="O493" s="160">
        <f t="shared" ca="1" si="110"/>
        <v>11536.897329871666</v>
      </c>
    </row>
    <row r="494" spans="1:15" x14ac:dyDescent="0.25">
      <c r="A494" s="55">
        <f t="shared" ca="1" si="106"/>
        <v>240</v>
      </c>
      <c r="B494" s="55">
        <f t="shared" ca="1" si="97"/>
        <v>26.1</v>
      </c>
      <c r="C494" s="55">
        <f t="shared" ca="1" si="98"/>
        <v>26.04382282844443</v>
      </c>
      <c r="D494" s="55" t="str">
        <f t="shared" ca="1" si="99"/>
        <v>26.100 || 12100.000</v>
      </c>
      <c r="E494" s="120">
        <f t="shared" ca="1" si="107"/>
        <v>4.1752913137777199</v>
      </c>
      <c r="F494" s="56" t="e">
        <f t="shared" ca="1" si="108"/>
        <v>#N/A</v>
      </c>
      <c r="G494" s="56" t="e">
        <f t="shared" ca="1" si="100"/>
        <v>#N/A</v>
      </c>
      <c r="H494" s="116" t="e">
        <f t="shared" ca="1" si="101"/>
        <v>#N/A</v>
      </c>
      <c r="I494" s="57" t="e">
        <f t="shared" ca="1" si="102"/>
        <v>#N/A</v>
      </c>
      <c r="J494" s="131">
        <f t="shared" ca="1" si="109"/>
        <v>996</v>
      </c>
      <c r="K494" s="122" t="str">
        <f t="shared" ca="1" si="103"/>
        <v/>
      </c>
      <c r="L494" s="130" t="str">
        <f t="shared" ca="1" si="104"/>
        <v/>
      </c>
      <c r="M494" s="126">
        <f t="shared" ca="1" si="105"/>
        <v>995</v>
      </c>
      <c r="N494" s="58">
        <f t="shared" ca="1" si="110"/>
        <v>12100</v>
      </c>
      <c r="O494" s="160">
        <f t="shared" ca="1" si="110"/>
        <v>11536.897329871666</v>
      </c>
    </row>
    <row r="495" spans="1:15" x14ac:dyDescent="0.25">
      <c r="A495" s="55">
        <f t="shared" ca="1" si="106"/>
        <v>240</v>
      </c>
      <c r="B495" s="55">
        <f t="shared" ca="1" si="97"/>
        <v>26.1</v>
      </c>
      <c r="C495" s="55">
        <f t="shared" ca="1" si="98"/>
        <v>26.04382282844443</v>
      </c>
      <c r="D495" s="55" t="str">
        <f t="shared" ca="1" si="99"/>
        <v>26.100 || 12100.000</v>
      </c>
      <c r="E495" s="120">
        <f t="shared" ca="1" si="107"/>
        <v>4.1752913137777199</v>
      </c>
      <c r="F495" s="56" t="e">
        <f t="shared" ca="1" si="108"/>
        <v>#N/A</v>
      </c>
      <c r="G495" s="56" t="e">
        <f t="shared" ca="1" si="100"/>
        <v>#N/A</v>
      </c>
      <c r="H495" s="116" t="e">
        <f t="shared" ca="1" si="101"/>
        <v>#N/A</v>
      </c>
      <c r="I495" s="57" t="e">
        <f t="shared" ca="1" si="102"/>
        <v>#N/A</v>
      </c>
      <c r="J495" s="131">
        <f t="shared" ca="1" si="109"/>
        <v>996</v>
      </c>
      <c r="K495" s="122" t="str">
        <f t="shared" ca="1" si="103"/>
        <v/>
      </c>
      <c r="L495" s="130" t="str">
        <f t="shared" ca="1" si="104"/>
        <v/>
      </c>
      <c r="M495" s="126">
        <f t="shared" ca="1" si="105"/>
        <v>995</v>
      </c>
      <c r="N495" s="58">
        <f t="shared" ca="1" si="110"/>
        <v>12100</v>
      </c>
      <c r="O495" s="160">
        <f t="shared" ca="1" si="110"/>
        <v>11536.897329871666</v>
      </c>
    </row>
    <row r="496" spans="1:15" x14ac:dyDescent="0.25">
      <c r="A496" s="55">
        <f t="shared" ca="1" si="106"/>
        <v>240</v>
      </c>
      <c r="B496" s="55">
        <f t="shared" ca="1" si="97"/>
        <v>26.1</v>
      </c>
      <c r="C496" s="55">
        <f t="shared" ca="1" si="98"/>
        <v>26.04382282844443</v>
      </c>
      <c r="D496" s="55" t="str">
        <f t="shared" ca="1" si="99"/>
        <v>26.100 || 12100.000</v>
      </c>
      <c r="E496" s="120">
        <f t="shared" ca="1" si="107"/>
        <v>4.1752913137777199</v>
      </c>
      <c r="F496" s="56" t="e">
        <f t="shared" ca="1" si="108"/>
        <v>#N/A</v>
      </c>
      <c r="G496" s="56" t="e">
        <f t="shared" ca="1" si="100"/>
        <v>#N/A</v>
      </c>
      <c r="H496" s="116" t="e">
        <f t="shared" ca="1" si="101"/>
        <v>#N/A</v>
      </c>
      <c r="I496" s="57" t="e">
        <f t="shared" ca="1" si="102"/>
        <v>#N/A</v>
      </c>
      <c r="J496" s="131">
        <f t="shared" ca="1" si="109"/>
        <v>996</v>
      </c>
      <c r="K496" s="122" t="str">
        <f t="shared" ca="1" si="103"/>
        <v/>
      </c>
      <c r="L496" s="130" t="str">
        <f t="shared" ca="1" si="104"/>
        <v/>
      </c>
      <c r="M496" s="126">
        <f t="shared" ca="1" si="105"/>
        <v>995</v>
      </c>
      <c r="N496" s="58">
        <f t="shared" ca="1" si="110"/>
        <v>12100</v>
      </c>
      <c r="O496" s="160">
        <f t="shared" ca="1" si="110"/>
        <v>11536.897329871666</v>
      </c>
    </row>
    <row r="497" spans="1:15" x14ac:dyDescent="0.25">
      <c r="A497" s="55">
        <f t="shared" ca="1" si="106"/>
        <v>240</v>
      </c>
      <c r="B497" s="55">
        <f t="shared" ca="1" si="97"/>
        <v>26.1</v>
      </c>
      <c r="C497" s="55">
        <f t="shared" ca="1" si="98"/>
        <v>26.048881518223638</v>
      </c>
      <c r="D497" s="55" t="str">
        <f t="shared" ca="1" si="99"/>
        <v>26.100 || 13300.000</v>
      </c>
      <c r="E497" s="120">
        <f t="shared" ca="1" si="107"/>
        <v>4.1955260728945518</v>
      </c>
      <c r="F497" s="56" t="e">
        <f t="shared" ca="1" si="108"/>
        <v>#N/A</v>
      </c>
      <c r="G497" s="56" t="e">
        <f t="shared" ca="1" si="100"/>
        <v>#N/A</v>
      </c>
      <c r="H497" s="116" t="e">
        <f t="shared" ca="1" si="101"/>
        <v>#N/A</v>
      </c>
      <c r="I497" s="57" t="e">
        <f t="shared" ca="1" si="102"/>
        <v>#N/A</v>
      </c>
      <c r="J497" s="131">
        <f t="shared" ca="1" si="109"/>
        <v>996</v>
      </c>
      <c r="K497" s="122" t="str">
        <f t="shared" ca="1" si="103"/>
        <v/>
      </c>
      <c r="L497" s="130" t="str">
        <f t="shared" ca="1" si="104"/>
        <v/>
      </c>
      <c r="M497" s="126">
        <f t="shared" ca="1" si="105"/>
        <v>995</v>
      </c>
      <c r="N497" s="58">
        <f t="shared" ca="1" si="110"/>
        <v>13300</v>
      </c>
      <c r="O497" s="160">
        <f t="shared" ca="1" si="110"/>
        <v>12685.818854137873</v>
      </c>
    </row>
    <row r="498" spans="1:15" x14ac:dyDescent="0.25">
      <c r="A498" s="55">
        <f t="shared" ca="1" si="106"/>
        <v>240</v>
      </c>
      <c r="B498" s="55">
        <f t="shared" ca="1" si="97"/>
        <v>26.1</v>
      </c>
      <c r="C498" s="55">
        <f t="shared" ca="1" si="98"/>
        <v>26.048881518223638</v>
      </c>
      <c r="D498" s="55" t="str">
        <f t="shared" ca="1" si="99"/>
        <v>26.100 || 13300.000</v>
      </c>
      <c r="E498" s="120">
        <f t="shared" ca="1" si="107"/>
        <v>4.1955260728945518</v>
      </c>
      <c r="F498" s="56" t="e">
        <f t="shared" ca="1" si="108"/>
        <v>#N/A</v>
      </c>
      <c r="G498" s="56" t="e">
        <f t="shared" ca="1" si="100"/>
        <v>#N/A</v>
      </c>
      <c r="H498" s="116" t="e">
        <f t="shared" ca="1" si="101"/>
        <v>#N/A</v>
      </c>
      <c r="I498" s="57" t="e">
        <f t="shared" ca="1" si="102"/>
        <v>#N/A</v>
      </c>
      <c r="J498" s="131">
        <f t="shared" ca="1" si="109"/>
        <v>996</v>
      </c>
      <c r="K498" s="122" t="str">
        <f t="shared" ca="1" si="103"/>
        <v/>
      </c>
      <c r="L498" s="130" t="str">
        <f t="shared" ca="1" si="104"/>
        <v/>
      </c>
      <c r="M498" s="126">
        <f t="shared" ca="1" si="105"/>
        <v>995</v>
      </c>
      <c r="N498" s="58">
        <f t="shared" ca="1" si="110"/>
        <v>13300</v>
      </c>
      <c r="O498" s="160">
        <f t="shared" ca="1" si="110"/>
        <v>12685.818854137873</v>
      </c>
    </row>
    <row r="499" spans="1:15" x14ac:dyDescent="0.25">
      <c r="A499" s="55">
        <f t="shared" ca="1" si="106"/>
        <v>240</v>
      </c>
      <c r="B499" s="55">
        <f t="shared" ca="1" si="97"/>
        <v>26.1</v>
      </c>
      <c r="C499" s="55">
        <f t="shared" ca="1" si="98"/>
        <v>26.048881518223638</v>
      </c>
      <c r="D499" s="55" t="str">
        <f t="shared" ca="1" si="99"/>
        <v>26.100 || 13300.000</v>
      </c>
      <c r="E499" s="120">
        <f t="shared" ca="1" si="107"/>
        <v>4.1955260728945518</v>
      </c>
      <c r="F499" s="56" t="e">
        <f t="shared" ca="1" si="108"/>
        <v>#N/A</v>
      </c>
      <c r="G499" s="56" t="e">
        <f t="shared" ca="1" si="100"/>
        <v>#N/A</v>
      </c>
      <c r="H499" s="116" t="e">
        <f t="shared" ca="1" si="101"/>
        <v>#N/A</v>
      </c>
      <c r="I499" s="57" t="e">
        <f t="shared" ca="1" si="102"/>
        <v>#N/A</v>
      </c>
      <c r="J499" s="131">
        <f t="shared" ca="1" si="109"/>
        <v>996</v>
      </c>
      <c r="K499" s="122" t="str">
        <f t="shared" ca="1" si="103"/>
        <v/>
      </c>
      <c r="L499" s="130" t="str">
        <f t="shared" ca="1" si="104"/>
        <v/>
      </c>
      <c r="M499" s="126">
        <f t="shared" ca="1" si="105"/>
        <v>995</v>
      </c>
      <c r="N499" s="58">
        <f t="shared" ca="1" si="110"/>
        <v>13300</v>
      </c>
      <c r="O499" s="160">
        <f t="shared" ca="1" si="110"/>
        <v>12685.818854137873</v>
      </c>
    </row>
    <row r="500" spans="1:15" x14ac:dyDescent="0.25">
      <c r="A500" s="55">
        <f t="shared" ca="1" si="106"/>
        <v>240</v>
      </c>
      <c r="B500" s="55">
        <f t="shared" ca="1" si="97"/>
        <v>26.1</v>
      </c>
      <c r="C500" s="55">
        <f t="shared" ca="1" si="98"/>
        <v>26.048881518223638</v>
      </c>
      <c r="D500" s="55" t="str">
        <f t="shared" ca="1" si="99"/>
        <v>26.100 || 13300.000</v>
      </c>
      <c r="E500" s="120">
        <f t="shared" ca="1" si="107"/>
        <v>4.1955260728945518</v>
      </c>
      <c r="F500" s="56" t="e">
        <f t="shared" ca="1" si="108"/>
        <v>#N/A</v>
      </c>
      <c r="G500" s="56" t="e">
        <f t="shared" ca="1" si="100"/>
        <v>#N/A</v>
      </c>
      <c r="H500" s="116" t="e">
        <f t="shared" ca="1" si="101"/>
        <v>#N/A</v>
      </c>
      <c r="I500" s="57" t="e">
        <f t="shared" ca="1" si="102"/>
        <v>#N/A</v>
      </c>
      <c r="J500" s="131">
        <f t="shared" ca="1" si="109"/>
        <v>996</v>
      </c>
      <c r="K500" s="122" t="str">
        <f t="shared" ca="1" si="103"/>
        <v/>
      </c>
      <c r="L500" s="130" t="str">
        <f t="shared" ca="1" si="104"/>
        <v/>
      </c>
      <c r="M500" s="126">
        <f t="shared" ca="1" si="105"/>
        <v>995</v>
      </c>
      <c r="N500" s="58">
        <f t="shared" ca="1" si="110"/>
        <v>13300</v>
      </c>
      <c r="O500" s="160">
        <f t="shared" ca="1" si="110"/>
        <v>12685.818854137873</v>
      </c>
    </row>
    <row r="501" spans="1:15" x14ac:dyDescent="0.25">
      <c r="A501" s="55">
        <f t="shared" ca="1" si="106"/>
        <v>240</v>
      </c>
      <c r="B501" s="55">
        <f t="shared" ca="1" si="97"/>
        <v>26.1</v>
      </c>
      <c r="C501" s="55">
        <f t="shared" ca="1" si="98"/>
        <v>26.05374131643816</v>
      </c>
      <c r="D501" s="55" t="str">
        <f t="shared" ca="1" si="99"/>
        <v>26.100 || 14700.000</v>
      </c>
      <c r="E501" s="120">
        <f t="shared" ca="1" si="107"/>
        <v>4.2149652657526389</v>
      </c>
      <c r="F501" s="56" t="e">
        <f t="shared" ca="1" si="108"/>
        <v>#N/A</v>
      </c>
      <c r="G501" s="56" t="e">
        <f t="shared" ca="1" si="100"/>
        <v>#N/A</v>
      </c>
      <c r="H501" s="116" t="e">
        <f t="shared" ca="1" si="101"/>
        <v>#N/A</v>
      </c>
      <c r="I501" s="57" t="e">
        <f t="shared" ca="1" si="102"/>
        <v>#N/A</v>
      </c>
      <c r="J501" s="131">
        <f t="shared" ca="1" si="109"/>
        <v>996</v>
      </c>
      <c r="K501" s="122" t="str">
        <f t="shared" ca="1" si="103"/>
        <v/>
      </c>
      <c r="L501" s="130" t="str">
        <f t="shared" ca="1" si="104"/>
        <v/>
      </c>
      <c r="M501" s="126">
        <f t="shared" ca="1" si="105"/>
        <v>995</v>
      </c>
      <c r="N501" s="58">
        <f t="shared" ca="1" si="110"/>
        <v>14700</v>
      </c>
      <c r="O501" s="160">
        <f t="shared" ca="1" si="110"/>
        <v>13982.489048806725</v>
      </c>
    </row>
    <row r="502" spans="1:15" x14ac:dyDescent="0.25">
      <c r="A502" s="55">
        <f t="shared" ca="1" si="106"/>
        <v>240</v>
      </c>
      <c r="B502" s="55">
        <f t="shared" ca="1" si="97"/>
        <v>26.1</v>
      </c>
      <c r="C502" s="55">
        <f t="shared" ca="1" si="98"/>
        <v>26.05374131643816</v>
      </c>
      <c r="D502" s="55" t="str">
        <f t="shared" ca="1" si="99"/>
        <v>26.100 || 14700.000</v>
      </c>
      <c r="E502" s="120">
        <f t="shared" ca="1" si="107"/>
        <v>4.2149652657526389</v>
      </c>
      <c r="F502" s="56" t="e">
        <f t="shared" ca="1" si="108"/>
        <v>#N/A</v>
      </c>
      <c r="G502" s="56" t="e">
        <f t="shared" ca="1" si="100"/>
        <v>#N/A</v>
      </c>
      <c r="H502" s="116" t="e">
        <f t="shared" ca="1" si="101"/>
        <v>#N/A</v>
      </c>
      <c r="I502" s="57" t="e">
        <f t="shared" ca="1" si="102"/>
        <v>#N/A</v>
      </c>
      <c r="J502" s="131">
        <f t="shared" ca="1" si="109"/>
        <v>996</v>
      </c>
      <c r="K502" s="122" t="str">
        <f t="shared" ca="1" si="103"/>
        <v/>
      </c>
      <c r="L502" s="130" t="str">
        <f t="shared" ca="1" si="104"/>
        <v/>
      </c>
      <c r="M502" s="126">
        <f t="shared" ca="1" si="105"/>
        <v>995</v>
      </c>
      <c r="N502" s="58">
        <f t="shared" ca="1" si="110"/>
        <v>14700</v>
      </c>
      <c r="O502" s="160">
        <f t="shared" ca="1" si="110"/>
        <v>13982.489048806725</v>
      </c>
    </row>
    <row r="503" spans="1:15" x14ac:dyDescent="0.25">
      <c r="A503" s="55">
        <f t="shared" ca="1" si="106"/>
        <v>240</v>
      </c>
      <c r="B503" s="55">
        <f t="shared" ca="1" si="97"/>
        <v>26.1</v>
      </c>
      <c r="C503" s="55">
        <f t="shared" ca="1" si="98"/>
        <v>26.05374131643816</v>
      </c>
      <c r="D503" s="55" t="str">
        <f t="shared" ca="1" si="99"/>
        <v>26.100 || 14700.000</v>
      </c>
      <c r="E503" s="120">
        <f t="shared" ca="1" si="107"/>
        <v>4.2149652657526389</v>
      </c>
      <c r="F503" s="56" t="e">
        <f t="shared" ca="1" si="108"/>
        <v>#N/A</v>
      </c>
      <c r="G503" s="56" t="e">
        <f t="shared" ca="1" si="100"/>
        <v>#N/A</v>
      </c>
      <c r="H503" s="116" t="e">
        <f t="shared" ca="1" si="101"/>
        <v>#N/A</v>
      </c>
      <c r="I503" s="57" t="e">
        <f t="shared" ca="1" si="102"/>
        <v>#N/A</v>
      </c>
      <c r="J503" s="131">
        <f t="shared" ca="1" si="109"/>
        <v>996</v>
      </c>
      <c r="K503" s="122" t="str">
        <f t="shared" ca="1" si="103"/>
        <v/>
      </c>
      <c r="L503" s="130" t="str">
        <f t="shared" ca="1" si="104"/>
        <v/>
      </c>
      <c r="M503" s="126">
        <f t="shared" ca="1" si="105"/>
        <v>995</v>
      </c>
      <c r="N503" s="58">
        <f t="shared" ca="1" si="110"/>
        <v>14700</v>
      </c>
      <c r="O503" s="160">
        <f t="shared" ca="1" si="110"/>
        <v>13982.489048806725</v>
      </c>
    </row>
    <row r="504" spans="1:15" x14ac:dyDescent="0.25">
      <c r="A504" s="55">
        <f t="shared" ca="1" si="106"/>
        <v>240</v>
      </c>
      <c r="B504" s="55">
        <f t="shared" ca="1" si="97"/>
        <v>26.1</v>
      </c>
      <c r="C504" s="55">
        <f t="shared" ca="1" si="98"/>
        <v>26.05374131643816</v>
      </c>
      <c r="D504" s="55" t="str">
        <f t="shared" ca="1" si="99"/>
        <v>26.100 || 14700.000</v>
      </c>
      <c r="E504" s="120">
        <f t="shared" ca="1" si="107"/>
        <v>4.2149652657526389</v>
      </c>
      <c r="F504" s="56" t="e">
        <f t="shared" ca="1" si="108"/>
        <v>#N/A</v>
      </c>
      <c r="G504" s="56" t="e">
        <f t="shared" ca="1" si="100"/>
        <v>#N/A</v>
      </c>
      <c r="H504" s="116" t="e">
        <f t="shared" ca="1" si="101"/>
        <v>#N/A</v>
      </c>
      <c r="I504" s="57" t="e">
        <f t="shared" ca="1" si="102"/>
        <v>#N/A</v>
      </c>
      <c r="J504" s="131">
        <f t="shared" ca="1" si="109"/>
        <v>996</v>
      </c>
      <c r="K504" s="122" t="str">
        <f t="shared" ca="1" si="103"/>
        <v/>
      </c>
      <c r="L504" s="130" t="str">
        <f t="shared" ca="1" si="104"/>
        <v/>
      </c>
      <c r="M504" s="126">
        <f t="shared" ca="1" si="105"/>
        <v>995</v>
      </c>
      <c r="N504" s="58">
        <f t="shared" ca="1" si="110"/>
        <v>14700</v>
      </c>
      <c r="O504" s="160">
        <f t="shared" ca="1" si="110"/>
        <v>13982.489048806725</v>
      </c>
    </row>
    <row r="505" spans="1:15" x14ac:dyDescent="0.25">
      <c r="A505" s="55">
        <f t="shared" ca="1" si="106"/>
        <v>240</v>
      </c>
      <c r="B505" s="55">
        <f t="shared" ca="1" si="97"/>
        <v>26.1</v>
      </c>
      <c r="C505" s="55">
        <f t="shared" ca="1" si="98"/>
        <v>26.058017638249488</v>
      </c>
      <c r="D505" s="55" t="str">
        <f t="shared" ca="1" si="99"/>
        <v>26.100 || 16200.000</v>
      </c>
      <c r="E505" s="120">
        <f t="shared" ca="1" si="107"/>
        <v>4.2320705529979534</v>
      </c>
      <c r="F505" s="56" t="e">
        <f t="shared" ca="1" si="108"/>
        <v>#N/A</v>
      </c>
      <c r="G505" s="56" t="e">
        <f t="shared" ca="1" si="100"/>
        <v>#N/A</v>
      </c>
      <c r="H505" s="116" t="e">
        <f t="shared" ca="1" si="101"/>
        <v>#N/A</v>
      </c>
      <c r="I505" s="57" t="e">
        <f t="shared" ca="1" si="102"/>
        <v>#N/A</v>
      </c>
      <c r="J505" s="131">
        <f t="shared" ca="1" si="109"/>
        <v>996</v>
      </c>
      <c r="K505" s="122" t="str">
        <f t="shared" ca="1" si="103"/>
        <v/>
      </c>
      <c r="L505" s="130" t="str">
        <f t="shared" ca="1" si="104"/>
        <v/>
      </c>
      <c r="M505" s="126">
        <f t="shared" ca="1" si="105"/>
        <v>995</v>
      </c>
      <c r="N505" s="58">
        <f t="shared" ca="1" si="110"/>
        <v>16200.000000000002</v>
      </c>
      <c r="O505" s="160">
        <f t="shared" ca="1" si="110"/>
        <v>15431.78537953402</v>
      </c>
    </row>
    <row r="506" spans="1:15" x14ac:dyDescent="0.25">
      <c r="A506" s="55">
        <f t="shared" ca="1" si="106"/>
        <v>240</v>
      </c>
      <c r="B506" s="55">
        <f t="shared" ca="1" si="97"/>
        <v>26.1</v>
      </c>
      <c r="C506" s="55">
        <f t="shared" ca="1" si="98"/>
        <v>26.058017638249488</v>
      </c>
      <c r="D506" s="55" t="str">
        <f t="shared" ca="1" si="99"/>
        <v>26.100 || 16200.000</v>
      </c>
      <c r="E506" s="120">
        <f t="shared" ca="1" si="107"/>
        <v>4.2320705529979534</v>
      </c>
      <c r="F506" s="56" t="e">
        <f t="shared" ca="1" si="108"/>
        <v>#N/A</v>
      </c>
      <c r="G506" s="56" t="e">
        <f t="shared" ca="1" si="100"/>
        <v>#N/A</v>
      </c>
      <c r="H506" s="116" t="e">
        <f t="shared" ca="1" si="101"/>
        <v>#N/A</v>
      </c>
      <c r="I506" s="57" t="e">
        <f t="shared" ca="1" si="102"/>
        <v>#N/A</v>
      </c>
      <c r="J506" s="131">
        <f t="shared" ca="1" si="109"/>
        <v>996</v>
      </c>
      <c r="K506" s="122" t="str">
        <f t="shared" ca="1" si="103"/>
        <v/>
      </c>
      <c r="L506" s="130" t="str">
        <f t="shared" ca="1" si="104"/>
        <v/>
      </c>
      <c r="M506" s="126">
        <f t="shared" ca="1" si="105"/>
        <v>995</v>
      </c>
      <c r="N506" s="58">
        <f t="shared" ca="1" si="110"/>
        <v>16200.000000000002</v>
      </c>
      <c r="O506" s="160">
        <f t="shared" ca="1" si="110"/>
        <v>15431.78537953402</v>
      </c>
    </row>
    <row r="507" spans="1:15" x14ac:dyDescent="0.25">
      <c r="A507" s="55">
        <f t="shared" ca="1" si="106"/>
        <v>240</v>
      </c>
      <c r="B507" s="55">
        <f t="shared" ca="1" si="97"/>
        <v>26.1</v>
      </c>
      <c r="C507" s="55">
        <f t="shared" ca="1" si="98"/>
        <v>26.058017638249488</v>
      </c>
      <c r="D507" s="55" t="str">
        <f t="shared" ca="1" si="99"/>
        <v>26.100 || 16200.000</v>
      </c>
      <c r="E507" s="120">
        <f t="shared" ca="1" si="107"/>
        <v>4.2320705529979534</v>
      </c>
      <c r="F507" s="56" t="e">
        <f t="shared" ca="1" si="108"/>
        <v>#N/A</v>
      </c>
      <c r="G507" s="56" t="e">
        <f t="shared" ca="1" si="100"/>
        <v>#N/A</v>
      </c>
      <c r="H507" s="116" t="e">
        <f t="shared" ca="1" si="101"/>
        <v>#N/A</v>
      </c>
      <c r="I507" s="57" t="e">
        <f t="shared" ca="1" si="102"/>
        <v>#N/A</v>
      </c>
      <c r="J507" s="131">
        <f t="shared" ca="1" si="109"/>
        <v>996</v>
      </c>
      <c r="K507" s="122" t="str">
        <f t="shared" ca="1" si="103"/>
        <v/>
      </c>
      <c r="L507" s="130" t="str">
        <f t="shared" ca="1" si="104"/>
        <v/>
      </c>
      <c r="M507" s="126">
        <f t="shared" ca="1" si="105"/>
        <v>995</v>
      </c>
      <c r="N507" s="58">
        <f t="shared" ca="1" si="110"/>
        <v>16200.000000000002</v>
      </c>
      <c r="O507" s="160">
        <f t="shared" ca="1" si="110"/>
        <v>15431.78537953402</v>
      </c>
    </row>
    <row r="508" spans="1:15" x14ac:dyDescent="0.25">
      <c r="A508" s="55">
        <f t="shared" ca="1" si="106"/>
        <v>240</v>
      </c>
      <c r="B508" s="55">
        <f t="shared" ca="1" si="97"/>
        <v>26.1</v>
      </c>
      <c r="C508" s="55">
        <f t="shared" ca="1" si="98"/>
        <v>26.058017638249488</v>
      </c>
      <c r="D508" s="55" t="str">
        <f t="shared" ca="1" si="99"/>
        <v>26.100 || 16200.000</v>
      </c>
      <c r="E508" s="120">
        <f t="shared" ca="1" si="107"/>
        <v>4.2320705529979534</v>
      </c>
      <c r="F508" s="56" t="e">
        <f t="shared" ca="1" si="108"/>
        <v>#N/A</v>
      </c>
      <c r="G508" s="56" t="e">
        <f t="shared" ca="1" si="100"/>
        <v>#N/A</v>
      </c>
      <c r="H508" s="116" t="e">
        <f t="shared" ca="1" si="101"/>
        <v>#N/A</v>
      </c>
      <c r="I508" s="57" t="e">
        <f t="shared" ca="1" si="102"/>
        <v>#N/A</v>
      </c>
      <c r="J508" s="131">
        <f t="shared" ca="1" si="109"/>
        <v>996</v>
      </c>
      <c r="K508" s="122" t="str">
        <f t="shared" ca="1" si="103"/>
        <v/>
      </c>
      <c r="L508" s="130" t="str">
        <f t="shared" ca="1" si="104"/>
        <v/>
      </c>
      <c r="M508" s="126">
        <f t="shared" ca="1" si="105"/>
        <v>995</v>
      </c>
      <c r="N508" s="58">
        <f t="shared" ca="1" si="110"/>
        <v>16200.000000000002</v>
      </c>
      <c r="O508" s="160">
        <f t="shared" ca="1" si="110"/>
        <v>15431.78537953402</v>
      </c>
    </row>
    <row r="509" spans="1:15" x14ac:dyDescent="0.25">
      <c r="A509" s="55">
        <f t="shared" ca="1" si="106"/>
        <v>240</v>
      </c>
      <c r="B509" s="55">
        <f t="shared" ca="1" si="97"/>
        <v>26.1</v>
      </c>
      <c r="C509" s="55">
        <f t="shared" ca="1" si="98"/>
        <v>26.061785808449411</v>
      </c>
      <c r="D509" s="55" t="str">
        <f t="shared" ca="1" si="99"/>
        <v>26.100 || 17800.000</v>
      </c>
      <c r="E509" s="120">
        <f t="shared" ca="1" si="107"/>
        <v>4.2471432337976438</v>
      </c>
      <c r="F509" s="56" t="e">
        <f t="shared" ca="1" si="108"/>
        <v>#N/A</v>
      </c>
      <c r="G509" s="56" t="e">
        <f t="shared" ca="1" si="100"/>
        <v>#N/A</v>
      </c>
      <c r="H509" s="116" t="e">
        <f t="shared" ca="1" si="101"/>
        <v>#N/A</v>
      </c>
      <c r="I509" s="57" t="e">
        <f t="shared" ca="1" si="102"/>
        <v>#N/A</v>
      </c>
      <c r="J509" s="131">
        <f t="shared" ca="1" si="109"/>
        <v>996</v>
      </c>
      <c r="K509" s="122" t="str">
        <f t="shared" ca="1" si="103"/>
        <v/>
      </c>
      <c r="L509" s="130" t="str">
        <f t="shared" ca="1" si="104"/>
        <v/>
      </c>
      <c r="M509" s="126">
        <f t="shared" ca="1" si="105"/>
        <v>995</v>
      </c>
      <c r="N509" s="58">
        <f t="shared" ca="1" si="110"/>
        <v>17799.999999999996</v>
      </c>
      <c r="O509" s="160">
        <f t="shared" ca="1" si="110"/>
        <v>16981.166037701885</v>
      </c>
    </row>
    <row r="510" spans="1:15" x14ac:dyDescent="0.25">
      <c r="A510" s="55">
        <f t="shared" ca="1" si="106"/>
        <v>240</v>
      </c>
      <c r="B510" s="55">
        <f t="shared" ca="1" si="97"/>
        <v>26.1</v>
      </c>
      <c r="C510" s="55">
        <f t="shared" ca="1" si="98"/>
        <v>26.061785808449411</v>
      </c>
      <c r="D510" s="55" t="str">
        <f t="shared" ca="1" si="99"/>
        <v>26.100 || 17800.000</v>
      </c>
      <c r="E510" s="120">
        <f t="shared" ca="1" si="107"/>
        <v>4.2471432337976438</v>
      </c>
      <c r="F510" s="56" t="e">
        <f t="shared" ca="1" si="108"/>
        <v>#N/A</v>
      </c>
      <c r="G510" s="56" t="e">
        <f t="shared" ca="1" si="100"/>
        <v>#N/A</v>
      </c>
      <c r="H510" s="116" t="e">
        <f t="shared" ca="1" si="101"/>
        <v>#N/A</v>
      </c>
      <c r="I510" s="57" t="e">
        <f t="shared" ca="1" si="102"/>
        <v>#N/A</v>
      </c>
      <c r="J510" s="131">
        <f t="shared" ca="1" si="109"/>
        <v>996</v>
      </c>
      <c r="K510" s="122" t="str">
        <f t="shared" ca="1" si="103"/>
        <v/>
      </c>
      <c r="L510" s="130" t="str">
        <f t="shared" ca="1" si="104"/>
        <v/>
      </c>
      <c r="M510" s="126">
        <f t="shared" ca="1" si="105"/>
        <v>995</v>
      </c>
      <c r="N510" s="58">
        <f t="shared" ca="1" si="110"/>
        <v>17799.999999999996</v>
      </c>
      <c r="O510" s="160">
        <f t="shared" ca="1" si="110"/>
        <v>16981.166037701885</v>
      </c>
    </row>
    <row r="511" spans="1:15" x14ac:dyDescent="0.25">
      <c r="A511" s="55">
        <f t="shared" ca="1" si="106"/>
        <v>240</v>
      </c>
      <c r="B511" s="55">
        <f t="shared" ca="1" si="97"/>
        <v>26.1</v>
      </c>
      <c r="C511" s="55">
        <f t="shared" ca="1" si="98"/>
        <v>26.061785808449411</v>
      </c>
      <c r="D511" s="55" t="str">
        <f t="shared" ca="1" si="99"/>
        <v>26.100 || 17800.000</v>
      </c>
      <c r="E511" s="120">
        <f t="shared" ca="1" si="107"/>
        <v>4.2471432337976438</v>
      </c>
      <c r="F511" s="56" t="e">
        <f t="shared" ca="1" si="108"/>
        <v>#N/A</v>
      </c>
      <c r="G511" s="56" t="e">
        <f t="shared" ca="1" si="100"/>
        <v>#N/A</v>
      </c>
      <c r="H511" s="116" t="e">
        <f t="shared" ca="1" si="101"/>
        <v>#N/A</v>
      </c>
      <c r="I511" s="57" t="e">
        <f t="shared" ca="1" si="102"/>
        <v>#N/A</v>
      </c>
      <c r="J511" s="131">
        <f t="shared" ca="1" si="109"/>
        <v>996</v>
      </c>
      <c r="K511" s="122" t="str">
        <f t="shared" ca="1" si="103"/>
        <v/>
      </c>
      <c r="L511" s="130" t="str">
        <f t="shared" ca="1" si="104"/>
        <v/>
      </c>
      <c r="M511" s="126">
        <f t="shared" ca="1" si="105"/>
        <v>995</v>
      </c>
      <c r="N511" s="58">
        <f t="shared" ca="1" si="110"/>
        <v>17799.999999999996</v>
      </c>
      <c r="O511" s="160">
        <f t="shared" ca="1" si="110"/>
        <v>16981.166037701885</v>
      </c>
    </row>
    <row r="512" spans="1:15" x14ac:dyDescent="0.25">
      <c r="A512" s="55">
        <f t="shared" ca="1" si="106"/>
        <v>240</v>
      </c>
      <c r="B512" s="55">
        <f t="shared" ca="1" si="97"/>
        <v>26.1</v>
      </c>
      <c r="C512" s="55">
        <f t="shared" ca="1" si="98"/>
        <v>26.061785808449411</v>
      </c>
      <c r="D512" s="55" t="str">
        <f t="shared" ca="1" si="99"/>
        <v>26.100 || 17800.000</v>
      </c>
      <c r="E512" s="120">
        <f t="shared" ca="1" si="107"/>
        <v>4.2471432337976438</v>
      </c>
      <c r="F512" s="56" t="e">
        <f t="shared" ca="1" si="108"/>
        <v>#N/A</v>
      </c>
      <c r="G512" s="56" t="e">
        <f t="shared" ca="1" si="100"/>
        <v>#N/A</v>
      </c>
      <c r="H512" s="116" t="e">
        <f t="shared" ca="1" si="101"/>
        <v>#N/A</v>
      </c>
      <c r="I512" s="57" t="e">
        <f t="shared" ca="1" si="102"/>
        <v>#N/A</v>
      </c>
      <c r="J512" s="131">
        <f t="shared" ca="1" si="109"/>
        <v>996</v>
      </c>
      <c r="K512" s="122" t="str">
        <f t="shared" ca="1" si="103"/>
        <v/>
      </c>
      <c r="L512" s="130" t="str">
        <f t="shared" ca="1" si="104"/>
        <v/>
      </c>
      <c r="M512" s="126">
        <f t="shared" ca="1" si="105"/>
        <v>995</v>
      </c>
      <c r="N512" s="58">
        <f t="shared" ca="1" si="110"/>
        <v>17799.999999999996</v>
      </c>
      <c r="O512" s="160">
        <f t="shared" ca="1" si="110"/>
        <v>16981.166037701885</v>
      </c>
    </row>
    <row r="513" spans="1:15" x14ac:dyDescent="0.25">
      <c r="A513" s="55">
        <f t="shared" ca="1" si="106"/>
        <v>240</v>
      </c>
      <c r="B513" s="55">
        <f t="shared" ca="1" si="97"/>
        <v>26.1</v>
      </c>
      <c r="C513" s="55">
        <f t="shared" ca="1" si="98"/>
        <v>26.065290607914971</v>
      </c>
      <c r="D513" s="55" t="str">
        <f t="shared" ca="1" si="99"/>
        <v>26.100 || 19600.000</v>
      </c>
      <c r="E513" s="120">
        <f t="shared" ca="1" si="107"/>
        <v>4.2611624316598835</v>
      </c>
      <c r="F513" s="56" t="e">
        <f t="shared" ca="1" si="108"/>
        <v>#N/A</v>
      </c>
      <c r="G513" s="56" t="e">
        <f t="shared" ca="1" si="100"/>
        <v>#N/A</v>
      </c>
      <c r="H513" s="116" t="e">
        <f t="shared" ca="1" si="101"/>
        <v>#N/A</v>
      </c>
      <c r="I513" s="57" t="e">
        <f t="shared" ca="1" si="102"/>
        <v>#N/A</v>
      </c>
      <c r="J513" s="131">
        <f t="shared" ca="1" si="109"/>
        <v>996</v>
      </c>
      <c r="K513" s="122" t="str">
        <f t="shared" ca="1" si="103"/>
        <v/>
      </c>
      <c r="L513" s="130" t="str">
        <f t="shared" ca="1" si="104"/>
        <v/>
      </c>
      <c r="M513" s="126">
        <f t="shared" ca="1" si="105"/>
        <v>995</v>
      </c>
      <c r="N513" s="58">
        <f t="shared" ca="1" si="110"/>
        <v>19600</v>
      </c>
      <c r="O513" s="160">
        <f t="shared" ca="1" si="110"/>
        <v>18678.329689776871</v>
      </c>
    </row>
    <row r="514" spans="1:15" x14ac:dyDescent="0.25">
      <c r="A514" s="55">
        <f t="shared" ca="1" si="106"/>
        <v>240</v>
      </c>
      <c r="B514" s="55">
        <f t="shared" ca="1" si="97"/>
        <v>26.1</v>
      </c>
      <c r="C514" s="55">
        <f t="shared" ca="1" si="98"/>
        <v>26.065290607914971</v>
      </c>
      <c r="D514" s="55" t="str">
        <f t="shared" ca="1" si="99"/>
        <v>26.100 || 19600.000</v>
      </c>
      <c r="E514" s="120">
        <f t="shared" ca="1" si="107"/>
        <v>4.2611624316598835</v>
      </c>
      <c r="F514" s="56" t="e">
        <f t="shared" ca="1" si="108"/>
        <v>#N/A</v>
      </c>
      <c r="G514" s="56" t="e">
        <f t="shared" ca="1" si="100"/>
        <v>#N/A</v>
      </c>
      <c r="H514" s="116" t="e">
        <f t="shared" ca="1" si="101"/>
        <v>#N/A</v>
      </c>
      <c r="I514" s="57" t="e">
        <f t="shared" ca="1" si="102"/>
        <v>#N/A</v>
      </c>
      <c r="J514" s="131">
        <f t="shared" ca="1" si="109"/>
        <v>996</v>
      </c>
      <c r="K514" s="122" t="str">
        <f t="shared" ca="1" si="103"/>
        <v/>
      </c>
      <c r="L514" s="130" t="str">
        <f t="shared" ca="1" si="104"/>
        <v/>
      </c>
      <c r="M514" s="126">
        <f t="shared" ca="1" si="105"/>
        <v>995</v>
      </c>
      <c r="N514" s="58">
        <f t="shared" ca="1" si="110"/>
        <v>19600</v>
      </c>
      <c r="O514" s="160">
        <f t="shared" ca="1" si="110"/>
        <v>18678.329689776871</v>
      </c>
    </row>
    <row r="515" spans="1:15" x14ac:dyDescent="0.25">
      <c r="A515" s="55">
        <f t="shared" ca="1" si="106"/>
        <v>240</v>
      </c>
      <c r="B515" s="55">
        <f t="shared" ca="1" si="97"/>
        <v>26.1</v>
      </c>
      <c r="C515" s="55">
        <f t="shared" ca="1" si="98"/>
        <v>26.065290607914971</v>
      </c>
      <c r="D515" s="55" t="str">
        <f t="shared" ca="1" si="99"/>
        <v>26.100 || 19600.000</v>
      </c>
      <c r="E515" s="120">
        <f t="shared" ca="1" si="107"/>
        <v>4.2611624316598835</v>
      </c>
      <c r="F515" s="56" t="e">
        <f t="shared" ca="1" si="108"/>
        <v>#N/A</v>
      </c>
      <c r="G515" s="56" t="e">
        <f t="shared" ca="1" si="100"/>
        <v>#N/A</v>
      </c>
      <c r="H515" s="116" t="e">
        <f t="shared" ca="1" si="101"/>
        <v>#N/A</v>
      </c>
      <c r="I515" s="57" t="e">
        <f t="shared" ca="1" si="102"/>
        <v>#N/A</v>
      </c>
      <c r="J515" s="131">
        <f t="shared" ca="1" si="109"/>
        <v>996</v>
      </c>
      <c r="K515" s="122" t="str">
        <f t="shared" ca="1" si="103"/>
        <v/>
      </c>
      <c r="L515" s="130" t="str">
        <f t="shared" ca="1" si="104"/>
        <v/>
      </c>
      <c r="M515" s="126">
        <f t="shared" ca="1" si="105"/>
        <v>995</v>
      </c>
      <c r="N515" s="58">
        <f t="shared" ca="1" si="110"/>
        <v>19600</v>
      </c>
      <c r="O515" s="160">
        <f t="shared" ca="1" si="110"/>
        <v>18678.329689776871</v>
      </c>
    </row>
    <row r="516" spans="1:15" x14ac:dyDescent="0.25">
      <c r="A516" s="55">
        <f t="shared" ca="1" si="106"/>
        <v>240</v>
      </c>
      <c r="B516" s="55">
        <f t="shared" ca="1" si="97"/>
        <v>26.1</v>
      </c>
      <c r="C516" s="55">
        <f t="shared" ca="1" si="98"/>
        <v>26.065290607914971</v>
      </c>
      <c r="D516" s="55" t="str">
        <f t="shared" ca="1" si="99"/>
        <v>26.100 || 19600.000</v>
      </c>
      <c r="E516" s="120">
        <f t="shared" ca="1" si="107"/>
        <v>4.2611624316598835</v>
      </c>
      <c r="F516" s="56" t="e">
        <f t="shared" ca="1" si="108"/>
        <v>#N/A</v>
      </c>
      <c r="G516" s="56" t="e">
        <f t="shared" ca="1" si="100"/>
        <v>#N/A</v>
      </c>
      <c r="H516" s="116" t="e">
        <f t="shared" ca="1" si="101"/>
        <v>#N/A</v>
      </c>
      <c r="I516" s="57" t="e">
        <f t="shared" ca="1" si="102"/>
        <v>#N/A</v>
      </c>
      <c r="J516" s="131">
        <f t="shared" ca="1" si="109"/>
        <v>996</v>
      </c>
      <c r="K516" s="122" t="str">
        <f t="shared" ca="1" si="103"/>
        <v/>
      </c>
      <c r="L516" s="130" t="str">
        <f t="shared" ca="1" si="104"/>
        <v/>
      </c>
      <c r="M516" s="126">
        <f t="shared" ca="1" si="105"/>
        <v>995</v>
      </c>
      <c r="N516" s="58">
        <f t="shared" ca="1" si="110"/>
        <v>19600</v>
      </c>
      <c r="O516" s="160">
        <f t="shared" ca="1" si="110"/>
        <v>18678.329689776871</v>
      </c>
    </row>
    <row r="517" spans="1:15" x14ac:dyDescent="0.25">
      <c r="A517" s="55">
        <f t="shared" ca="1" si="106"/>
        <v>240</v>
      </c>
      <c r="B517" s="55">
        <f t="shared" ca="1" si="97"/>
        <v>26.1</v>
      </c>
      <c r="C517" s="55">
        <f t="shared" ca="1" si="98"/>
        <v>26.068354230445834</v>
      </c>
      <c r="D517" s="55" t="str">
        <f t="shared" ca="1" si="99"/>
        <v>26.100 || 21500.000</v>
      </c>
      <c r="E517" s="120">
        <f t="shared" ca="1" si="107"/>
        <v>4.2734169217833369</v>
      </c>
      <c r="F517" s="56" t="e">
        <f t="shared" ca="1" si="108"/>
        <v>#N/A</v>
      </c>
      <c r="G517" s="56" t="e">
        <f t="shared" ca="1" si="100"/>
        <v>#N/A</v>
      </c>
      <c r="H517" s="116" t="e">
        <f t="shared" ca="1" si="101"/>
        <v>#N/A</v>
      </c>
      <c r="I517" s="57" t="e">
        <f t="shared" ca="1" si="102"/>
        <v>#N/A</v>
      </c>
      <c r="J517" s="131">
        <f t="shared" ca="1" si="109"/>
        <v>996</v>
      </c>
      <c r="K517" s="122" t="str">
        <f t="shared" ca="1" si="103"/>
        <v/>
      </c>
      <c r="L517" s="130" t="str">
        <f t="shared" ca="1" si="104"/>
        <v/>
      </c>
      <c r="M517" s="126">
        <f t="shared" ca="1" si="105"/>
        <v>995</v>
      </c>
      <c r="N517" s="58">
        <f t="shared" ca="1" si="110"/>
        <v>21500</v>
      </c>
      <c r="O517" s="160">
        <f t="shared" ca="1" si="110"/>
        <v>20528.029618061257</v>
      </c>
    </row>
    <row r="518" spans="1:15" x14ac:dyDescent="0.25">
      <c r="A518" s="55">
        <f t="shared" ca="1" si="106"/>
        <v>240</v>
      </c>
      <c r="B518" s="55">
        <f t="shared" ref="B518:B581" ca="1" si="111">INDEX($N$1:$N$774,A518)</f>
        <v>26.1</v>
      </c>
      <c r="C518" s="55">
        <f t="shared" ref="C518:C581" ca="1" si="112">1/(1/B518+1/N518)</f>
        <v>26.068354230445834</v>
      </c>
      <c r="D518" s="55" t="str">
        <f t="shared" ref="D518:D581" ca="1" si="113">CONCATENATE(TEXT(MIN(B518,N518),"#0.000#")," || ",TEXT(MAX(B518,N518),"#0.000#"))</f>
        <v>26.100 || 21500.000</v>
      </c>
      <c r="E518" s="120">
        <f t="shared" ca="1" si="107"/>
        <v>4.2734169217833369</v>
      </c>
      <c r="F518" s="56" t="e">
        <f t="shared" ca="1" si="108"/>
        <v>#N/A</v>
      </c>
      <c r="G518" s="56" t="e">
        <f t="shared" ref="G518:G581" ca="1" si="114">INDEX($N$1:$N$774,F518)</f>
        <v>#N/A</v>
      </c>
      <c r="H518" s="116" t="e">
        <f t="shared" ref="H518:H581" ca="1" si="115">G518+N518</f>
        <v>#N/A</v>
      </c>
      <c r="I518" s="57" t="e">
        <f t="shared" ref="I518:I581" ca="1" si="116">CONCATENATE(TEXT(MIN(G518,N518),"#0.000#")," + ",TEXT(MAX(G518,N518),"#0.000#"))</f>
        <v>#N/A</v>
      </c>
      <c r="J518" s="131">
        <f t="shared" ca="1" si="109"/>
        <v>996</v>
      </c>
      <c r="K518" s="122" t="str">
        <f t="shared" ref="K518:K581" ca="1" si="117">IF(E518&lt;$C$4,D518,IF(J518&lt;$C$4,I518,""))</f>
        <v/>
      </c>
      <c r="L518" s="130" t="str">
        <f t="shared" ref="L518:L581" ca="1" si="118">IF(E518&lt;$C$4,C518,IF(J518&lt;$C$4,H518,""))</f>
        <v/>
      </c>
      <c r="M518" s="126">
        <f t="shared" ref="M518:M581" ca="1" si="119">IF(E518&lt;=$C$4,E518,IF(J518&lt;=$C$4,J518,995))</f>
        <v>995</v>
      </c>
      <c r="N518" s="58">
        <f t="shared" ca="1" si="110"/>
        <v>21500</v>
      </c>
      <c r="O518" s="160">
        <f t="shared" ca="1" si="110"/>
        <v>20528.029618061257</v>
      </c>
    </row>
    <row r="519" spans="1:15" x14ac:dyDescent="0.25">
      <c r="A519" s="55">
        <f t="shared" ref="A519:A582" ca="1" si="120">MATCH(1/($A$5-(1/N519)),$O$1:$O$775,1)</f>
        <v>240</v>
      </c>
      <c r="B519" s="55">
        <f t="shared" ca="1" si="111"/>
        <v>26.1</v>
      </c>
      <c r="C519" s="55">
        <f t="shared" ca="1" si="112"/>
        <v>26.068354230445834</v>
      </c>
      <c r="D519" s="55" t="str">
        <f t="shared" ca="1" si="113"/>
        <v>26.100 || 21500.000</v>
      </c>
      <c r="E519" s="120">
        <f t="shared" ref="E519:E582" ca="1" si="121">IFERROR(IF(OR(B519=0,AND(B519&lt;&gt;$A$4,N519&lt;&gt;$A$4)),ABS($A$4-C519)/$E$5,999),998)</f>
        <v>4.2734169217833369</v>
      </c>
      <c r="F519" s="56" t="e">
        <f t="shared" ref="F519:F582" ca="1" si="122">MATCH($A$4-N519,$O$1:$O$774,1)</f>
        <v>#N/A</v>
      </c>
      <c r="G519" s="56" t="e">
        <f t="shared" ca="1" si="114"/>
        <v>#N/A</v>
      </c>
      <c r="H519" s="116" t="e">
        <f t="shared" ca="1" si="115"/>
        <v>#N/A</v>
      </c>
      <c r="I519" s="57" t="e">
        <f t="shared" ca="1" si="116"/>
        <v>#N/A</v>
      </c>
      <c r="J519" s="131">
        <f t="shared" ref="J519:J582" ca="1" si="123">IFERROR(IF(OR(G519=0,AND(G519&lt;&gt;$A$4,N519&lt;&gt;$A$4)),ABS($A$4-H519)/$E$5,997),996)</f>
        <v>996</v>
      </c>
      <c r="K519" s="122" t="str">
        <f t="shared" ca="1" si="117"/>
        <v/>
      </c>
      <c r="L519" s="130" t="str">
        <f t="shared" ca="1" si="118"/>
        <v/>
      </c>
      <c r="M519" s="126">
        <f t="shared" ca="1" si="119"/>
        <v>995</v>
      </c>
      <c r="N519" s="58">
        <f t="shared" ca="1" si="110"/>
        <v>21500</v>
      </c>
      <c r="O519" s="160">
        <f t="shared" ca="1" si="110"/>
        <v>20528.029618061257</v>
      </c>
    </row>
    <row r="520" spans="1:15" x14ac:dyDescent="0.25">
      <c r="A520" s="55">
        <f t="shared" ca="1" si="120"/>
        <v>240</v>
      </c>
      <c r="B520" s="55">
        <f t="shared" ca="1" si="111"/>
        <v>26.1</v>
      </c>
      <c r="C520" s="55">
        <f t="shared" ca="1" si="112"/>
        <v>26.068354230445834</v>
      </c>
      <c r="D520" s="55" t="str">
        <f t="shared" ca="1" si="113"/>
        <v>26.100 || 21500.000</v>
      </c>
      <c r="E520" s="120">
        <f t="shared" ca="1" si="121"/>
        <v>4.2734169217833369</v>
      </c>
      <c r="F520" s="56" t="e">
        <f t="shared" ca="1" si="122"/>
        <v>#N/A</v>
      </c>
      <c r="G520" s="56" t="e">
        <f t="shared" ca="1" si="114"/>
        <v>#N/A</v>
      </c>
      <c r="H520" s="116" t="e">
        <f t="shared" ca="1" si="115"/>
        <v>#N/A</v>
      </c>
      <c r="I520" s="57" t="e">
        <f t="shared" ca="1" si="116"/>
        <v>#N/A</v>
      </c>
      <c r="J520" s="131">
        <f t="shared" ca="1" si="123"/>
        <v>996</v>
      </c>
      <c r="K520" s="122" t="str">
        <f t="shared" ca="1" si="117"/>
        <v/>
      </c>
      <c r="L520" s="130" t="str">
        <f t="shared" ca="1" si="118"/>
        <v/>
      </c>
      <c r="M520" s="126">
        <f t="shared" ca="1" si="119"/>
        <v>995</v>
      </c>
      <c r="N520" s="58">
        <f t="shared" ca="1" si="110"/>
        <v>21500</v>
      </c>
      <c r="O520" s="160">
        <f t="shared" ca="1" si="110"/>
        <v>20528.029618061257</v>
      </c>
    </row>
    <row r="521" spans="1:15" x14ac:dyDescent="0.25">
      <c r="A521" s="55">
        <f t="shared" ca="1" si="120"/>
        <v>240</v>
      </c>
      <c r="B521" s="55">
        <f t="shared" ca="1" si="111"/>
        <v>26.1</v>
      </c>
      <c r="C521" s="55">
        <f t="shared" ca="1" si="112"/>
        <v>26.071288580929863</v>
      </c>
      <c r="D521" s="55" t="str">
        <f t="shared" ca="1" si="113"/>
        <v>26.100 || 23700.000</v>
      </c>
      <c r="E521" s="120">
        <f t="shared" ca="1" si="121"/>
        <v>4.2851543237194534</v>
      </c>
      <c r="F521" s="56" t="e">
        <f t="shared" ca="1" si="122"/>
        <v>#N/A</v>
      </c>
      <c r="G521" s="56" t="e">
        <f t="shared" ca="1" si="114"/>
        <v>#N/A</v>
      </c>
      <c r="H521" s="116" t="e">
        <f t="shared" ca="1" si="115"/>
        <v>#N/A</v>
      </c>
      <c r="I521" s="57" t="e">
        <f t="shared" ca="1" si="116"/>
        <v>#N/A</v>
      </c>
      <c r="J521" s="131">
        <f t="shared" ca="1" si="123"/>
        <v>996</v>
      </c>
      <c r="K521" s="122" t="str">
        <f t="shared" ca="1" si="117"/>
        <v/>
      </c>
      <c r="L521" s="130" t="str">
        <f t="shared" ca="1" si="118"/>
        <v/>
      </c>
      <c r="M521" s="126">
        <f t="shared" ca="1" si="119"/>
        <v>995</v>
      </c>
      <c r="N521" s="58">
        <f t="shared" ca="1" si="110"/>
        <v>23700.000000000004</v>
      </c>
      <c r="O521" s="160">
        <f t="shared" ca="1" si="110"/>
        <v>22573.214215082444</v>
      </c>
    </row>
    <row r="522" spans="1:15" x14ac:dyDescent="0.25">
      <c r="A522" s="55">
        <f t="shared" ca="1" si="120"/>
        <v>240</v>
      </c>
      <c r="B522" s="55">
        <f t="shared" ca="1" si="111"/>
        <v>26.1</v>
      </c>
      <c r="C522" s="55">
        <f t="shared" ca="1" si="112"/>
        <v>26.071288580929863</v>
      </c>
      <c r="D522" s="55" t="str">
        <f t="shared" ca="1" si="113"/>
        <v>26.100 || 23700.000</v>
      </c>
      <c r="E522" s="120">
        <f t="shared" ca="1" si="121"/>
        <v>4.2851543237194534</v>
      </c>
      <c r="F522" s="56" t="e">
        <f t="shared" ca="1" si="122"/>
        <v>#N/A</v>
      </c>
      <c r="G522" s="56" t="e">
        <f t="shared" ca="1" si="114"/>
        <v>#N/A</v>
      </c>
      <c r="H522" s="116" t="e">
        <f t="shared" ca="1" si="115"/>
        <v>#N/A</v>
      </c>
      <c r="I522" s="57" t="e">
        <f t="shared" ca="1" si="116"/>
        <v>#N/A</v>
      </c>
      <c r="J522" s="131">
        <f t="shared" ca="1" si="123"/>
        <v>996</v>
      </c>
      <c r="K522" s="122" t="str">
        <f t="shared" ca="1" si="117"/>
        <v/>
      </c>
      <c r="L522" s="130" t="str">
        <f t="shared" ca="1" si="118"/>
        <v/>
      </c>
      <c r="M522" s="126">
        <f t="shared" ca="1" si="119"/>
        <v>995</v>
      </c>
      <c r="N522" s="58">
        <f t="shared" ca="1" si="110"/>
        <v>23700.000000000004</v>
      </c>
      <c r="O522" s="160">
        <f t="shared" ca="1" si="110"/>
        <v>22573.214215082444</v>
      </c>
    </row>
    <row r="523" spans="1:15" x14ac:dyDescent="0.25">
      <c r="A523" s="55">
        <f t="shared" ca="1" si="120"/>
        <v>240</v>
      </c>
      <c r="B523" s="55">
        <f t="shared" ca="1" si="111"/>
        <v>26.1</v>
      </c>
      <c r="C523" s="55">
        <f t="shared" ca="1" si="112"/>
        <v>26.071288580929863</v>
      </c>
      <c r="D523" s="55" t="str">
        <f t="shared" ca="1" si="113"/>
        <v>26.100 || 23700.000</v>
      </c>
      <c r="E523" s="120">
        <f t="shared" ca="1" si="121"/>
        <v>4.2851543237194534</v>
      </c>
      <c r="F523" s="56" t="e">
        <f t="shared" ca="1" si="122"/>
        <v>#N/A</v>
      </c>
      <c r="G523" s="56" t="e">
        <f t="shared" ca="1" si="114"/>
        <v>#N/A</v>
      </c>
      <c r="H523" s="116" t="e">
        <f t="shared" ca="1" si="115"/>
        <v>#N/A</v>
      </c>
      <c r="I523" s="57" t="e">
        <f t="shared" ca="1" si="116"/>
        <v>#N/A</v>
      </c>
      <c r="J523" s="131">
        <f t="shared" ca="1" si="123"/>
        <v>996</v>
      </c>
      <c r="K523" s="122" t="str">
        <f t="shared" ca="1" si="117"/>
        <v/>
      </c>
      <c r="L523" s="130" t="str">
        <f t="shared" ca="1" si="118"/>
        <v/>
      </c>
      <c r="M523" s="126">
        <f t="shared" ca="1" si="119"/>
        <v>995</v>
      </c>
      <c r="N523" s="58">
        <f t="shared" ca="1" si="110"/>
        <v>23700.000000000004</v>
      </c>
      <c r="O523" s="160">
        <f t="shared" ca="1" si="110"/>
        <v>22573.214215082444</v>
      </c>
    </row>
    <row r="524" spans="1:15" x14ac:dyDescent="0.25">
      <c r="A524" s="55">
        <f t="shared" ca="1" si="120"/>
        <v>240</v>
      </c>
      <c r="B524" s="55">
        <f t="shared" ca="1" si="111"/>
        <v>26.1</v>
      </c>
      <c r="C524" s="55">
        <f t="shared" ca="1" si="112"/>
        <v>26.071288580929863</v>
      </c>
      <c r="D524" s="55" t="str">
        <f t="shared" ca="1" si="113"/>
        <v>26.100 || 23700.000</v>
      </c>
      <c r="E524" s="120">
        <f t="shared" ca="1" si="121"/>
        <v>4.2851543237194534</v>
      </c>
      <c r="F524" s="56" t="e">
        <f t="shared" ca="1" si="122"/>
        <v>#N/A</v>
      </c>
      <c r="G524" s="56" t="e">
        <f t="shared" ca="1" si="114"/>
        <v>#N/A</v>
      </c>
      <c r="H524" s="116" t="e">
        <f t="shared" ca="1" si="115"/>
        <v>#N/A</v>
      </c>
      <c r="I524" s="57" t="e">
        <f t="shared" ca="1" si="116"/>
        <v>#N/A</v>
      </c>
      <c r="J524" s="131">
        <f t="shared" ca="1" si="123"/>
        <v>996</v>
      </c>
      <c r="K524" s="122" t="str">
        <f t="shared" ca="1" si="117"/>
        <v/>
      </c>
      <c r="L524" s="130" t="str">
        <f t="shared" ca="1" si="118"/>
        <v/>
      </c>
      <c r="M524" s="126">
        <f t="shared" ca="1" si="119"/>
        <v>995</v>
      </c>
      <c r="N524" s="58">
        <f t="shared" ca="1" si="110"/>
        <v>23700.000000000004</v>
      </c>
      <c r="O524" s="160">
        <f t="shared" ca="1" si="110"/>
        <v>22573.214215082444</v>
      </c>
    </row>
    <row r="525" spans="1:15" x14ac:dyDescent="0.25">
      <c r="A525" s="55">
        <f t="shared" ca="1" si="120"/>
        <v>240</v>
      </c>
      <c r="B525" s="55">
        <f t="shared" ca="1" si="111"/>
        <v>26.1</v>
      </c>
      <c r="C525" s="55">
        <f t="shared" ca="1" si="112"/>
        <v>26.073926073926074</v>
      </c>
      <c r="D525" s="55" t="str">
        <f t="shared" ca="1" si="113"/>
        <v>26.100 || 26100.000</v>
      </c>
      <c r="E525" s="120">
        <f t="shared" ca="1" si="121"/>
        <v>4.2957042957042972</v>
      </c>
      <c r="F525" s="56" t="e">
        <f t="shared" ca="1" si="122"/>
        <v>#N/A</v>
      </c>
      <c r="G525" s="56" t="e">
        <f t="shared" ca="1" si="114"/>
        <v>#N/A</v>
      </c>
      <c r="H525" s="116" t="e">
        <f t="shared" ca="1" si="115"/>
        <v>#N/A</v>
      </c>
      <c r="I525" s="57" t="e">
        <f t="shared" ca="1" si="116"/>
        <v>#N/A</v>
      </c>
      <c r="J525" s="131">
        <f t="shared" ca="1" si="123"/>
        <v>996</v>
      </c>
      <c r="K525" s="122" t="str">
        <f t="shared" ca="1" si="117"/>
        <v/>
      </c>
      <c r="L525" s="130" t="str">
        <f t="shared" ca="1" si="118"/>
        <v/>
      </c>
      <c r="M525" s="126">
        <f t="shared" ca="1" si="119"/>
        <v>995</v>
      </c>
      <c r="N525" s="58">
        <f t="shared" ca="1" si="110"/>
        <v>26100</v>
      </c>
      <c r="O525" s="160">
        <f t="shared" ca="1" si="110"/>
        <v>24871.06752835511</v>
      </c>
    </row>
    <row r="526" spans="1:15" x14ac:dyDescent="0.25">
      <c r="A526" s="55">
        <f t="shared" ca="1" si="120"/>
        <v>240</v>
      </c>
      <c r="B526" s="55">
        <f t="shared" ca="1" si="111"/>
        <v>26.1</v>
      </c>
      <c r="C526" s="55">
        <f t="shared" ca="1" si="112"/>
        <v>26.073926073926074</v>
      </c>
      <c r="D526" s="55" t="str">
        <f t="shared" ca="1" si="113"/>
        <v>26.100 || 26100.000</v>
      </c>
      <c r="E526" s="120">
        <f t="shared" ca="1" si="121"/>
        <v>4.2957042957042972</v>
      </c>
      <c r="F526" s="56" t="e">
        <f t="shared" ca="1" si="122"/>
        <v>#N/A</v>
      </c>
      <c r="G526" s="56" t="e">
        <f t="shared" ca="1" si="114"/>
        <v>#N/A</v>
      </c>
      <c r="H526" s="116" t="e">
        <f t="shared" ca="1" si="115"/>
        <v>#N/A</v>
      </c>
      <c r="I526" s="57" t="e">
        <f t="shared" ca="1" si="116"/>
        <v>#N/A</v>
      </c>
      <c r="J526" s="131">
        <f t="shared" ca="1" si="123"/>
        <v>996</v>
      </c>
      <c r="K526" s="122" t="str">
        <f t="shared" ca="1" si="117"/>
        <v/>
      </c>
      <c r="L526" s="130" t="str">
        <f t="shared" ca="1" si="118"/>
        <v/>
      </c>
      <c r="M526" s="126">
        <f t="shared" ca="1" si="119"/>
        <v>995</v>
      </c>
      <c r="N526" s="58">
        <f t="shared" ca="1" si="110"/>
        <v>26100</v>
      </c>
      <c r="O526" s="160">
        <f t="shared" ca="1" si="110"/>
        <v>24871.06752835511</v>
      </c>
    </row>
    <row r="527" spans="1:15" x14ac:dyDescent="0.25">
      <c r="A527" s="55">
        <f t="shared" ca="1" si="120"/>
        <v>240</v>
      </c>
      <c r="B527" s="55">
        <f t="shared" ca="1" si="111"/>
        <v>26.1</v>
      </c>
      <c r="C527" s="55">
        <f t="shared" ca="1" si="112"/>
        <v>26.073926073926074</v>
      </c>
      <c r="D527" s="55" t="str">
        <f t="shared" ca="1" si="113"/>
        <v>26.100 || 26100.000</v>
      </c>
      <c r="E527" s="120">
        <f t="shared" ca="1" si="121"/>
        <v>4.2957042957042972</v>
      </c>
      <c r="F527" s="56" t="e">
        <f t="shared" ca="1" si="122"/>
        <v>#N/A</v>
      </c>
      <c r="G527" s="56" t="e">
        <f t="shared" ca="1" si="114"/>
        <v>#N/A</v>
      </c>
      <c r="H527" s="116" t="e">
        <f t="shared" ca="1" si="115"/>
        <v>#N/A</v>
      </c>
      <c r="I527" s="57" t="e">
        <f t="shared" ca="1" si="116"/>
        <v>#N/A</v>
      </c>
      <c r="J527" s="131">
        <f t="shared" ca="1" si="123"/>
        <v>996</v>
      </c>
      <c r="K527" s="122" t="str">
        <f t="shared" ca="1" si="117"/>
        <v/>
      </c>
      <c r="L527" s="130" t="str">
        <f t="shared" ca="1" si="118"/>
        <v/>
      </c>
      <c r="M527" s="126">
        <f t="shared" ca="1" si="119"/>
        <v>995</v>
      </c>
      <c r="N527" s="58">
        <f t="shared" ca="1" si="110"/>
        <v>26100</v>
      </c>
      <c r="O527" s="160">
        <f t="shared" ca="1" si="110"/>
        <v>24871.06752835511</v>
      </c>
    </row>
    <row r="528" spans="1:15" x14ac:dyDescent="0.25">
      <c r="A528" s="55">
        <f t="shared" ca="1" si="120"/>
        <v>240</v>
      </c>
      <c r="B528" s="55">
        <f t="shared" ca="1" si="111"/>
        <v>26.1</v>
      </c>
      <c r="C528" s="55">
        <f t="shared" ca="1" si="112"/>
        <v>26.073926073926074</v>
      </c>
      <c r="D528" s="55" t="str">
        <f t="shared" ca="1" si="113"/>
        <v>26.100 || 26100.000</v>
      </c>
      <c r="E528" s="120">
        <f t="shared" ca="1" si="121"/>
        <v>4.2957042957042972</v>
      </c>
      <c r="F528" s="56" t="e">
        <f t="shared" ca="1" si="122"/>
        <v>#N/A</v>
      </c>
      <c r="G528" s="56" t="e">
        <f t="shared" ca="1" si="114"/>
        <v>#N/A</v>
      </c>
      <c r="H528" s="116" t="e">
        <f t="shared" ca="1" si="115"/>
        <v>#N/A</v>
      </c>
      <c r="I528" s="57" t="e">
        <f t="shared" ca="1" si="116"/>
        <v>#N/A</v>
      </c>
      <c r="J528" s="131">
        <f t="shared" ca="1" si="123"/>
        <v>996</v>
      </c>
      <c r="K528" s="122" t="str">
        <f t="shared" ca="1" si="117"/>
        <v/>
      </c>
      <c r="L528" s="130" t="str">
        <f t="shared" ca="1" si="118"/>
        <v/>
      </c>
      <c r="M528" s="126">
        <f t="shared" ca="1" si="119"/>
        <v>995</v>
      </c>
      <c r="N528" s="58">
        <f t="shared" ca="1" si="110"/>
        <v>26100</v>
      </c>
      <c r="O528" s="160">
        <f t="shared" ca="1" si="110"/>
        <v>24871.06752835511</v>
      </c>
    </row>
    <row r="529" spans="1:15" x14ac:dyDescent="0.25">
      <c r="A529" s="55">
        <f t="shared" ca="1" si="120"/>
        <v>240</v>
      </c>
      <c r="B529" s="55">
        <f t="shared" ca="1" si="111"/>
        <v>26.1</v>
      </c>
      <c r="C529" s="55">
        <f t="shared" ca="1" si="112"/>
        <v>26.076286025600414</v>
      </c>
      <c r="D529" s="55" t="str">
        <f t="shared" ca="1" si="113"/>
        <v>26.100 || 28700.000</v>
      </c>
      <c r="E529" s="120">
        <f t="shared" ca="1" si="121"/>
        <v>4.3051441024016555</v>
      </c>
      <c r="F529" s="56" t="e">
        <f t="shared" ca="1" si="122"/>
        <v>#N/A</v>
      </c>
      <c r="G529" s="56" t="e">
        <f t="shared" ca="1" si="114"/>
        <v>#N/A</v>
      </c>
      <c r="H529" s="116" t="e">
        <f t="shared" ca="1" si="115"/>
        <v>#N/A</v>
      </c>
      <c r="I529" s="57" t="e">
        <f t="shared" ca="1" si="116"/>
        <v>#N/A</v>
      </c>
      <c r="J529" s="131">
        <f t="shared" ca="1" si="123"/>
        <v>996</v>
      </c>
      <c r="K529" s="122" t="str">
        <f t="shared" ca="1" si="117"/>
        <v/>
      </c>
      <c r="L529" s="130" t="str">
        <f t="shared" ca="1" si="118"/>
        <v/>
      </c>
      <c r="M529" s="126">
        <f t="shared" ca="1" si="119"/>
        <v>995</v>
      </c>
      <c r="N529" s="58">
        <f t="shared" ca="1" si="110"/>
        <v>28699.999999999996</v>
      </c>
      <c r="O529" s="160">
        <f t="shared" ca="1" si="110"/>
        <v>27369.143209095892</v>
      </c>
    </row>
    <row r="530" spans="1:15" x14ac:dyDescent="0.25">
      <c r="A530" s="55">
        <f t="shared" ca="1" si="120"/>
        <v>240</v>
      </c>
      <c r="B530" s="55">
        <f t="shared" ca="1" si="111"/>
        <v>26.1</v>
      </c>
      <c r="C530" s="55">
        <f t="shared" ca="1" si="112"/>
        <v>26.076286025600414</v>
      </c>
      <c r="D530" s="55" t="str">
        <f t="shared" ca="1" si="113"/>
        <v>26.100 || 28700.000</v>
      </c>
      <c r="E530" s="120">
        <f t="shared" ca="1" si="121"/>
        <v>4.3051441024016555</v>
      </c>
      <c r="F530" s="56" t="e">
        <f t="shared" ca="1" si="122"/>
        <v>#N/A</v>
      </c>
      <c r="G530" s="56" t="e">
        <f t="shared" ca="1" si="114"/>
        <v>#N/A</v>
      </c>
      <c r="H530" s="116" t="e">
        <f t="shared" ca="1" si="115"/>
        <v>#N/A</v>
      </c>
      <c r="I530" s="57" t="e">
        <f t="shared" ca="1" si="116"/>
        <v>#N/A</v>
      </c>
      <c r="J530" s="131">
        <f t="shared" ca="1" si="123"/>
        <v>996</v>
      </c>
      <c r="K530" s="122" t="str">
        <f t="shared" ca="1" si="117"/>
        <v/>
      </c>
      <c r="L530" s="130" t="str">
        <f t="shared" ca="1" si="118"/>
        <v/>
      </c>
      <c r="M530" s="126">
        <f t="shared" ca="1" si="119"/>
        <v>995</v>
      </c>
      <c r="N530" s="58">
        <f t="shared" ca="1" si="110"/>
        <v>28699.999999999996</v>
      </c>
      <c r="O530" s="160">
        <f t="shared" ca="1" si="110"/>
        <v>27369.143209095892</v>
      </c>
    </row>
    <row r="531" spans="1:15" x14ac:dyDescent="0.25">
      <c r="A531" s="55">
        <f t="shared" ca="1" si="120"/>
        <v>240</v>
      </c>
      <c r="B531" s="55">
        <f t="shared" ca="1" si="111"/>
        <v>26.1</v>
      </c>
      <c r="C531" s="55">
        <f t="shared" ca="1" si="112"/>
        <v>26.076286025600414</v>
      </c>
      <c r="D531" s="55" t="str">
        <f t="shared" ca="1" si="113"/>
        <v>26.100 || 28700.000</v>
      </c>
      <c r="E531" s="120">
        <f t="shared" ca="1" si="121"/>
        <v>4.3051441024016555</v>
      </c>
      <c r="F531" s="56" t="e">
        <f t="shared" ca="1" si="122"/>
        <v>#N/A</v>
      </c>
      <c r="G531" s="56" t="e">
        <f t="shared" ca="1" si="114"/>
        <v>#N/A</v>
      </c>
      <c r="H531" s="116" t="e">
        <f t="shared" ca="1" si="115"/>
        <v>#N/A</v>
      </c>
      <c r="I531" s="57" t="e">
        <f t="shared" ca="1" si="116"/>
        <v>#N/A</v>
      </c>
      <c r="J531" s="131">
        <f t="shared" ca="1" si="123"/>
        <v>996</v>
      </c>
      <c r="K531" s="122" t="str">
        <f t="shared" ca="1" si="117"/>
        <v/>
      </c>
      <c r="L531" s="130" t="str">
        <f t="shared" ca="1" si="118"/>
        <v/>
      </c>
      <c r="M531" s="126">
        <f t="shared" ca="1" si="119"/>
        <v>995</v>
      </c>
      <c r="N531" s="58">
        <f t="shared" ca="1" si="110"/>
        <v>28699.999999999996</v>
      </c>
      <c r="O531" s="160">
        <f t="shared" ca="1" si="110"/>
        <v>27369.143209095892</v>
      </c>
    </row>
    <row r="532" spans="1:15" x14ac:dyDescent="0.25">
      <c r="A532" s="55">
        <f t="shared" ca="1" si="120"/>
        <v>240</v>
      </c>
      <c r="B532" s="55">
        <f t="shared" ca="1" si="111"/>
        <v>26.1</v>
      </c>
      <c r="C532" s="55">
        <f t="shared" ca="1" si="112"/>
        <v>26.076286025600414</v>
      </c>
      <c r="D532" s="55" t="str">
        <f t="shared" ca="1" si="113"/>
        <v>26.100 || 28700.000</v>
      </c>
      <c r="E532" s="120">
        <f t="shared" ca="1" si="121"/>
        <v>4.3051441024016555</v>
      </c>
      <c r="F532" s="56" t="e">
        <f t="shared" ca="1" si="122"/>
        <v>#N/A</v>
      </c>
      <c r="G532" s="56" t="e">
        <f t="shared" ca="1" si="114"/>
        <v>#N/A</v>
      </c>
      <c r="H532" s="116" t="e">
        <f t="shared" ca="1" si="115"/>
        <v>#N/A</v>
      </c>
      <c r="I532" s="57" t="e">
        <f t="shared" ca="1" si="116"/>
        <v>#N/A</v>
      </c>
      <c r="J532" s="131">
        <f t="shared" ca="1" si="123"/>
        <v>996</v>
      </c>
      <c r="K532" s="122" t="str">
        <f t="shared" ca="1" si="117"/>
        <v/>
      </c>
      <c r="L532" s="130" t="str">
        <f t="shared" ca="1" si="118"/>
        <v/>
      </c>
      <c r="M532" s="126">
        <f t="shared" ca="1" si="119"/>
        <v>995</v>
      </c>
      <c r="N532" s="58">
        <f t="shared" ca="1" si="110"/>
        <v>28699.999999999996</v>
      </c>
      <c r="O532" s="160">
        <f t="shared" ca="1" si="110"/>
        <v>27369.143209095892</v>
      </c>
    </row>
    <row r="533" spans="1:15" x14ac:dyDescent="0.25">
      <c r="A533" s="55">
        <f t="shared" ca="1" si="120"/>
        <v>240</v>
      </c>
      <c r="B533" s="55">
        <f t="shared" ca="1" si="111"/>
        <v>26.1</v>
      </c>
      <c r="C533" s="55">
        <f t="shared" ca="1" si="112"/>
        <v>26.078460512045435</v>
      </c>
      <c r="D533" s="55" t="str">
        <f t="shared" ca="1" si="113"/>
        <v>26.100 || 31600.000</v>
      </c>
      <c r="E533" s="120">
        <f t="shared" ca="1" si="121"/>
        <v>4.3138420481817406</v>
      </c>
      <c r="F533" s="56" t="e">
        <f t="shared" ca="1" si="122"/>
        <v>#N/A</v>
      </c>
      <c r="G533" s="56" t="e">
        <f t="shared" ca="1" si="114"/>
        <v>#N/A</v>
      </c>
      <c r="H533" s="116" t="e">
        <f t="shared" ca="1" si="115"/>
        <v>#N/A</v>
      </c>
      <c r="I533" s="57" t="e">
        <f t="shared" ca="1" si="116"/>
        <v>#N/A</v>
      </c>
      <c r="J533" s="131">
        <f t="shared" ca="1" si="123"/>
        <v>996</v>
      </c>
      <c r="K533" s="122" t="str">
        <f t="shared" ca="1" si="117"/>
        <v/>
      </c>
      <c r="L533" s="130" t="str">
        <f t="shared" ca="1" si="118"/>
        <v/>
      </c>
      <c r="M533" s="126">
        <f t="shared" ca="1" si="119"/>
        <v>995</v>
      </c>
      <c r="N533" s="58">
        <f t="shared" ca="1" si="110"/>
        <v>31600</v>
      </c>
      <c r="O533" s="160">
        <f t="shared" ca="1" si="110"/>
        <v>30115.112485262282</v>
      </c>
    </row>
    <row r="534" spans="1:15" x14ac:dyDescent="0.25">
      <c r="A534" s="55">
        <f t="shared" ca="1" si="120"/>
        <v>240</v>
      </c>
      <c r="B534" s="55">
        <f t="shared" ca="1" si="111"/>
        <v>26.1</v>
      </c>
      <c r="C534" s="55">
        <f t="shared" ca="1" si="112"/>
        <v>26.078460512045435</v>
      </c>
      <c r="D534" s="55" t="str">
        <f t="shared" ca="1" si="113"/>
        <v>26.100 || 31600.000</v>
      </c>
      <c r="E534" s="120">
        <f t="shared" ca="1" si="121"/>
        <v>4.3138420481817406</v>
      </c>
      <c r="F534" s="56" t="e">
        <f t="shared" ca="1" si="122"/>
        <v>#N/A</v>
      </c>
      <c r="G534" s="56" t="e">
        <f t="shared" ca="1" si="114"/>
        <v>#N/A</v>
      </c>
      <c r="H534" s="116" t="e">
        <f t="shared" ca="1" si="115"/>
        <v>#N/A</v>
      </c>
      <c r="I534" s="57" t="e">
        <f t="shared" ca="1" si="116"/>
        <v>#N/A</v>
      </c>
      <c r="J534" s="131">
        <f t="shared" ca="1" si="123"/>
        <v>996</v>
      </c>
      <c r="K534" s="122" t="str">
        <f t="shared" ca="1" si="117"/>
        <v/>
      </c>
      <c r="L534" s="130" t="str">
        <f t="shared" ca="1" si="118"/>
        <v/>
      </c>
      <c r="M534" s="126">
        <f t="shared" ca="1" si="119"/>
        <v>995</v>
      </c>
      <c r="N534" s="58">
        <f t="shared" ca="1" si="110"/>
        <v>31600</v>
      </c>
      <c r="O534" s="160">
        <f t="shared" ca="1" si="110"/>
        <v>30115.112485262282</v>
      </c>
    </row>
    <row r="535" spans="1:15" x14ac:dyDescent="0.25">
      <c r="A535" s="55">
        <f t="shared" ca="1" si="120"/>
        <v>240</v>
      </c>
      <c r="B535" s="55">
        <f t="shared" ca="1" si="111"/>
        <v>26.1</v>
      </c>
      <c r="C535" s="55">
        <f t="shared" ca="1" si="112"/>
        <v>26.078460512045435</v>
      </c>
      <c r="D535" s="55" t="str">
        <f t="shared" ca="1" si="113"/>
        <v>26.100 || 31600.000</v>
      </c>
      <c r="E535" s="120">
        <f t="shared" ca="1" si="121"/>
        <v>4.3138420481817406</v>
      </c>
      <c r="F535" s="56" t="e">
        <f t="shared" ca="1" si="122"/>
        <v>#N/A</v>
      </c>
      <c r="G535" s="56" t="e">
        <f t="shared" ca="1" si="114"/>
        <v>#N/A</v>
      </c>
      <c r="H535" s="116" t="e">
        <f t="shared" ca="1" si="115"/>
        <v>#N/A</v>
      </c>
      <c r="I535" s="57" t="e">
        <f t="shared" ca="1" si="116"/>
        <v>#N/A</v>
      </c>
      <c r="J535" s="131">
        <f t="shared" ca="1" si="123"/>
        <v>996</v>
      </c>
      <c r="K535" s="122" t="str">
        <f t="shared" ca="1" si="117"/>
        <v/>
      </c>
      <c r="L535" s="130" t="str">
        <f t="shared" ca="1" si="118"/>
        <v/>
      </c>
      <c r="M535" s="126">
        <f t="shared" ca="1" si="119"/>
        <v>995</v>
      </c>
      <c r="N535" s="58">
        <f t="shared" ca="1" si="110"/>
        <v>31600</v>
      </c>
      <c r="O535" s="160">
        <f t="shared" ca="1" si="110"/>
        <v>30115.112485262282</v>
      </c>
    </row>
    <row r="536" spans="1:15" x14ac:dyDescent="0.25">
      <c r="A536" s="55">
        <f t="shared" ca="1" si="120"/>
        <v>240</v>
      </c>
      <c r="B536" s="55">
        <f t="shared" ca="1" si="111"/>
        <v>26.1</v>
      </c>
      <c r="C536" s="55">
        <f t="shared" ca="1" si="112"/>
        <v>26.078460512045435</v>
      </c>
      <c r="D536" s="55" t="str">
        <f t="shared" ca="1" si="113"/>
        <v>26.100 || 31600.000</v>
      </c>
      <c r="E536" s="120">
        <f t="shared" ca="1" si="121"/>
        <v>4.3138420481817406</v>
      </c>
      <c r="F536" s="56" t="e">
        <f t="shared" ca="1" si="122"/>
        <v>#N/A</v>
      </c>
      <c r="G536" s="56" t="e">
        <f t="shared" ca="1" si="114"/>
        <v>#N/A</v>
      </c>
      <c r="H536" s="116" t="e">
        <f t="shared" ca="1" si="115"/>
        <v>#N/A</v>
      </c>
      <c r="I536" s="57" t="e">
        <f t="shared" ca="1" si="116"/>
        <v>#N/A</v>
      </c>
      <c r="J536" s="131">
        <f t="shared" ca="1" si="123"/>
        <v>996</v>
      </c>
      <c r="K536" s="122" t="str">
        <f t="shared" ca="1" si="117"/>
        <v/>
      </c>
      <c r="L536" s="130" t="str">
        <f t="shared" ca="1" si="118"/>
        <v/>
      </c>
      <c r="M536" s="126">
        <f t="shared" ca="1" si="119"/>
        <v>995</v>
      </c>
      <c r="N536" s="58">
        <f t="shared" ca="1" si="110"/>
        <v>31600</v>
      </c>
      <c r="O536" s="160">
        <f t="shared" ca="1" si="110"/>
        <v>30115.112485262282</v>
      </c>
    </row>
    <row r="537" spans="1:15" x14ac:dyDescent="0.25">
      <c r="A537" s="55">
        <f t="shared" ca="1" si="120"/>
        <v>240</v>
      </c>
      <c r="B537" s="55">
        <f t="shared" ca="1" si="111"/>
        <v>26.1</v>
      </c>
      <c r="C537" s="55">
        <f t="shared" ca="1" si="112"/>
        <v>26.080439670247316</v>
      </c>
      <c r="D537" s="55" t="str">
        <f t="shared" ca="1" si="113"/>
        <v>26.100 || 34800.000</v>
      </c>
      <c r="E537" s="120">
        <f t="shared" ca="1" si="121"/>
        <v>4.3217586809892623</v>
      </c>
      <c r="F537" s="56" t="e">
        <f t="shared" ca="1" si="122"/>
        <v>#N/A</v>
      </c>
      <c r="G537" s="56" t="e">
        <f t="shared" ca="1" si="114"/>
        <v>#N/A</v>
      </c>
      <c r="H537" s="116" t="e">
        <f t="shared" ca="1" si="115"/>
        <v>#N/A</v>
      </c>
      <c r="I537" s="57" t="e">
        <f t="shared" ca="1" si="116"/>
        <v>#N/A</v>
      </c>
      <c r="J537" s="131">
        <f t="shared" ca="1" si="123"/>
        <v>996</v>
      </c>
      <c r="K537" s="122" t="str">
        <f t="shared" ca="1" si="117"/>
        <v/>
      </c>
      <c r="L537" s="130" t="str">
        <f t="shared" ca="1" si="118"/>
        <v/>
      </c>
      <c r="M537" s="126">
        <f t="shared" ca="1" si="119"/>
        <v>995</v>
      </c>
      <c r="N537" s="58">
        <f t="shared" ca="1" si="110"/>
        <v>34800</v>
      </c>
      <c r="O537" s="160">
        <f t="shared" ca="1" si="110"/>
        <v>33161.423371140147</v>
      </c>
    </row>
    <row r="538" spans="1:15" x14ac:dyDescent="0.25">
      <c r="A538" s="55">
        <f t="shared" ca="1" si="120"/>
        <v>240</v>
      </c>
      <c r="B538" s="55">
        <f t="shared" ca="1" si="111"/>
        <v>26.1</v>
      </c>
      <c r="C538" s="55">
        <f t="shared" ca="1" si="112"/>
        <v>26.080439670247316</v>
      </c>
      <c r="D538" s="55" t="str">
        <f t="shared" ca="1" si="113"/>
        <v>26.100 || 34800.000</v>
      </c>
      <c r="E538" s="120">
        <f t="shared" ca="1" si="121"/>
        <v>4.3217586809892623</v>
      </c>
      <c r="F538" s="56" t="e">
        <f t="shared" ca="1" si="122"/>
        <v>#N/A</v>
      </c>
      <c r="G538" s="56" t="e">
        <f t="shared" ca="1" si="114"/>
        <v>#N/A</v>
      </c>
      <c r="H538" s="116" t="e">
        <f t="shared" ca="1" si="115"/>
        <v>#N/A</v>
      </c>
      <c r="I538" s="57" t="e">
        <f t="shared" ca="1" si="116"/>
        <v>#N/A</v>
      </c>
      <c r="J538" s="131">
        <f t="shared" ca="1" si="123"/>
        <v>996</v>
      </c>
      <c r="K538" s="122" t="str">
        <f t="shared" ca="1" si="117"/>
        <v/>
      </c>
      <c r="L538" s="130" t="str">
        <f t="shared" ca="1" si="118"/>
        <v/>
      </c>
      <c r="M538" s="126">
        <f t="shared" ca="1" si="119"/>
        <v>995</v>
      </c>
      <c r="N538" s="58">
        <f t="shared" ca="1" si="110"/>
        <v>34800</v>
      </c>
      <c r="O538" s="160">
        <f t="shared" ca="1" si="110"/>
        <v>33161.423371140147</v>
      </c>
    </row>
    <row r="539" spans="1:15" x14ac:dyDescent="0.25">
      <c r="A539" s="55">
        <f t="shared" ca="1" si="120"/>
        <v>240</v>
      </c>
      <c r="B539" s="55">
        <f t="shared" ca="1" si="111"/>
        <v>26.1</v>
      </c>
      <c r="C539" s="55">
        <f t="shared" ca="1" si="112"/>
        <v>26.080439670247316</v>
      </c>
      <c r="D539" s="55" t="str">
        <f t="shared" ca="1" si="113"/>
        <v>26.100 || 34800.000</v>
      </c>
      <c r="E539" s="120">
        <f t="shared" ca="1" si="121"/>
        <v>4.3217586809892623</v>
      </c>
      <c r="F539" s="56" t="e">
        <f t="shared" ca="1" si="122"/>
        <v>#N/A</v>
      </c>
      <c r="G539" s="56" t="e">
        <f t="shared" ca="1" si="114"/>
        <v>#N/A</v>
      </c>
      <c r="H539" s="116" t="e">
        <f t="shared" ca="1" si="115"/>
        <v>#N/A</v>
      </c>
      <c r="I539" s="57" t="e">
        <f t="shared" ca="1" si="116"/>
        <v>#N/A</v>
      </c>
      <c r="J539" s="131">
        <f t="shared" ca="1" si="123"/>
        <v>996</v>
      </c>
      <c r="K539" s="122" t="str">
        <f t="shared" ca="1" si="117"/>
        <v/>
      </c>
      <c r="L539" s="130" t="str">
        <f t="shared" ca="1" si="118"/>
        <v/>
      </c>
      <c r="M539" s="126">
        <f t="shared" ca="1" si="119"/>
        <v>995</v>
      </c>
      <c r="N539" s="58">
        <f t="shared" ca="1" si="110"/>
        <v>34800</v>
      </c>
      <c r="O539" s="160">
        <f t="shared" ca="1" si="110"/>
        <v>33161.423371140147</v>
      </c>
    </row>
    <row r="540" spans="1:15" x14ac:dyDescent="0.25">
      <c r="A540" s="55">
        <f t="shared" ca="1" si="120"/>
        <v>240</v>
      </c>
      <c r="B540" s="55">
        <f t="shared" ca="1" si="111"/>
        <v>26.1</v>
      </c>
      <c r="C540" s="55">
        <f t="shared" ca="1" si="112"/>
        <v>26.080439670247316</v>
      </c>
      <c r="D540" s="55" t="str">
        <f t="shared" ca="1" si="113"/>
        <v>26.100 || 34800.000</v>
      </c>
      <c r="E540" s="120">
        <f t="shared" ca="1" si="121"/>
        <v>4.3217586809892623</v>
      </c>
      <c r="F540" s="56" t="e">
        <f t="shared" ca="1" si="122"/>
        <v>#N/A</v>
      </c>
      <c r="G540" s="56" t="e">
        <f t="shared" ca="1" si="114"/>
        <v>#N/A</v>
      </c>
      <c r="H540" s="116" t="e">
        <f t="shared" ca="1" si="115"/>
        <v>#N/A</v>
      </c>
      <c r="I540" s="57" t="e">
        <f t="shared" ca="1" si="116"/>
        <v>#N/A</v>
      </c>
      <c r="J540" s="131">
        <f t="shared" ca="1" si="123"/>
        <v>996</v>
      </c>
      <c r="K540" s="122" t="str">
        <f t="shared" ca="1" si="117"/>
        <v/>
      </c>
      <c r="L540" s="130" t="str">
        <f t="shared" ca="1" si="118"/>
        <v/>
      </c>
      <c r="M540" s="126">
        <f t="shared" ca="1" si="119"/>
        <v>995</v>
      </c>
      <c r="N540" s="58">
        <f t="shared" ca="1" si="110"/>
        <v>34800</v>
      </c>
      <c r="O540" s="160">
        <f t="shared" ca="1" si="110"/>
        <v>33161.423371140147</v>
      </c>
    </row>
    <row r="541" spans="1:15" x14ac:dyDescent="0.25">
      <c r="A541" s="55">
        <f t="shared" ca="1" si="120"/>
        <v>240</v>
      </c>
      <c r="B541" s="55">
        <f t="shared" ca="1" si="111"/>
        <v>26.1</v>
      </c>
      <c r="C541" s="55">
        <f t="shared" ca="1" si="112"/>
        <v>26.082225950461961</v>
      </c>
      <c r="D541" s="55" t="str">
        <f t="shared" ca="1" si="113"/>
        <v>26.100 || 38300.000</v>
      </c>
      <c r="E541" s="120">
        <f t="shared" ca="1" si="121"/>
        <v>4.3289038018478436</v>
      </c>
      <c r="F541" s="56" t="e">
        <f t="shared" ca="1" si="122"/>
        <v>#N/A</v>
      </c>
      <c r="G541" s="56" t="e">
        <f t="shared" ca="1" si="114"/>
        <v>#N/A</v>
      </c>
      <c r="H541" s="116" t="e">
        <f t="shared" ca="1" si="115"/>
        <v>#N/A</v>
      </c>
      <c r="I541" s="57" t="e">
        <f t="shared" ca="1" si="116"/>
        <v>#N/A</v>
      </c>
      <c r="J541" s="131">
        <f t="shared" ca="1" si="123"/>
        <v>996</v>
      </c>
      <c r="K541" s="122" t="str">
        <f t="shared" ca="1" si="117"/>
        <v/>
      </c>
      <c r="L541" s="130" t="str">
        <f t="shared" ca="1" si="118"/>
        <v/>
      </c>
      <c r="M541" s="126">
        <f t="shared" ca="1" si="119"/>
        <v>995</v>
      </c>
      <c r="N541" s="58">
        <f t="shared" ca="1" si="110"/>
        <v>38300</v>
      </c>
      <c r="O541" s="160">
        <f t="shared" ca="1" si="110"/>
        <v>36508.081297159384</v>
      </c>
    </row>
    <row r="542" spans="1:15" x14ac:dyDescent="0.25">
      <c r="A542" s="55">
        <f t="shared" ca="1" si="120"/>
        <v>240</v>
      </c>
      <c r="B542" s="55">
        <f t="shared" ca="1" si="111"/>
        <v>26.1</v>
      </c>
      <c r="C542" s="55">
        <f t="shared" ca="1" si="112"/>
        <v>26.082225950461961</v>
      </c>
      <c r="D542" s="55" t="str">
        <f t="shared" ca="1" si="113"/>
        <v>26.100 || 38300.000</v>
      </c>
      <c r="E542" s="120">
        <f t="shared" ca="1" si="121"/>
        <v>4.3289038018478436</v>
      </c>
      <c r="F542" s="56" t="e">
        <f t="shared" ca="1" si="122"/>
        <v>#N/A</v>
      </c>
      <c r="G542" s="56" t="e">
        <f t="shared" ca="1" si="114"/>
        <v>#N/A</v>
      </c>
      <c r="H542" s="116" t="e">
        <f t="shared" ca="1" si="115"/>
        <v>#N/A</v>
      </c>
      <c r="I542" s="57" t="e">
        <f t="shared" ca="1" si="116"/>
        <v>#N/A</v>
      </c>
      <c r="J542" s="131">
        <f t="shared" ca="1" si="123"/>
        <v>996</v>
      </c>
      <c r="K542" s="122" t="str">
        <f t="shared" ca="1" si="117"/>
        <v/>
      </c>
      <c r="L542" s="130" t="str">
        <f t="shared" ca="1" si="118"/>
        <v/>
      </c>
      <c r="M542" s="126">
        <f t="shared" ca="1" si="119"/>
        <v>995</v>
      </c>
      <c r="N542" s="58">
        <f t="shared" ca="1" si="110"/>
        <v>38300</v>
      </c>
      <c r="O542" s="160">
        <f t="shared" ca="1" si="110"/>
        <v>36508.081297159384</v>
      </c>
    </row>
    <row r="543" spans="1:15" x14ac:dyDescent="0.25">
      <c r="A543" s="55">
        <f t="shared" ca="1" si="120"/>
        <v>240</v>
      </c>
      <c r="B543" s="55">
        <f t="shared" ca="1" si="111"/>
        <v>26.1</v>
      </c>
      <c r="C543" s="55">
        <f t="shared" ca="1" si="112"/>
        <v>26.082225950461961</v>
      </c>
      <c r="D543" s="55" t="str">
        <f t="shared" ca="1" si="113"/>
        <v>26.100 || 38300.000</v>
      </c>
      <c r="E543" s="120">
        <f t="shared" ca="1" si="121"/>
        <v>4.3289038018478436</v>
      </c>
      <c r="F543" s="56" t="e">
        <f t="shared" ca="1" si="122"/>
        <v>#N/A</v>
      </c>
      <c r="G543" s="56" t="e">
        <f t="shared" ca="1" si="114"/>
        <v>#N/A</v>
      </c>
      <c r="H543" s="116" t="e">
        <f t="shared" ca="1" si="115"/>
        <v>#N/A</v>
      </c>
      <c r="I543" s="57" t="e">
        <f t="shared" ca="1" si="116"/>
        <v>#N/A</v>
      </c>
      <c r="J543" s="131">
        <f t="shared" ca="1" si="123"/>
        <v>996</v>
      </c>
      <c r="K543" s="122" t="str">
        <f t="shared" ca="1" si="117"/>
        <v/>
      </c>
      <c r="L543" s="130" t="str">
        <f t="shared" ca="1" si="118"/>
        <v/>
      </c>
      <c r="M543" s="126">
        <f t="shared" ca="1" si="119"/>
        <v>995</v>
      </c>
      <c r="N543" s="58">
        <f t="shared" ca="1" si="110"/>
        <v>38300</v>
      </c>
      <c r="O543" s="160">
        <f t="shared" ca="1" si="110"/>
        <v>36508.081297159384</v>
      </c>
    </row>
    <row r="544" spans="1:15" x14ac:dyDescent="0.25">
      <c r="A544" s="55">
        <f t="shared" ca="1" si="120"/>
        <v>240</v>
      </c>
      <c r="B544" s="55">
        <f t="shared" ca="1" si="111"/>
        <v>26.1</v>
      </c>
      <c r="C544" s="55">
        <f t="shared" ca="1" si="112"/>
        <v>26.082225950461961</v>
      </c>
      <c r="D544" s="55" t="str">
        <f t="shared" ca="1" si="113"/>
        <v>26.100 || 38300.000</v>
      </c>
      <c r="E544" s="120">
        <f t="shared" ca="1" si="121"/>
        <v>4.3289038018478436</v>
      </c>
      <c r="F544" s="56" t="e">
        <f t="shared" ca="1" si="122"/>
        <v>#N/A</v>
      </c>
      <c r="G544" s="56" t="e">
        <f t="shared" ca="1" si="114"/>
        <v>#N/A</v>
      </c>
      <c r="H544" s="116" t="e">
        <f t="shared" ca="1" si="115"/>
        <v>#N/A</v>
      </c>
      <c r="I544" s="57" t="e">
        <f t="shared" ca="1" si="116"/>
        <v>#N/A</v>
      </c>
      <c r="J544" s="131">
        <f t="shared" ca="1" si="123"/>
        <v>996</v>
      </c>
      <c r="K544" s="122" t="str">
        <f t="shared" ca="1" si="117"/>
        <v/>
      </c>
      <c r="L544" s="130" t="str">
        <f t="shared" ca="1" si="118"/>
        <v/>
      </c>
      <c r="M544" s="126">
        <f t="shared" ca="1" si="119"/>
        <v>995</v>
      </c>
      <c r="N544" s="58">
        <f t="shared" ca="1" si="110"/>
        <v>38300</v>
      </c>
      <c r="O544" s="160">
        <f t="shared" ca="1" si="110"/>
        <v>36508.081297159384</v>
      </c>
    </row>
    <row r="545" spans="1:15" x14ac:dyDescent="0.25">
      <c r="A545" s="55">
        <f t="shared" ca="1" si="120"/>
        <v>240</v>
      </c>
      <c r="B545" s="55">
        <f t="shared" ca="1" si="111"/>
        <v>26.1</v>
      </c>
      <c r="C545" s="55">
        <f t="shared" ca="1" si="112"/>
        <v>26.083867560584569</v>
      </c>
      <c r="D545" s="55" t="str">
        <f t="shared" ca="1" si="113"/>
        <v>26.100 || 42200.000</v>
      </c>
      <c r="E545" s="120">
        <f t="shared" ca="1" si="121"/>
        <v>4.3354702423382747</v>
      </c>
      <c r="F545" s="56" t="e">
        <f t="shared" ca="1" si="122"/>
        <v>#N/A</v>
      </c>
      <c r="G545" s="56" t="e">
        <f t="shared" ca="1" si="114"/>
        <v>#N/A</v>
      </c>
      <c r="H545" s="116" t="e">
        <f t="shared" ca="1" si="115"/>
        <v>#N/A</v>
      </c>
      <c r="I545" s="57" t="e">
        <f t="shared" ca="1" si="116"/>
        <v>#N/A</v>
      </c>
      <c r="J545" s="131">
        <f t="shared" ca="1" si="123"/>
        <v>996</v>
      </c>
      <c r="K545" s="122" t="str">
        <f t="shared" ca="1" si="117"/>
        <v/>
      </c>
      <c r="L545" s="130" t="str">
        <f t="shared" ca="1" si="118"/>
        <v/>
      </c>
      <c r="M545" s="126">
        <f t="shared" ca="1" si="119"/>
        <v>995</v>
      </c>
      <c r="N545" s="58">
        <f t="shared" ca="1" si="110"/>
        <v>42199.999999999993</v>
      </c>
      <c r="O545" s="160">
        <f t="shared" ca="1" si="110"/>
        <v>40202.736225286942</v>
      </c>
    </row>
    <row r="546" spans="1:15" x14ac:dyDescent="0.25">
      <c r="A546" s="55">
        <f t="shared" ca="1" si="120"/>
        <v>240</v>
      </c>
      <c r="B546" s="55">
        <f t="shared" ca="1" si="111"/>
        <v>26.1</v>
      </c>
      <c r="C546" s="55">
        <f t="shared" ca="1" si="112"/>
        <v>26.083867560584569</v>
      </c>
      <c r="D546" s="55" t="str">
        <f t="shared" ca="1" si="113"/>
        <v>26.100 || 42200.000</v>
      </c>
      <c r="E546" s="120">
        <f t="shared" ca="1" si="121"/>
        <v>4.3354702423382747</v>
      </c>
      <c r="F546" s="56" t="e">
        <f t="shared" ca="1" si="122"/>
        <v>#N/A</v>
      </c>
      <c r="G546" s="56" t="e">
        <f t="shared" ca="1" si="114"/>
        <v>#N/A</v>
      </c>
      <c r="H546" s="116" t="e">
        <f t="shared" ca="1" si="115"/>
        <v>#N/A</v>
      </c>
      <c r="I546" s="57" t="e">
        <f t="shared" ca="1" si="116"/>
        <v>#N/A</v>
      </c>
      <c r="J546" s="131">
        <f t="shared" ca="1" si="123"/>
        <v>996</v>
      </c>
      <c r="K546" s="122" t="str">
        <f t="shared" ca="1" si="117"/>
        <v/>
      </c>
      <c r="L546" s="130" t="str">
        <f t="shared" ca="1" si="118"/>
        <v/>
      </c>
      <c r="M546" s="126">
        <f t="shared" ca="1" si="119"/>
        <v>995</v>
      </c>
      <c r="N546" s="58">
        <f t="shared" ca="1" si="110"/>
        <v>42199.999999999993</v>
      </c>
      <c r="O546" s="160">
        <f t="shared" ca="1" si="110"/>
        <v>40202.736225286942</v>
      </c>
    </row>
    <row r="547" spans="1:15" x14ac:dyDescent="0.25">
      <c r="A547" s="55">
        <f t="shared" ca="1" si="120"/>
        <v>240</v>
      </c>
      <c r="B547" s="55">
        <f t="shared" ca="1" si="111"/>
        <v>26.1</v>
      </c>
      <c r="C547" s="55">
        <f t="shared" ca="1" si="112"/>
        <v>26.083867560584569</v>
      </c>
      <c r="D547" s="55" t="str">
        <f t="shared" ca="1" si="113"/>
        <v>26.100 || 42200.000</v>
      </c>
      <c r="E547" s="120">
        <f t="shared" ca="1" si="121"/>
        <v>4.3354702423382747</v>
      </c>
      <c r="F547" s="56" t="e">
        <f t="shared" ca="1" si="122"/>
        <v>#N/A</v>
      </c>
      <c r="G547" s="56" t="e">
        <f t="shared" ca="1" si="114"/>
        <v>#N/A</v>
      </c>
      <c r="H547" s="116" t="e">
        <f t="shared" ca="1" si="115"/>
        <v>#N/A</v>
      </c>
      <c r="I547" s="57" t="e">
        <f t="shared" ca="1" si="116"/>
        <v>#N/A</v>
      </c>
      <c r="J547" s="131">
        <f t="shared" ca="1" si="123"/>
        <v>996</v>
      </c>
      <c r="K547" s="122" t="str">
        <f t="shared" ca="1" si="117"/>
        <v/>
      </c>
      <c r="L547" s="130" t="str">
        <f t="shared" ca="1" si="118"/>
        <v/>
      </c>
      <c r="M547" s="126">
        <f t="shared" ca="1" si="119"/>
        <v>995</v>
      </c>
      <c r="N547" s="58">
        <f t="shared" ca="1" si="110"/>
        <v>42199.999999999993</v>
      </c>
      <c r="O547" s="160">
        <f t="shared" ca="1" si="110"/>
        <v>40202.736225286942</v>
      </c>
    </row>
    <row r="548" spans="1:15" x14ac:dyDescent="0.25">
      <c r="A548" s="55">
        <f t="shared" ca="1" si="120"/>
        <v>240</v>
      </c>
      <c r="B548" s="55">
        <f t="shared" ca="1" si="111"/>
        <v>26.1</v>
      </c>
      <c r="C548" s="55">
        <f t="shared" ca="1" si="112"/>
        <v>26.083867560584569</v>
      </c>
      <c r="D548" s="55" t="str">
        <f t="shared" ca="1" si="113"/>
        <v>26.100 || 42200.000</v>
      </c>
      <c r="E548" s="120">
        <f t="shared" ca="1" si="121"/>
        <v>4.3354702423382747</v>
      </c>
      <c r="F548" s="56" t="e">
        <f t="shared" ca="1" si="122"/>
        <v>#N/A</v>
      </c>
      <c r="G548" s="56" t="e">
        <f t="shared" ca="1" si="114"/>
        <v>#N/A</v>
      </c>
      <c r="H548" s="116" t="e">
        <f t="shared" ca="1" si="115"/>
        <v>#N/A</v>
      </c>
      <c r="I548" s="57" t="e">
        <f t="shared" ca="1" si="116"/>
        <v>#N/A</v>
      </c>
      <c r="J548" s="131">
        <f t="shared" ca="1" si="123"/>
        <v>996</v>
      </c>
      <c r="K548" s="122" t="str">
        <f t="shared" ca="1" si="117"/>
        <v/>
      </c>
      <c r="L548" s="130" t="str">
        <f t="shared" ca="1" si="118"/>
        <v/>
      </c>
      <c r="M548" s="126">
        <f t="shared" ca="1" si="119"/>
        <v>995</v>
      </c>
      <c r="N548" s="58">
        <f t="shared" ca="1" si="110"/>
        <v>42199.999999999993</v>
      </c>
      <c r="O548" s="160">
        <f t="shared" ca="1" si="110"/>
        <v>40202.736225286942</v>
      </c>
    </row>
    <row r="549" spans="1:15" x14ac:dyDescent="0.25">
      <c r="A549" s="55">
        <f t="shared" ca="1" si="120"/>
        <v>240</v>
      </c>
      <c r="B549" s="55">
        <f t="shared" ca="1" si="111"/>
        <v>26.1</v>
      </c>
      <c r="C549" s="55">
        <f t="shared" ca="1" si="112"/>
        <v>26.085327003560497</v>
      </c>
      <c r="D549" s="55" t="str">
        <f t="shared" ca="1" si="113"/>
        <v>26.100 || 46400.000</v>
      </c>
      <c r="E549" s="120">
        <f t="shared" ca="1" si="121"/>
        <v>4.3413080142419886</v>
      </c>
      <c r="F549" s="56" t="e">
        <f t="shared" ca="1" si="122"/>
        <v>#N/A</v>
      </c>
      <c r="G549" s="56" t="e">
        <f t="shared" ca="1" si="114"/>
        <v>#N/A</v>
      </c>
      <c r="H549" s="116" t="e">
        <f t="shared" ca="1" si="115"/>
        <v>#N/A</v>
      </c>
      <c r="I549" s="57" t="e">
        <f t="shared" ca="1" si="116"/>
        <v>#N/A</v>
      </c>
      <c r="J549" s="131">
        <f t="shared" ca="1" si="123"/>
        <v>996</v>
      </c>
      <c r="K549" s="122" t="str">
        <f t="shared" ca="1" si="117"/>
        <v/>
      </c>
      <c r="L549" s="130" t="str">
        <f t="shared" ca="1" si="118"/>
        <v/>
      </c>
      <c r="M549" s="126">
        <f t="shared" ca="1" si="119"/>
        <v>995</v>
      </c>
      <c r="N549" s="58">
        <f t="shared" ca="1" si="110"/>
        <v>46400.000000000007</v>
      </c>
      <c r="O549" s="160">
        <f t="shared" ca="1" si="110"/>
        <v>44250.197739671188</v>
      </c>
    </row>
    <row r="550" spans="1:15" x14ac:dyDescent="0.25">
      <c r="A550" s="55">
        <f t="shared" ca="1" si="120"/>
        <v>240</v>
      </c>
      <c r="B550" s="55">
        <f t="shared" ca="1" si="111"/>
        <v>26.1</v>
      </c>
      <c r="C550" s="55">
        <f t="shared" ca="1" si="112"/>
        <v>26.085327003560497</v>
      </c>
      <c r="D550" s="55" t="str">
        <f t="shared" ca="1" si="113"/>
        <v>26.100 || 46400.000</v>
      </c>
      <c r="E550" s="120">
        <f t="shared" ca="1" si="121"/>
        <v>4.3413080142419886</v>
      </c>
      <c r="F550" s="56" t="e">
        <f t="shared" ca="1" si="122"/>
        <v>#N/A</v>
      </c>
      <c r="G550" s="56" t="e">
        <f t="shared" ca="1" si="114"/>
        <v>#N/A</v>
      </c>
      <c r="H550" s="116" t="e">
        <f t="shared" ca="1" si="115"/>
        <v>#N/A</v>
      </c>
      <c r="I550" s="57" t="e">
        <f t="shared" ca="1" si="116"/>
        <v>#N/A</v>
      </c>
      <c r="J550" s="131">
        <f t="shared" ca="1" si="123"/>
        <v>996</v>
      </c>
      <c r="K550" s="122" t="str">
        <f t="shared" ca="1" si="117"/>
        <v/>
      </c>
      <c r="L550" s="130" t="str">
        <f t="shared" ca="1" si="118"/>
        <v/>
      </c>
      <c r="M550" s="126">
        <f t="shared" ca="1" si="119"/>
        <v>995</v>
      </c>
      <c r="N550" s="58">
        <f t="shared" ca="1" si="110"/>
        <v>46400.000000000007</v>
      </c>
      <c r="O550" s="160">
        <f t="shared" ca="1" si="110"/>
        <v>44250.197739671188</v>
      </c>
    </row>
    <row r="551" spans="1:15" x14ac:dyDescent="0.25">
      <c r="A551" s="55">
        <f t="shared" ca="1" si="120"/>
        <v>240</v>
      </c>
      <c r="B551" s="55">
        <f t="shared" ca="1" si="111"/>
        <v>26.1</v>
      </c>
      <c r="C551" s="55">
        <f t="shared" ca="1" si="112"/>
        <v>26.085327003560497</v>
      </c>
      <c r="D551" s="55" t="str">
        <f t="shared" ca="1" si="113"/>
        <v>26.100 || 46400.000</v>
      </c>
      <c r="E551" s="120">
        <f t="shared" ca="1" si="121"/>
        <v>4.3413080142419886</v>
      </c>
      <c r="F551" s="56" t="e">
        <f t="shared" ca="1" si="122"/>
        <v>#N/A</v>
      </c>
      <c r="G551" s="56" t="e">
        <f t="shared" ca="1" si="114"/>
        <v>#N/A</v>
      </c>
      <c r="H551" s="116" t="e">
        <f t="shared" ca="1" si="115"/>
        <v>#N/A</v>
      </c>
      <c r="I551" s="57" t="e">
        <f t="shared" ca="1" si="116"/>
        <v>#N/A</v>
      </c>
      <c r="J551" s="131">
        <f t="shared" ca="1" si="123"/>
        <v>996</v>
      </c>
      <c r="K551" s="122" t="str">
        <f t="shared" ca="1" si="117"/>
        <v/>
      </c>
      <c r="L551" s="130" t="str">
        <f t="shared" ca="1" si="118"/>
        <v/>
      </c>
      <c r="M551" s="126">
        <f t="shared" ca="1" si="119"/>
        <v>995</v>
      </c>
      <c r="N551" s="58">
        <f t="shared" ca="1" si="110"/>
        <v>46400.000000000007</v>
      </c>
      <c r="O551" s="160">
        <f t="shared" ca="1" si="110"/>
        <v>44250.197739671188</v>
      </c>
    </row>
    <row r="552" spans="1:15" x14ac:dyDescent="0.25">
      <c r="A552" s="55">
        <f t="shared" ca="1" si="120"/>
        <v>240</v>
      </c>
      <c r="B552" s="55">
        <f t="shared" ca="1" si="111"/>
        <v>26.1</v>
      </c>
      <c r="C552" s="55">
        <f t="shared" ca="1" si="112"/>
        <v>26.085327003560497</v>
      </c>
      <c r="D552" s="55" t="str">
        <f t="shared" ca="1" si="113"/>
        <v>26.100 || 46400.000</v>
      </c>
      <c r="E552" s="120">
        <f t="shared" ca="1" si="121"/>
        <v>4.3413080142419886</v>
      </c>
      <c r="F552" s="56" t="e">
        <f t="shared" ca="1" si="122"/>
        <v>#N/A</v>
      </c>
      <c r="G552" s="56" t="e">
        <f t="shared" ca="1" si="114"/>
        <v>#N/A</v>
      </c>
      <c r="H552" s="116" t="e">
        <f t="shared" ca="1" si="115"/>
        <v>#N/A</v>
      </c>
      <c r="I552" s="57" t="e">
        <f t="shared" ca="1" si="116"/>
        <v>#N/A</v>
      </c>
      <c r="J552" s="131">
        <f t="shared" ca="1" si="123"/>
        <v>996</v>
      </c>
      <c r="K552" s="122" t="str">
        <f t="shared" ca="1" si="117"/>
        <v/>
      </c>
      <c r="L552" s="130" t="str">
        <f t="shared" ca="1" si="118"/>
        <v/>
      </c>
      <c r="M552" s="126">
        <f t="shared" ca="1" si="119"/>
        <v>995</v>
      </c>
      <c r="N552" s="58">
        <f t="shared" ref="N552:O615" ca="1" si="124">N456*10</f>
        <v>46400.000000000007</v>
      </c>
      <c r="O552" s="160">
        <f t="shared" ca="1" si="124"/>
        <v>44250.197739671188</v>
      </c>
    </row>
    <row r="553" spans="1:15" x14ac:dyDescent="0.25">
      <c r="A553" s="55">
        <f t="shared" ca="1" si="120"/>
        <v>240</v>
      </c>
      <c r="B553" s="55">
        <f t="shared" ca="1" si="111"/>
        <v>26.1</v>
      </c>
      <c r="C553" s="55">
        <f t="shared" ca="1" si="112"/>
        <v>26.086675885702217</v>
      </c>
      <c r="D553" s="55" t="str">
        <f t="shared" ca="1" si="113"/>
        <v>26.100 || 51100.000</v>
      </c>
      <c r="E553" s="120">
        <f t="shared" ca="1" si="121"/>
        <v>4.3467035428088678</v>
      </c>
      <c r="F553" s="56" t="e">
        <f t="shared" ca="1" si="122"/>
        <v>#N/A</v>
      </c>
      <c r="G553" s="56" t="e">
        <f t="shared" ca="1" si="114"/>
        <v>#N/A</v>
      </c>
      <c r="H553" s="116" t="e">
        <f t="shared" ca="1" si="115"/>
        <v>#N/A</v>
      </c>
      <c r="I553" s="57" t="e">
        <f t="shared" ca="1" si="116"/>
        <v>#N/A</v>
      </c>
      <c r="J553" s="131">
        <f t="shared" ca="1" si="123"/>
        <v>996</v>
      </c>
      <c r="K553" s="122" t="str">
        <f t="shared" ca="1" si="117"/>
        <v/>
      </c>
      <c r="L553" s="130" t="str">
        <f t="shared" ca="1" si="118"/>
        <v/>
      </c>
      <c r="M553" s="126">
        <f t="shared" ca="1" si="119"/>
        <v>995</v>
      </c>
      <c r="N553" s="58">
        <f t="shared" ca="1" si="124"/>
        <v>51100</v>
      </c>
      <c r="O553" s="160">
        <f t="shared" ca="1" si="124"/>
        <v>48693.326031397773</v>
      </c>
    </row>
    <row r="554" spans="1:15" x14ac:dyDescent="0.25">
      <c r="A554" s="55">
        <f t="shared" ca="1" si="120"/>
        <v>240</v>
      </c>
      <c r="B554" s="55">
        <f t="shared" ca="1" si="111"/>
        <v>26.1</v>
      </c>
      <c r="C554" s="55">
        <f t="shared" ca="1" si="112"/>
        <v>26.086675885702217</v>
      </c>
      <c r="D554" s="55" t="str">
        <f t="shared" ca="1" si="113"/>
        <v>26.100 || 51100.000</v>
      </c>
      <c r="E554" s="120">
        <f t="shared" ca="1" si="121"/>
        <v>4.3467035428088678</v>
      </c>
      <c r="F554" s="56" t="e">
        <f t="shared" ca="1" si="122"/>
        <v>#N/A</v>
      </c>
      <c r="G554" s="56" t="e">
        <f t="shared" ca="1" si="114"/>
        <v>#N/A</v>
      </c>
      <c r="H554" s="116" t="e">
        <f t="shared" ca="1" si="115"/>
        <v>#N/A</v>
      </c>
      <c r="I554" s="57" t="e">
        <f t="shared" ca="1" si="116"/>
        <v>#N/A</v>
      </c>
      <c r="J554" s="131">
        <f t="shared" ca="1" si="123"/>
        <v>996</v>
      </c>
      <c r="K554" s="122" t="str">
        <f t="shared" ca="1" si="117"/>
        <v/>
      </c>
      <c r="L554" s="130" t="str">
        <f t="shared" ca="1" si="118"/>
        <v/>
      </c>
      <c r="M554" s="126">
        <f t="shared" ca="1" si="119"/>
        <v>995</v>
      </c>
      <c r="N554" s="58">
        <f t="shared" ca="1" si="124"/>
        <v>51100</v>
      </c>
      <c r="O554" s="160">
        <f t="shared" ca="1" si="124"/>
        <v>48693.326031397773</v>
      </c>
    </row>
    <row r="555" spans="1:15" x14ac:dyDescent="0.25">
      <c r="A555" s="55">
        <f t="shared" ca="1" si="120"/>
        <v>240</v>
      </c>
      <c r="B555" s="55">
        <f t="shared" ca="1" si="111"/>
        <v>26.1</v>
      </c>
      <c r="C555" s="55">
        <f t="shared" ca="1" si="112"/>
        <v>26.086675885702217</v>
      </c>
      <c r="D555" s="55" t="str">
        <f t="shared" ca="1" si="113"/>
        <v>26.100 || 51100.000</v>
      </c>
      <c r="E555" s="120">
        <f t="shared" ca="1" si="121"/>
        <v>4.3467035428088678</v>
      </c>
      <c r="F555" s="56" t="e">
        <f t="shared" ca="1" si="122"/>
        <v>#N/A</v>
      </c>
      <c r="G555" s="56" t="e">
        <f t="shared" ca="1" si="114"/>
        <v>#N/A</v>
      </c>
      <c r="H555" s="116" t="e">
        <f t="shared" ca="1" si="115"/>
        <v>#N/A</v>
      </c>
      <c r="I555" s="57" t="e">
        <f t="shared" ca="1" si="116"/>
        <v>#N/A</v>
      </c>
      <c r="J555" s="131">
        <f t="shared" ca="1" si="123"/>
        <v>996</v>
      </c>
      <c r="K555" s="122" t="str">
        <f t="shared" ca="1" si="117"/>
        <v/>
      </c>
      <c r="L555" s="130" t="str">
        <f t="shared" ca="1" si="118"/>
        <v/>
      </c>
      <c r="M555" s="126">
        <f t="shared" ca="1" si="119"/>
        <v>995</v>
      </c>
      <c r="N555" s="58">
        <f t="shared" ca="1" si="124"/>
        <v>51100</v>
      </c>
      <c r="O555" s="160">
        <f t="shared" ca="1" si="124"/>
        <v>48693.326031397773</v>
      </c>
    </row>
    <row r="556" spans="1:15" x14ac:dyDescent="0.25">
      <c r="A556" s="55">
        <f t="shared" ca="1" si="120"/>
        <v>240</v>
      </c>
      <c r="B556" s="55">
        <f t="shared" ca="1" si="111"/>
        <v>26.1</v>
      </c>
      <c r="C556" s="55">
        <f t="shared" ca="1" si="112"/>
        <v>26.086675885702217</v>
      </c>
      <c r="D556" s="55" t="str">
        <f t="shared" ca="1" si="113"/>
        <v>26.100 || 51100.000</v>
      </c>
      <c r="E556" s="120">
        <f t="shared" ca="1" si="121"/>
        <v>4.3467035428088678</v>
      </c>
      <c r="F556" s="56" t="e">
        <f t="shared" ca="1" si="122"/>
        <v>#N/A</v>
      </c>
      <c r="G556" s="56" t="e">
        <f t="shared" ca="1" si="114"/>
        <v>#N/A</v>
      </c>
      <c r="H556" s="116" t="e">
        <f t="shared" ca="1" si="115"/>
        <v>#N/A</v>
      </c>
      <c r="I556" s="57" t="e">
        <f t="shared" ca="1" si="116"/>
        <v>#N/A</v>
      </c>
      <c r="J556" s="131">
        <f t="shared" ca="1" si="123"/>
        <v>996</v>
      </c>
      <c r="K556" s="122" t="str">
        <f t="shared" ca="1" si="117"/>
        <v/>
      </c>
      <c r="L556" s="130" t="str">
        <f t="shared" ca="1" si="118"/>
        <v/>
      </c>
      <c r="M556" s="126">
        <f t="shared" ca="1" si="119"/>
        <v>995</v>
      </c>
      <c r="N556" s="58">
        <f t="shared" ca="1" si="124"/>
        <v>51100</v>
      </c>
      <c r="O556" s="160">
        <f t="shared" ca="1" si="124"/>
        <v>48693.326031397773</v>
      </c>
    </row>
    <row r="557" spans="1:15" x14ac:dyDescent="0.25">
      <c r="A557" s="55">
        <f t="shared" ca="1" si="120"/>
        <v>240</v>
      </c>
      <c r="B557" s="55">
        <f t="shared" ca="1" si="111"/>
        <v>26.1</v>
      </c>
      <c r="C557" s="55">
        <f t="shared" ca="1" si="112"/>
        <v>26.087884452238374</v>
      </c>
      <c r="D557" s="55" t="str">
        <f t="shared" ca="1" si="113"/>
        <v>26.100 || 56200.000</v>
      </c>
      <c r="E557" s="120">
        <f t="shared" ca="1" si="121"/>
        <v>4.3515378089534948</v>
      </c>
      <c r="F557" s="56" t="e">
        <f t="shared" ca="1" si="122"/>
        <v>#N/A</v>
      </c>
      <c r="G557" s="56" t="e">
        <f t="shared" ca="1" si="114"/>
        <v>#N/A</v>
      </c>
      <c r="H557" s="116" t="e">
        <f t="shared" ca="1" si="115"/>
        <v>#N/A</v>
      </c>
      <c r="I557" s="57" t="e">
        <f t="shared" ca="1" si="116"/>
        <v>#N/A</v>
      </c>
      <c r="J557" s="131">
        <f t="shared" ca="1" si="123"/>
        <v>996</v>
      </c>
      <c r="K557" s="122" t="str">
        <f t="shared" ca="1" si="117"/>
        <v/>
      </c>
      <c r="L557" s="130" t="str">
        <f t="shared" ca="1" si="118"/>
        <v/>
      </c>
      <c r="M557" s="126">
        <f t="shared" ca="1" si="119"/>
        <v>995</v>
      </c>
      <c r="N557" s="58">
        <f t="shared" ca="1" si="124"/>
        <v>56200.000000000007</v>
      </c>
      <c r="O557" s="160">
        <f t="shared" ca="1" si="124"/>
        <v>53589.364616498293</v>
      </c>
    </row>
    <row r="558" spans="1:15" x14ac:dyDescent="0.25">
      <c r="A558" s="55">
        <f t="shared" ca="1" si="120"/>
        <v>240</v>
      </c>
      <c r="B558" s="55">
        <f t="shared" ca="1" si="111"/>
        <v>26.1</v>
      </c>
      <c r="C558" s="55">
        <f t="shared" ca="1" si="112"/>
        <v>26.087884452238374</v>
      </c>
      <c r="D558" s="55" t="str">
        <f t="shared" ca="1" si="113"/>
        <v>26.100 || 56200.000</v>
      </c>
      <c r="E558" s="120">
        <f t="shared" ca="1" si="121"/>
        <v>4.3515378089534948</v>
      </c>
      <c r="F558" s="56" t="e">
        <f t="shared" ca="1" si="122"/>
        <v>#N/A</v>
      </c>
      <c r="G558" s="56" t="e">
        <f t="shared" ca="1" si="114"/>
        <v>#N/A</v>
      </c>
      <c r="H558" s="116" t="e">
        <f t="shared" ca="1" si="115"/>
        <v>#N/A</v>
      </c>
      <c r="I558" s="57" t="e">
        <f t="shared" ca="1" si="116"/>
        <v>#N/A</v>
      </c>
      <c r="J558" s="131">
        <f t="shared" ca="1" si="123"/>
        <v>996</v>
      </c>
      <c r="K558" s="122" t="str">
        <f t="shared" ca="1" si="117"/>
        <v/>
      </c>
      <c r="L558" s="130" t="str">
        <f t="shared" ca="1" si="118"/>
        <v/>
      </c>
      <c r="M558" s="126">
        <f t="shared" ca="1" si="119"/>
        <v>995</v>
      </c>
      <c r="N558" s="58">
        <f t="shared" ca="1" si="124"/>
        <v>56200.000000000007</v>
      </c>
      <c r="O558" s="160">
        <f t="shared" ca="1" si="124"/>
        <v>53589.364616498293</v>
      </c>
    </row>
    <row r="559" spans="1:15" x14ac:dyDescent="0.25">
      <c r="A559" s="55">
        <f t="shared" ca="1" si="120"/>
        <v>240</v>
      </c>
      <c r="B559" s="55">
        <f t="shared" ca="1" si="111"/>
        <v>26.1</v>
      </c>
      <c r="C559" s="55">
        <f t="shared" ca="1" si="112"/>
        <v>26.087884452238374</v>
      </c>
      <c r="D559" s="55" t="str">
        <f t="shared" ca="1" si="113"/>
        <v>26.100 || 56200.000</v>
      </c>
      <c r="E559" s="120">
        <f t="shared" ca="1" si="121"/>
        <v>4.3515378089534948</v>
      </c>
      <c r="F559" s="56" t="e">
        <f t="shared" ca="1" si="122"/>
        <v>#N/A</v>
      </c>
      <c r="G559" s="56" t="e">
        <f t="shared" ca="1" si="114"/>
        <v>#N/A</v>
      </c>
      <c r="H559" s="116" t="e">
        <f t="shared" ca="1" si="115"/>
        <v>#N/A</v>
      </c>
      <c r="I559" s="57" t="e">
        <f t="shared" ca="1" si="116"/>
        <v>#N/A</v>
      </c>
      <c r="J559" s="131">
        <f t="shared" ca="1" si="123"/>
        <v>996</v>
      </c>
      <c r="K559" s="122" t="str">
        <f t="shared" ca="1" si="117"/>
        <v/>
      </c>
      <c r="L559" s="130" t="str">
        <f t="shared" ca="1" si="118"/>
        <v/>
      </c>
      <c r="M559" s="126">
        <f t="shared" ca="1" si="119"/>
        <v>995</v>
      </c>
      <c r="N559" s="58">
        <f t="shared" ca="1" si="124"/>
        <v>56200.000000000007</v>
      </c>
      <c r="O559" s="160">
        <f t="shared" ca="1" si="124"/>
        <v>53589.364616498293</v>
      </c>
    </row>
    <row r="560" spans="1:15" x14ac:dyDescent="0.25">
      <c r="A560" s="55">
        <f t="shared" ca="1" si="120"/>
        <v>240</v>
      </c>
      <c r="B560" s="55">
        <f t="shared" ca="1" si="111"/>
        <v>26.1</v>
      </c>
      <c r="C560" s="55">
        <f t="shared" ca="1" si="112"/>
        <v>26.087884452238374</v>
      </c>
      <c r="D560" s="55" t="str">
        <f t="shared" ca="1" si="113"/>
        <v>26.100 || 56200.000</v>
      </c>
      <c r="E560" s="120">
        <f t="shared" ca="1" si="121"/>
        <v>4.3515378089534948</v>
      </c>
      <c r="F560" s="56" t="e">
        <f t="shared" ca="1" si="122"/>
        <v>#N/A</v>
      </c>
      <c r="G560" s="56" t="e">
        <f t="shared" ca="1" si="114"/>
        <v>#N/A</v>
      </c>
      <c r="H560" s="116" t="e">
        <f t="shared" ca="1" si="115"/>
        <v>#N/A</v>
      </c>
      <c r="I560" s="57" t="e">
        <f t="shared" ca="1" si="116"/>
        <v>#N/A</v>
      </c>
      <c r="J560" s="131">
        <f t="shared" ca="1" si="123"/>
        <v>996</v>
      </c>
      <c r="K560" s="122" t="str">
        <f t="shared" ca="1" si="117"/>
        <v/>
      </c>
      <c r="L560" s="130" t="str">
        <f t="shared" ca="1" si="118"/>
        <v/>
      </c>
      <c r="M560" s="126">
        <f t="shared" ca="1" si="119"/>
        <v>995</v>
      </c>
      <c r="N560" s="58">
        <f t="shared" ca="1" si="124"/>
        <v>56200.000000000007</v>
      </c>
      <c r="O560" s="160">
        <f t="shared" ca="1" si="124"/>
        <v>53589.364616498293</v>
      </c>
    </row>
    <row r="561" spans="1:15" x14ac:dyDescent="0.25">
      <c r="A561" s="55">
        <f t="shared" ca="1" si="120"/>
        <v>240</v>
      </c>
      <c r="B561" s="55">
        <f t="shared" ca="1" si="111"/>
        <v>26.1</v>
      </c>
      <c r="C561" s="55">
        <f t="shared" ca="1" si="112"/>
        <v>26.088999630204388</v>
      </c>
      <c r="D561" s="55" t="str">
        <f t="shared" ca="1" si="113"/>
        <v>26.100 || 61900.000</v>
      </c>
      <c r="E561" s="120">
        <f t="shared" ca="1" si="121"/>
        <v>4.3559985208175505</v>
      </c>
      <c r="F561" s="56" t="e">
        <f t="shared" ca="1" si="122"/>
        <v>#N/A</v>
      </c>
      <c r="G561" s="56" t="e">
        <f t="shared" ca="1" si="114"/>
        <v>#N/A</v>
      </c>
      <c r="H561" s="116" t="e">
        <f t="shared" ca="1" si="115"/>
        <v>#N/A</v>
      </c>
      <c r="I561" s="57" t="e">
        <f t="shared" ca="1" si="116"/>
        <v>#N/A</v>
      </c>
      <c r="J561" s="131">
        <f t="shared" ca="1" si="123"/>
        <v>996</v>
      </c>
      <c r="K561" s="122" t="str">
        <f t="shared" ca="1" si="117"/>
        <v/>
      </c>
      <c r="L561" s="130" t="str">
        <f t="shared" ca="1" si="118"/>
        <v/>
      </c>
      <c r="M561" s="126">
        <f t="shared" ca="1" si="119"/>
        <v>995</v>
      </c>
      <c r="N561" s="58">
        <f t="shared" ca="1" si="124"/>
        <v>61899.999999999993</v>
      </c>
      <c r="O561" s="160">
        <f t="shared" ca="1" si="124"/>
        <v>58981.183440144698</v>
      </c>
    </row>
    <row r="562" spans="1:15" x14ac:dyDescent="0.25">
      <c r="A562" s="55">
        <f t="shared" ca="1" si="120"/>
        <v>240</v>
      </c>
      <c r="B562" s="55">
        <f t="shared" ca="1" si="111"/>
        <v>26.1</v>
      </c>
      <c r="C562" s="55">
        <f t="shared" ca="1" si="112"/>
        <v>26.088999630204388</v>
      </c>
      <c r="D562" s="55" t="str">
        <f t="shared" ca="1" si="113"/>
        <v>26.100 || 61900.000</v>
      </c>
      <c r="E562" s="120">
        <f t="shared" ca="1" si="121"/>
        <v>4.3559985208175505</v>
      </c>
      <c r="F562" s="56" t="e">
        <f t="shared" ca="1" si="122"/>
        <v>#N/A</v>
      </c>
      <c r="G562" s="56" t="e">
        <f t="shared" ca="1" si="114"/>
        <v>#N/A</v>
      </c>
      <c r="H562" s="116" t="e">
        <f t="shared" ca="1" si="115"/>
        <v>#N/A</v>
      </c>
      <c r="I562" s="57" t="e">
        <f t="shared" ca="1" si="116"/>
        <v>#N/A</v>
      </c>
      <c r="J562" s="131">
        <f t="shared" ca="1" si="123"/>
        <v>996</v>
      </c>
      <c r="K562" s="122" t="str">
        <f t="shared" ca="1" si="117"/>
        <v/>
      </c>
      <c r="L562" s="130" t="str">
        <f t="shared" ca="1" si="118"/>
        <v/>
      </c>
      <c r="M562" s="126">
        <f t="shared" ca="1" si="119"/>
        <v>995</v>
      </c>
      <c r="N562" s="58">
        <f t="shared" ca="1" si="124"/>
        <v>61899.999999999993</v>
      </c>
      <c r="O562" s="160">
        <f t="shared" ca="1" si="124"/>
        <v>58981.183440144698</v>
      </c>
    </row>
    <row r="563" spans="1:15" x14ac:dyDescent="0.25">
      <c r="A563" s="55">
        <f t="shared" ca="1" si="120"/>
        <v>240</v>
      </c>
      <c r="B563" s="55">
        <f t="shared" ca="1" si="111"/>
        <v>26.1</v>
      </c>
      <c r="C563" s="55">
        <f t="shared" ca="1" si="112"/>
        <v>26.088999630204388</v>
      </c>
      <c r="D563" s="55" t="str">
        <f t="shared" ca="1" si="113"/>
        <v>26.100 || 61900.000</v>
      </c>
      <c r="E563" s="120">
        <f t="shared" ca="1" si="121"/>
        <v>4.3559985208175505</v>
      </c>
      <c r="F563" s="56" t="e">
        <f t="shared" ca="1" si="122"/>
        <v>#N/A</v>
      </c>
      <c r="G563" s="56" t="e">
        <f t="shared" ca="1" si="114"/>
        <v>#N/A</v>
      </c>
      <c r="H563" s="116" t="e">
        <f t="shared" ca="1" si="115"/>
        <v>#N/A</v>
      </c>
      <c r="I563" s="57" t="e">
        <f t="shared" ca="1" si="116"/>
        <v>#N/A</v>
      </c>
      <c r="J563" s="131">
        <f t="shared" ca="1" si="123"/>
        <v>996</v>
      </c>
      <c r="K563" s="122" t="str">
        <f t="shared" ca="1" si="117"/>
        <v/>
      </c>
      <c r="L563" s="130" t="str">
        <f t="shared" ca="1" si="118"/>
        <v/>
      </c>
      <c r="M563" s="126">
        <f t="shared" ca="1" si="119"/>
        <v>995</v>
      </c>
      <c r="N563" s="58">
        <f t="shared" ca="1" si="124"/>
        <v>61899.999999999993</v>
      </c>
      <c r="O563" s="160">
        <f t="shared" ca="1" si="124"/>
        <v>58981.183440144698</v>
      </c>
    </row>
    <row r="564" spans="1:15" x14ac:dyDescent="0.25">
      <c r="A564" s="55">
        <f t="shared" ca="1" si="120"/>
        <v>240</v>
      </c>
      <c r="B564" s="55">
        <f t="shared" ca="1" si="111"/>
        <v>26.1</v>
      </c>
      <c r="C564" s="55">
        <f t="shared" ca="1" si="112"/>
        <v>26.088999630204388</v>
      </c>
      <c r="D564" s="55" t="str">
        <f t="shared" ca="1" si="113"/>
        <v>26.100 || 61900.000</v>
      </c>
      <c r="E564" s="120">
        <f t="shared" ca="1" si="121"/>
        <v>4.3559985208175505</v>
      </c>
      <c r="F564" s="56" t="e">
        <f t="shared" ca="1" si="122"/>
        <v>#N/A</v>
      </c>
      <c r="G564" s="56" t="e">
        <f t="shared" ca="1" si="114"/>
        <v>#N/A</v>
      </c>
      <c r="H564" s="116" t="e">
        <f t="shared" ca="1" si="115"/>
        <v>#N/A</v>
      </c>
      <c r="I564" s="57" t="e">
        <f t="shared" ca="1" si="116"/>
        <v>#N/A</v>
      </c>
      <c r="J564" s="131">
        <f t="shared" ca="1" si="123"/>
        <v>996</v>
      </c>
      <c r="K564" s="122" t="str">
        <f t="shared" ca="1" si="117"/>
        <v/>
      </c>
      <c r="L564" s="130" t="str">
        <f t="shared" ca="1" si="118"/>
        <v/>
      </c>
      <c r="M564" s="126">
        <f t="shared" ca="1" si="119"/>
        <v>995</v>
      </c>
      <c r="N564" s="58">
        <f t="shared" ca="1" si="124"/>
        <v>61899.999999999993</v>
      </c>
      <c r="O564" s="160">
        <f t="shared" ca="1" si="124"/>
        <v>58981.183440144698</v>
      </c>
    </row>
    <row r="565" spans="1:15" x14ac:dyDescent="0.25">
      <c r="A565" s="55">
        <f t="shared" ca="1" si="120"/>
        <v>240</v>
      </c>
      <c r="B565" s="55">
        <f t="shared" ca="1" si="111"/>
        <v>26.1</v>
      </c>
      <c r="C565" s="55">
        <f t="shared" ca="1" si="112"/>
        <v>26.090000748611768</v>
      </c>
      <c r="D565" s="55" t="str">
        <f t="shared" ca="1" si="113"/>
        <v>26.100 || 68100.000</v>
      </c>
      <c r="E565" s="120">
        <f t="shared" ca="1" si="121"/>
        <v>4.360002994447072</v>
      </c>
      <c r="F565" s="56" t="e">
        <f t="shared" ca="1" si="122"/>
        <v>#N/A</v>
      </c>
      <c r="G565" s="56" t="e">
        <f t="shared" ca="1" si="114"/>
        <v>#N/A</v>
      </c>
      <c r="H565" s="116" t="e">
        <f t="shared" ca="1" si="115"/>
        <v>#N/A</v>
      </c>
      <c r="I565" s="57" t="e">
        <f t="shared" ca="1" si="116"/>
        <v>#N/A</v>
      </c>
      <c r="J565" s="131">
        <f t="shared" ca="1" si="123"/>
        <v>996</v>
      </c>
      <c r="K565" s="122" t="str">
        <f t="shared" ca="1" si="117"/>
        <v/>
      </c>
      <c r="L565" s="130" t="str">
        <f t="shared" ca="1" si="118"/>
        <v/>
      </c>
      <c r="M565" s="126">
        <f t="shared" ca="1" si="119"/>
        <v>995</v>
      </c>
      <c r="N565" s="58">
        <f t="shared" ca="1" si="124"/>
        <v>68100.000000000015</v>
      </c>
      <c r="O565" s="160">
        <f t="shared" ca="1" si="124"/>
        <v>64926.034839654276</v>
      </c>
    </row>
    <row r="566" spans="1:15" x14ac:dyDescent="0.25">
      <c r="A566" s="55">
        <f t="shared" ca="1" si="120"/>
        <v>240</v>
      </c>
      <c r="B566" s="55">
        <f t="shared" ca="1" si="111"/>
        <v>26.1</v>
      </c>
      <c r="C566" s="55">
        <f t="shared" ca="1" si="112"/>
        <v>26.090000748611768</v>
      </c>
      <c r="D566" s="55" t="str">
        <f t="shared" ca="1" si="113"/>
        <v>26.100 || 68100.000</v>
      </c>
      <c r="E566" s="120">
        <f t="shared" ca="1" si="121"/>
        <v>4.360002994447072</v>
      </c>
      <c r="F566" s="56" t="e">
        <f t="shared" ca="1" si="122"/>
        <v>#N/A</v>
      </c>
      <c r="G566" s="56" t="e">
        <f t="shared" ca="1" si="114"/>
        <v>#N/A</v>
      </c>
      <c r="H566" s="116" t="e">
        <f t="shared" ca="1" si="115"/>
        <v>#N/A</v>
      </c>
      <c r="I566" s="57" t="e">
        <f t="shared" ca="1" si="116"/>
        <v>#N/A</v>
      </c>
      <c r="J566" s="131">
        <f t="shared" ca="1" si="123"/>
        <v>996</v>
      </c>
      <c r="K566" s="122" t="str">
        <f t="shared" ca="1" si="117"/>
        <v/>
      </c>
      <c r="L566" s="130" t="str">
        <f t="shared" ca="1" si="118"/>
        <v/>
      </c>
      <c r="M566" s="126">
        <f t="shared" ca="1" si="119"/>
        <v>995</v>
      </c>
      <c r="N566" s="58">
        <f t="shared" ca="1" si="124"/>
        <v>68100.000000000015</v>
      </c>
      <c r="O566" s="160">
        <f t="shared" ca="1" si="124"/>
        <v>64926.034839654276</v>
      </c>
    </row>
    <row r="567" spans="1:15" x14ac:dyDescent="0.25">
      <c r="A567" s="55">
        <f t="shared" ca="1" si="120"/>
        <v>240</v>
      </c>
      <c r="B567" s="55">
        <f t="shared" ca="1" si="111"/>
        <v>26.1</v>
      </c>
      <c r="C567" s="55">
        <f t="shared" ca="1" si="112"/>
        <v>26.090000748611768</v>
      </c>
      <c r="D567" s="55" t="str">
        <f t="shared" ca="1" si="113"/>
        <v>26.100 || 68100.000</v>
      </c>
      <c r="E567" s="120">
        <f t="shared" ca="1" si="121"/>
        <v>4.360002994447072</v>
      </c>
      <c r="F567" s="56" t="e">
        <f t="shared" ca="1" si="122"/>
        <v>#N/A</v>
      </c>
      <c r="G567" s="56" t="e">
        <f t="shared" ca="1" si="114"/>
        <v>#N/A</v>
      </c>
      <c r="H567" s="116" t="e">
        <f t="shared" ca="1" si="115"/>
        <v>#N/A</v>
      </c>
      <c r="I567" s="57" t="e">
        <f t="shared" ca="1" si="116"/>
        <v>#N/A</v>
      </c>
      <c r="J567" s="131">
        <f t="shared" ca="1" si="123"/>
        <v>996</v>
      </c>
      <c r="K567" s="122" t="str">
        <f t="shared" ca="1" si="117"/>
        <v/>
      </c>
      <c r="L567" s="130" t="str">
        <f t="shared" ca="1" si="118"/>
        <v/>
      </c>
      <c r="M567" s="126">
        <f t="shared" ca="1" si="119"/>
        <v>995</v>
      </c>
      <c r="N567" s="58">
        <f t="shared" ca="1" si="124"/>
        <v>68100.000000000015</v>
      </c>
      <c r="O567" s="160">
        <f t="shared" ca="1" si="124"/>
        <v>64926.034839654276</v>
      </c>
    </row>
    <row r="568" spans="1:15" x14ac:dyDescent="0.25">
      <c r="A568" s="55">
        <f t="shared" ca="1" si="120"/>
        <v>240</v>
      </c>
      <c r="B568" s="55">
        <f t="shared" ca="1" si="111"/>
        <v>26.1</v>
      </c>
      <c r="C568" s="55">
        <f t="shared" ca="1" si="112"/>
        <v>26.090000748611768</v>
      </c>
      <c r="D568" s="55" t="str">
        <f t="shared" ca="1" si="113"/>
        <v>26.100 || 68100.000</v>
      </c>
      <c r="E568" s="120">
        <f t="shared" ca="1" si="121"/>
        <v>4.360002994447072</v>
      </c>
      <c r="F568" s="56" t="e">
        <f t="shared" ca="1" si="122"/>
        <v>#N/A</v>
      </c>
      <c r="G568" s="56" t="e">
        <f t="shared" ca="1" si="114"/>
        <v>#N/A</v>
      </c>
      <c r="H568" s="116" t="e">
        <f t="shared" ca="1" si="115"/>
        <v>#N/A</v>
      </c>
      <c r="I568" s="57" t="e">
        <f t="shared" ca="1" si="116"/>
        <v>#N/A</v>
      </c>
      <c r="J568" s="131">
        <f t="shared" ca="1" si="123"/>
        <v>996</v>
      </c>
      <c r="K568" s="122" t="str">
        <f t="shared" ca="1" si="117"/>
        <v/>
      </c>
      <c r="L568" s="130" t="str">
        <f t="shared" ca="1" si="118"/>
        <v/>
      </c>
      <c r="M568" s="126">
        <f t="shared" ca="1" si="119"/>
        <v>995</v>
      </c>
      <c r="N568" s="58">
        <f t="shared" ca="1" si="124"/>
        <v>68100.000000000015</v>
      </c>
      <c r="O568" s="160">
        <f t="shared" ca="1" si="124"/>
        <v>64926.034839654276</v>
      </c>
    </row>
    <row r="569" spans="1:15" x14ac:dyDescent="0.25">
      <c r="A569" s="55">
        <f t="shared" ca="1" si="120"/>
        <v>240</v>
      </c>
      <c r="B569" s="55">
        <f t="shared" ca="1" si="111"/>
        <v>26.1</v>
      </c>
      <c r="C569" s="55">
        <f t="shared" ca="1" si="112"/>
        <v>26.090920359714822</v>
      </c>
      <c r="D569" s="55" t="str">
        <f t="shared" ca="1" si="113"/>
        <v>26.100 || 75000.000</v>
      </c>
      <c r="E569" s="120">
        <f t="shared" ca="1" si="121"/>
        <v>4.3636814388592882</v>
      </c>
      <c r="F569" s="56" t="e">
        <f t="shared" ca="1" si="122"/>
        <v>#N/A</v>
      </c>
      <c r="G569" s="56" t="e">
        <f t="shared" ca="1" si="114"/>
        <v>#N/A</v>
      </c>
      <c r="H569" s="116" t="e">
        <f t="shared" ca="1" si="115"/>
        <v>#N/A</v>
      </c>
      <c r="I569" s="57" t="e">
        <f t="shared" ca="1" si="116"/>
        <v>#N/A</v>
      </c>
      <c r="J569" s="131">
        <f t="shared" ca="1" si="123"/>
        <v>996</v>
      </c>
      <c r="K569" s="122" t="str">
        <f t="shared" ca="1" si="117"/>
        <v/>
      </c>
      <c r="L569" s="130" t="str">
        <f t="shared" ca="1" si="118"/>
        <v/>
      </c>
      <c r="M569" s="126">
        <f t="shared" ca="1" si="119"/>
        <v>995</v>
      </c>
      <c r="N569" s="58">
        <f t="shared" ca="1" si="124"/>
        <v>75000</v>
      </c>
      <c r="O569" s="160">
        <f t="shared" ca="1" si="124"/>
        <v>71466.775497429582</v>
      </c>
    </row>
    <row r="570" spans="1:15" x14ac:dyDescent="0.25">
      <c r="A570" s="55">
        <f t="shared" ca="1" si="120"/>
        <v>240</v>
      </c>
      <c r="B570" s="55">
        <f t="shared" ca="1" si="111"/>
        <v>26.1</v>
      </c>
      <c r="C570" s="55">
        <f t="shared" ca="1" si="112"/>
        <v>26.090920359714822</v>
      </c>
      <c r="D570" s="55" t="str">
        <f t="shared" ca="1" si="113"/>
        <v>26.100 || 75000.000</v>
      </c>
      <c r="E570" s="120">
        <f t="shared" ca="1" si="121"/>
        <v>4.3636814388592882</v>
      </c>
      <c r="F570" s="56" t="e">
        <f t="shared" ca="1" si="122"/>
        <v>#N/A</v>
      </c>
      <c r="G570" s="56" t="e">
        <f t="shared" ca="1" si="114"/>
        <v>#N/A</v>
      </c>
      <c r="H570" s="116" t="e">
        <f t="shared" ca="1" si="115"/>
        <v>#N/A</v>
      </c>
      <c r="I570" s="57" t="e">
        <f t="shared" ca="1" si="116"/>
        <v>#N/A</v>
      </c>
      <c r="J570" s="131">
        <f t="shared" ca="1" si="123"/>
        <v>996</v>
      </c>
      <c r="K570" s="122" t="str">
        <f t="shared" ca="1" si="117"/>
        <v/>
      </c>
      <c r="L570" s="130" t="str">
        <f t="shared" ca="1" si="118"/>
        <v/>
      </c>
      <c r="M570" s="126">
        <f t="shared" ca="1" si="119"/>
        <v>995</v>
      </c>
      <c r="N570" s="58">
        <f t="shared" ca="1" si="124"/>
        <v>75000</v>
      </c>
      <c r="O570" s="160">
        <f t="shared" ca="1" si="124"/>
        <v>71466.775497429582</v>
      </c>
    </row>
    <row r="571" spans="1:15" x14ac:dyDescent="0.25">
      <c r="A571" s="55">
        <f t="shared" ca="1" si="120"/>
        <v>240</v>
      </c>
      <c r="B571" s="55">
        <f t="shared" ca="1" si="111"/>
        <v>26.1</v>
      </c>
      <c r="C571" s="55">
        <f t="shared" ca="1" si="112"/>
        <v>26.090920359714822</v>
      </c>
      <c r="D571" s="55" t="str">
        <f t="shared" ca="1" si="113"/>
        <v>26.100 || 75000.000</v>
      </c>
      <c r="E571" s="120">
        <f t="shared" ca="1" si="121"/>
        <v>4.3636814388592882</v>
      </c>
      <c r="F571" s="56" t="e">
        <f t="shared" ca="1" si="122"/>
        <v>#N/A</v>
      </c>
      <c r="G571" s="56" t="e">
        <f t="shared" ca="1" si="114"/>
        <v>#N/A</v>
      </c>
      <c r="H571" s="116" t="e">
        <f t="shared" ca="1" si="115"/>
        <v>#N/A</v>
      </c>
      <c r="I571" s="57" t="e">
        <f t="shared" ca="1" si="116"/>
        <v>#N/A</v>
      </c>
      <c r="J571" s="131">
        <f t="shared" ca="1" si="123"/>
        <v>996</v>
      </c>
      <c r="K571" s="122" t="str">
        <f t="shared" ca="1" si="117"/>
        <v/>
      </c>
      <c r="L571" s="130" t="str">
        <f t="shared" ca="1" si="118"/>
        <v/>
      </c>
      <c r="M571" s="126">
        <f t="shared" ca="1" si="119"/>
        <v>995</v>
      </c>
      <c r="N571" s="58">
        <f t="shared" ca="1" si="124"/>
        <v>75000</v>
      </c>
      <c r="O571" s="160">
        <f t="shared" ca="1" si="124"/>
        <v>71466.775497429582</v>
      </c>
    </row>
    <row r="572" spans="1:15" x14ac:dyDescent="0.25">
      <c r="A572" s="55">
        <f t="shared" ca="1" si="120"/>
        <v>240</v>
      </c>
      <c r="B572" s="55">
        <f t="shared" ca="1" si="111"/>
        <v>26.1</v>
      </c>
      <c r="C572" s="55">
        <f t="shared" ca="1" si="112"/>
        <v>26.090920359714822</v>
      </c>
      <c r="D572" s="55" t="str">
        <f t="shared" ca="1" si="113"/>
        <v>26.100 || 75000.000</v>
      </c>
      <c r="E572" s="120">
        <f t="shared" ca="1" si="121"/>
        <v>4.3636814388592882</v>
      </c>
      <c r="F572" s="56" t="e">
        <f t="shared" ca="1" si="122"/>
        <v>#N/A</v>
      </c>
      <c r="G572" s="56" t="e">
        <f t="shared" ca="1" si="114"/>
        <v>#N/A</v>
      </c>
      <c r="H572" s="116" t="e">
        <f t="shared" ca="1" si="115"/>
        <v>#N/A</v>
      </c>
      <c r="I572" s="57" t="e">
        <f t="shared" ca="1" si="116"/>
        <v>#N/A</v>
      </c>
      <c r="J572" s="131">
        <f t="shared" ca="1" si="123"/>
        <v>996</v>
      </c>
      <c r="K572" s="122" t="str">
        <f t="shared" ca="1" si="117"/>
        <v/>
      </c>
      <c r="L572" s="130" t="str">
        <f t="shared" ca="1" si="118"/>
        <v/>
      </c>
      <c r="M572" s="126">
        <f t="shared" ca="1" si="119"/>
        <v>995</v>
      </c>
      <c r="N572" s="58">
        <f t="shared" ca="1" si="124"/>
        <v>75000</v>
      </c>
      <c r="O572" s="160">
        <f t="shared" ca="1" si="124"/>
        <v>71466.775497429582</v>
      </c>
    </row>
    <row r="573" spans="1:15" x14ac:dyDescent="0.25">
      <c r="A573" s="55">
        <f t="shared" ca="1" si="120"/>
        <v>240</v>
      </c>
      <c r="B573" s="55">
        <f t="shared" ca="1" si="111"/>
        <v>26.1</v>
      </c>
      <c r="C573" s="55">
        <f t="shared" ca="1" si="112"/>
        <v>26.091745520508059</v>
      </c>
      <c r="D573" s="55" t="str">
        <f t="shared" ca="1" si="113"/>
        <v>26.100 || 82500.000</v>
      </c>
      <c r="E573" s="120">
        <f t="shared" ca="1" si="121"/>
        <v>4.3669820820322371</v>
      </c>
      <c r="F573" s="56" t="e">
        <f t="shared" ca="1" si="122"/>
        <v>#N/A</v>
      </c>
      <c r="G573" s="56" t="e">
        <f t="shared" ca="1" si="114"/>
        <v>#N/A</v>
      </c>
      <c r="H573" s="116" t="e">
        <f t="shared" ca="1" si="115"/>
        <v>#N/A</v>
      </c>
      <c r="I573" s="57" t="e">
        <f t="shared" ca="1" si="116"/>
        <v>#N/A</v>
      </c>
      <c r="J573" s="131">
        <f t="shared" ca="1" si="123"/>
        <v>996</v>
      </c>
      <c r="K573" s="122" t="str">
        <f t="shared" ca="1" si="117"/>
        <v/>
      </c>
      <c r="L573" s="130" t="str">
        <f t="shared" ca="1" si="118"/>
        <v/>
      </c>
      <c r="M573" s="126">
        <f t="shared" ca="1" si="119"/>
        <v>995</v>
      </c>
      <c r="N573" s="58">
        <f t="shared" ca="1" si="124"/>
        <v>82500</v>
      </c>
      <c r="O573" s="160">
        <f t="shared" ca="1" si="124"/>
        <v>78660.66361276136</v>
      </c>
    </row>
    <row r="574" spans="1:15" x14ac:dyDescent="0.25">
      <c r="A574" s="55">
        <f t="shared" ca="1" si="120"/>
        <v>240</v>
      </c>
      <c r="B574" s="55">
        <f t="shared" ca="1" si="111"/>
        <v>26.1</v>
      </c>
      <c r="C574" s="55">
        <f t="shared" ca="1" si="112"/>
        <v>26.091745520508059</v>
      </c>
      <c r="D574" s="55" t="str">
        <f t="shared" ca="1" si="113"/>
        <v>26.100 || 82500.000</v>
      </c>
      <c r="E574" s="120">
        <f t="shared" ca="1" si="121"/>
        <v>4.3669820820322371</v>
      </c>
      <c r="F574" s="56" t="e">
        <f t="shared" ca="1" si="122"/>
        <v>#N/A</v>
      </c>
      <c r="G574" s="56" t="e">
        <f t="shared" ca="1" si="114"/>
        <v>#N/A</v>
      </c>
      <c r="H574" s="116" t="e">
        <f t="shared" ca="1" si="115"/>
        <v>#N/A</v>
      </c>
      <c r="I574" s="57" t="e">
        <f t="shared" ca="1" si="116"/>
        <v>#N/A</v>
      </c>
      <c r="J574" s="131">
        <f t="shared" ca="1" si="123"/>
        <v>996</v>
      </c>
      <c r="K574" s="122" t="str">
        <f t="shared" ca="1" si="117"/>
        <v/>
      </c>
      <c r="L574" s="130" t="str">
        <f t="shared" ca="1" si="118"/>
        <v/>
      </c>
      <c r="M574" s="126">
        <f t="shared" ca="1" si="119"/>
        <v>995</v>
      </c>
      <c r="N574" s="58">
        <f t="shared" ca="1" si="124"/>
        <v>82500</v>
      </c>
      <c r="O574" s="160">
        <f t="shared" ca="1" si="124"/>
        <v>78660.66361276136</v>
      </c>
    </row>
    <row r="575" spans="1:15" x14ac:dyDescent="0.25">
      <c r="A575" s="55">
        <f t="shared" ca="1" si="120"/>
        <v>240</v>
      </c>
      <c r="B575" s="55">
        <f t="shared" ca="1" si="111"/>
        <v>26.1</v>
      </c>
      <c r="C575" s="55">
        <f t="shared" ca="1" si="112"/>
        <v>26.091745520508059</v>
      </c>
      <c r="D575" s="55" t="str">
        <f t="shared" ca="1" si="113"/>
        <v>26.100 || 82500.000</v>
      </c>
      <c r="E575" s="120">
        <f t="shared" ca="1" si="121"/>
        <v>4.3669820820322371</v>
      </c>
      <c r="F575" s="56" t="e">
        <f t="shared" ca="1" si="122"/>
        <v>#N/A</v>
      </c>
      <c r="G575" s="56" t="e">
        <f t="shared" ca="1" si="114"/>
        <v>#N/A</v>
      </c>
      <c r="H575" s="116" t="e">
        <f t="shared" ca="1" si="115"/>
        <v>#N/A</v>
      </c>
      <c r="I575" s="57" t="e">
        <f t="shared" ca="1" si="116"/>
        <v>#N/A</v>
      </c>
      <c r="J575" s="131">
        <f t="shared" ca="1" si="123"/>
        <v>996</v>
      </c>
      <c r="K575" s="122" t="str">
        <f t="shared" ca="1" si="117"/>
        <v/>
      </c>
      <c r="L575" s="130" t="str">
        <f t="shared" ca="1" si="118"/>
        <v/>
      </c>
      <c r="M575" s="126">
        <f t="shared" ca="1" si="119"/>
        <v>995</v>
      </c>
      <c r="N575" s="58">
        <f t="shared" ca="1" si="124"/>
        <v>82500</v>
      </c>
      <c r="O575" s="160">
        <f t="shared" ca="1" si="124"/>
        <v>78660.66361276136</v>
      </c>
    </row>
    <row r="576" spans="1:15" x14ac:dyDescent="0.25">
      <c r="A576" s="55">
        <f t="shared" ca="1" si="120"/>
        <v>240</v>
      </c>
      <c r="B576" s="55">
        <f t="shared" ca="1" si="111"/>
        <v>26.1</v>
      </c>
      <c r="C576" s="55">
        <f t="shared" ca="1" si="112"/>
        <v>26.091745520508059</v>
      </c>
      <c r="D576" s="55" t="str">
        <f t="shared" ca="1" si="113"/>
        <v>26.100 || 82500.000</v>
      </c>
      <c r="E576" s="120">
        <f t="shared" ca="1" si="121"/>
        <v>4.3669820820322371</v>
      </c>
      <c r="F576" s="56" t="e">
        <f t="shared" ca="1" si="122"/>
        <v>#N/A</v>
      </c>
      <c r="G576" s="56" t="e">
        <f t="shared" ca="1" si="114"/>
        <v>#N/A</v>
      </c>
      <c r="H576" s="116" t="e">
        <f t="shared" ca="1" si="115"/>
        <v>#N/A</v>
      </c>
      <c r="I576" s="57" t="e">
        <f t="shared" ca="1" si="116"/>
        <v>#N/A</v>
      </c>
      <c r="J576" s="131">
        <f t="shared" ca="1" si="123"/>
        <v>996</v>
      </c>
      <c r="K576" s="122" t="str">
        <f t="shared" ca="1" si="117"/>
        <v/>
      </c>
      <c r="L576" s="130" t="str">
        <f t="shared" ca="1" si="118"/>
        <v/>
      </c>
      <c r="M576" s="126">
        <f t="shared" ca="1" si="119"/>
        <v>995</v>
      </c>
      <c r="N576" s="58">
        <f t="shared" ca="1" si="124"/>
        <v>82500</v>
      </c>
      <c r="O576" s="160">
        <f t="shared" ca="1" si="124"/>
        <v>78660.66361276136</v>
      </c>
    </row>
    <row r="577" spans="1:15" x14ac:dyDescent="0.25">
      <c r="A577" s="55">
        <f t="shared" ca="1" si="120"/>
        <v>240</v>
      </c>
      <c r="B577" s="55">
        <f t="shared" ca="1" si="111"/>
        <v>26.1</v>
      </c>
      <c r="C577" s="55">
        <f t="shared" ca="1" si="112"/>
        <v>26.092508091736036</v>
      </c>
      <c r="D577" s="55" t="str">
        <f t="shared" ca="1" si="113"/>
        <v>26.100 || 90900.000</v>
      </c>
      <c r="E577" s="120">
        <f t="shared" ca="1" si="121"/>
        <v>4.3700323669441445</v>
      </c>
      <c r="F577" s="56" t="e">
        <f t="shared" ca="1" si="122"/>
        <v>#N/A</v>
      </c>
      <c r="G577" s="56" t="e">
        <f t="shared" ca="1" si="114"/>
        <v>#N/A</v>
      </c>
      <c r="H577" s="116" t="e">
        <f t="shared" ca="1" si="115"/>
        <v>#N/A</v>
      </c>
      <c r="I577" s="57" t="e">
        <f t="shared" ca="1" si="116"/>
        <v>#N/A</v>
      </c>
      <c r="J577" s="131">
        <f t="shared" ca="1" si="123"/>
        <v>996</v>
      </c>
      <c r="K577" s="122" t="str">
        <f t="shared" ca="1" si="117"/>
        <v/>
      </c>
      <c r="L577" s="130" t="str">
        <f t="shared" ca="1" si="118"/>
        <v/>
      </c>
      <c r="M577" s="126">
        <f t="shared" ca="1" si="119"/>
        <v>995</v>
      </c>
      <c r="N577" s="58">
        <f t="shared" ca="1" si="124"/>
        <v>90900</v>
      </c>
      <c r="O577" s="160">
        <f t="shared" ca="1" si="124"/>
        <v>86598.210143166361</v>
      </c>
    </row>
    <row r="578" spans="1:15" x14ac:dyDescent="0.25">
      <c r="A578" s="55">
        <f t="shared" ca="1" si="120"/>
        <v>240</v>
      </c>
      <c r="B578" s="55">
        <f t="shared" ca="1" si="111"/>
        <v>26.1</v>
      </c>
      <c r="C578" s="55">
        <f t="shared" ca="1" si="112"/>
        <v>26.092508091736036</v>
      </c>
      <c r="D578" s="55" t="str">
        <f t="shared" ca="1" si="113"/>
        <v>26.100 || 90900.000</v>
      </c>
      <c r="E578" s="120">
        <f t="shared" ca="1" si="121"/>
        <v>4.3700323669441445</v>
      </c>
      <c r="F578" s="56" t="e">
        <f t="shared" ca="1" si="122"/>
        <v>#N/A</v>
      </c>
      <c r="G578" s="56" t="e">
        <f t="shared" ca="1" si="114"/>
        <v>#N/A</v>
      </c>
      <c r="H578" s="116" t="e">
        <f t="shared" ca="1" si="115"/>
        <v>#N/A</v>
      </c>
      <c r="I578" s="57" t="e">
        <f t="shared" ca="1" si="116"/>
        <v>#N/A</v>
      </c>
      <c r="J578" s="131">
        <f t="shared" ca="1" si="123"/>
        <v>996</v>
      </c>
      <c r="K578" s="122" t="str">
        <f t="shared" ca="1" si="117"/>
        <v/>
      </c>
      <c r="L578" s="130" t="str">
        <f t="shared" ca="1" si="118"/>
        <v/>
      </c>
      <c r="M578" s="126">
        <f t="shared" ca="1" si="119"/>
        <v>995</v>
      </c>
      <c r="N578" s="58">
        <f t="shared" ca="1" si="124"/>
        <v>90900</v>
      </c>
      <c r="O578" s="160">
        <f t="shared" ca="1" si="124"/>
        <v>86598.210143166361</v>
      </c>
    </row>
    <row r="579" spans="1:15" x14ac:dyDescent="0.25">
      <c r="A579" s="55">
        <f t="shared" ca="1" si="120"/>
        <v>240</v>
      </c>
      <c r="B579" s="55">
        <f t="shared" ca="1" si="111"/>
        <v>26.1</v>
      </c>
      <c r="C579" s="55">
        <f t="shared" ca="1" si="112"/>
        <v>26.092508091736036</v>
      </c>
      <c r="D579" s="55" t="str">
        <f t="shared" ca="1" si="113"/>
        <v>26.100 || 90900.000</v>
      </c>
      <c r="E579" s="120">
        <f t="shared" ca="1" si="121"/>
        <v>4.3700323669441445</v>
      </c>
      <c r="F579" s="56" t="e">
        <f t="shared" ca="1" si="122"/>
        <v>#N/A</v>
      </c>
      <c r="G579" s="56" t="e">
        <f t="shared" ca="1" si="114"/>
        <v>#N/A</v>
      </c>
      <c r="H579" s="116" t="e">
        <f t="shared" ca="1" si="115"/>
        <v>#N/A</v>
      </c>
      <c r="I579" s="57" t="e">
        <f t="shared" ca="1" si="116"/>
        <v>#N/A</v>
      </c>
      <c r="J579" s="131">
        <f t="shared" ca="1" si="123"/>
        <v>996</v>
      </c>
      <c r="K579" s="122" t="str">
        <f t="shared" ca="1" si="117"/>
        <v/>
      </c>
      <c r="L579" s="130" t="str">
        <f t="shared" ca="1" si="118"/>
        <v/>
      </c>
      <c r="M579" s="126">
        <f t="shared" ca="1" si="119"/>
        <v>995</v>
      </c>
      <c r="N579" s="58">
        <f t="shared" ca="1" si="124"/>
        <v>90900</v>
      </c>
      <c r="O579" s="160">
        <f t="shared" ca="1" si="124"/>
        <v>86598.210143166361</v>
      </c>
    </row>
    <row r="580" spans="1:15" x14ac:dyDescent="0.25">
      <c r="A580" s="55">
        <f t="shared" ca="1" si="120"/>
        <v>240</v>
      </c>
      <c r="B580" s="55">
        <f t="shared" ca="1" si="111"/>
        <v>26.1</v>
      </c>
      <c r="C580" s="55">
        <f t="shared" ca="1" si="112"/>
        <v>26.092508091736036</v>
      </c>
      <c r="D580" s="55" t="str">
        <f t="shared" ca="1" si="113"/>
        <v>26.100 || 90900.000</v>
      </c>
      <c r="E580" s="120">
        <f t="shared" ca="1" si="121"/>
        <v>4.3700323669441445</v>
      </c>
      <c r="F580" s="56" t="e">
        <f t="shared" ca="1" si="122"/>
        <v>#N/A</v>
      </c>
      <c r="G580" s="56" t="e">
        <f t="shared" ca="1" si="114"/>
        <v>#N/A</v>
      </c>
      <c r="H580" s="116" t="e">
        <f t="shared" ca="1" si="115"/>
        <v>#N/A</v>
      </c>
      <c r="I580" s="57" t="e">
        <f t="shared" ca="1" si="116"/>
        <v>#N/A</v>
      </c>
      <c r="J580" s="131">
        <f t="shared" ca="1" si="123"/>
        <v>996</v>
      </c>
      <c r="K580" s="122" t="str">
        <f t="shared" ca="1" si="117"/>
        <v/>
      </c>
      <c r="L580" s="130" t="str">
        <f t="shared" ca="1" si="118"/>
        <v/>
      </c>
      <c r="M580" s="126">
        <f t="shared" ca="1" si="119"/>
        <v>995</v>
      </c>
      <c r="N580" s="58">
        <f t="shared" ca="1" si="124"/>
        <v>90900</v>
      </c>
      <c r="O580" s="160">
        <f t="shared" ca="1" si="124"/>
        <v>86598.210143166361</v>
      </c>
    </row>
    <row r="581" spans="1:15" x14ac:dyDescent="0.25">
      <c r="A581" s="55">
        <f t="shared" ca="1" si="120"/>
        <v>240</v>
      </c>
      <c r="B581" s="55">
        <f t="shared" ca="1" si="111"/>
        <v>26.1</v>
      </c>
      <c r="C581" s="55">
        <f t="shared" ca="1" si="112"/>
        <v>26.093189677494173</v>
      </c>
      <c r="D581" s="55" t="str">
        <f t="shared" ca="1" si="113"/>
        <v>26.100 || 100000.000</v>
      </c>
      <c r="E581" s="120">
        <f t="shared" ca="1" si="121"/>
        <v>4.3727587099766936</v>
      </c>
      <c r="F581" s="56" t="e">
        <f t="shared" ca="1" si="122"/>
        <v>#N/A</v>
      </c>
      <c r="G581" s="56" t="e">
        <f t="shared" ca="1" si="114"/>
        <v>#N/A</v>
      </c>
      <c r="H581" s="116" t="e">
        <f t="shared" ca="1" si="115"/>
        <v>#N/A</v>
      </c>
      <c r="I581" s="57" t="e">
        <f t="shared" ca="1" si="116"/>
        <v>#N/A</v>
      </c>
      <c r="J581" s="131">
        <f t="shared" ca="1" si="123"/>
        <v>996</v>
      </c>
      <c r="K581" s="122" t="str">
        <f t="shared" ca="1" si="117"/>
        <v/>
      </c>
      <c r="L581" s="130" t="str">
        <f t="shared" ca="1" si="118"/>
        <v/>
      </c>
      <c r="M581" s="126">
        <f t="shared" ca="1" si="119"/>
        <v>995</v>
      </c>
      <c r="N581" s="58">
        <f t="shared" ca="1" si="124"/>
        <v>100000</v>
      </c>
      <c r="O581" s="160">
        <f t="shared" ca="1" si="124"/>
        <v>95341.491492424233</v>
      </c>
    </row>
    <row r="582" spans="1:15" x14ac:dyDescent="0.25">
      <c r="A582" s="55">
        <f t="shared" ca="1" si="120"/>
        <v>240</v>
      </c>
      <c r="B582" s="55">
        <f t="shared" ref="B582:B645" ca="1" si="125">INDEX($N$1:$N$774,A582)</f>
        <v>26.1</v>
      </c>
      <c r="C582" s="55">
        <f t="shared" ref="C582:C645" ca="1" si="126">1/(1/B582+1/N582)</f>
        <v>26.093189677494173</v>
      </c>
      <c r="D582" s="55" t="str">
        <f t="shared" ref="D582:D645" ca="1" si="127">CONCATENATE(TEXT(MIN(B582,N582),"#0.000#")," || ",TEXT(MAX(B582,N582),"#0.000#"))</f>
        <v>26.100 || 100000.000</v>
      </c>
      <c r="E582" s="120">
        <f t="shared" ca="1" si="121"/>
        <v>4.3727587099766936</v>
      </c>
      <c r="F582" s="56" t="e">
        <f t="shared" ca="1" si="122"/>
        <v>#N/A</v>
      </c>
      <c r="G582" s="56" t="e">
        <f t="shared" ref="G582:G645" ca="1" si="128">INDEX($N$1:$N$774,F582)</f>
        <v>#N/A</v>
      </c>
      <c r="H582" s="116" t="e">
        <f t="shared" ref="H582:H645" ca="1" si="129">G582+N582</f>
        <v>#N/A</v>
      </c>
      <c r="I582" s="57" t="e">
        <f t="shared" ref="I582:I645" ca="1" si="130">CONCATENATE(TEXT(MIN(G582,N582),"#0.000#")," + ",TEXT(MAX(G582,N582),"#0.000#"))</f>
        <v>#N/A</v>
      </c>
      <c r="J582" s="131">
        <f t="shared" ca="1" si="123"/>
        <v>996</v>
      </c>
      <c r="K582" s="122" t="str">
        <f t="shared" ref="K582:K645" ca="1" si="131">IF(E582&lt;$C$4,D582,IF(J582&lt;$C$4,I582,""))</f>
        <v/>
      </c>
      <c r="L582" s="130" t="str">
        <f t="shared" ref="L582:L645" ca="1" si="132">IF(E582&lt;$C$4,C582,IF(J582&lt;$C$4,H582,""))</f>
        <v/>
      </c>
      <c r="M582" s="126">
        <f t="shared" ref="M582:M645" ca="1" si="133">IF(E582&lt;=$C$4,E582,IF(J582&lt;=$C$4,J582,995))</f>
        <v>995</v>
      </c>
      <c r="N582" s="58">
        <f t="shared" ca="1" si="124"/>
        <v>100000</v>
      </c>
      <c r="O582" s="160">
        <f t="shared" ca="1" si="124"/>
        <v>95341.491492424218</v>
      </c>
    </row>
    <row r="583" spans="1:15" x14ac:dyDescent="0.25">
      <c r="A583" s="55">
        <f t="shared" ref="A583:A646" ca="1" si="134">MATCH(1/($A$5-(1/N583)),$O$1:$O$775,1)</f>
        <v>240</v>
      </c>
      <c r="B583" s="55">
        <f t="shared" ca="1" si="125"/>
        <v>26.1</v>
      </c>
      <c r="C583" s="55">
        <f t="shared" ca="1" si="126"/>
        <v>26.093189677494173</v>
      </c>
      <c r="D583" s="55" t="str">
        <f t="shared" ca="1" si="127"/>
        <v>26.100 || 100000.000</v>
      </c>
      <c r="E583" s="120">
        <f t="shared" ref="E583:E646" ca="1" si="135">IFERROR(IF(OR(B583=0,AND(B583&lt;&gt;$A$4,N583&lt;&gt;$A$4)),ABS($A$4-C583)/$E$5,999),998)</f>
        <v>4.3727587099766936</v>
      </c>
      <c r="F583" s="56" t="e">
        <f t="shared" ref="F583:F646" ca="1" si="136">MATCH($A$4-N583,$O$1:$O$774,1)</f>
        <v>#N/A</v>
      </c>
      <c r="G583" s="56" t="e">
        <f t="shared" ca="1" si="128"/>
        <v>#N/A</v>
      </c>
      <c r="H583" s="116" t="e">
        <f t="shared" ca="1" si="129"/>
        <v>#N/A</v>
      </c>
      <c r="I583" s="57" t="e">
        <f t="shared" ca="1" si="130"/>
        <v>#N/A</v>
      </c>
      <c r="J583" s="131">
        <f t="shared" ref="J583:J646" ca="1" si="137">IFERROR(IF(OR(G583=0,AND(G583&lt;&gt;$A$4,N583&lt;&gt;$A$4)),ABS($A$4-H583)/$E$5,997),996)</f>
        <v>996</v>
      </c>
      <c r="K583" s="122" t="str">
        <f t="shared" ca="1" si="131"/>
        <v/>
      </c>
      <c r="L583" s="130" t="str">
        <f t="shared" ca="1" si="132"/>
        <v/>
      </c>
      <c r="M583" s="126">
        <f t="shared" ca="1" si="133"/>
        <v>995</v>
      </c>
      <c r="N583" s="58">
        <f t="shared" ca="1" si="124"/>
        <v>100000</v>
      </c>
      <c r="O583" s="160">
        <f t="shared" ca="1" si="124"/>
        <v>95341.491492424218</v>
      </c>
    </row>
    <row r="584" spans="1:15" x14ac:dyDescent="0.25">
      <c r="A584" s="55">
        <f t="shared" ca="1" si="134"/>
        <v>240</v>
      </c>
      <c r="B584" s="55">
        <f t="shared" ca="1" si="125"/>
        <v>26.1</v>
      </c>
      <c r="C584" s="55">
        <f t="shared" ca="1" si="126"/>
        <v>26.093189677494173</v>
      </c>
      <c r="D584" s="55" t="str">
        <f t="shared" ca="1" si="127"/>
        <v>26.100 || 100000.000</v>
      </c>
      <c r="E584" s="120">
        <f t="shared" ca="1" si="135"/>
        <v>4.3727587099766936</v>
      </c>
      <c r="F584" s="56" t="e">
        <f t="shared" ca="1" si="136"/>
        <v>#N/A</v>
      </c>
      <c r="G584" s="56" t="e">
        <f t="shared" ca="1" si="128"/>
        <v>#N/A</v>
      </c>
      <c r="H584" s="116" t="e">
        <f t="shared" ca="1" si="129"/>
        <v>#N/A</v>
      </c>
      <c r="I584" s="57" t="e">
        <f t="shared" ca="1" si="130"/>
        <v>#N/A</v>
      </c>
      <c r="J584" s="131">
        <f t="shared" ca="1" si="137"/>
        <v>996</v>
      </c>
      <c r="K584" s="122" t="str">
        <f t="shared" ca="1" si="131"/>
        <v/>
      </c>
      <c r="L584" s="130" t="str">
        <f t="shared" ca="1" si="132"/>
        <v/>
      </c>
      <c r="M584" s="126">
        <f t="shared" ca="1" si="133"/>
        <v>995</v>
      </c>
      <c r="N584" s="58">
        <f t="shared" ca="1" si="124"/>
        <v>100000</v>
      </c>
      <c r="O584" s="160">
        <f t="shared" ca="1" si="124"/>
        <v>95341.491492424218</v>
      </c>
    </row>
    <row r="585" spans="1:15" x14ac:dyDescent="0.25">
      <c r="A585" s="55">
        <f t="shared" ca="1" si="134"/>
        <v>240</v>
      </c>
      <c r="B585" s="55">
        <f t="shared" ca="1" si="125"/>
        <v>26.1</v>
      </c>
      <c r="C585" s="55">
        <f t="shared" ca="1" si="126"/>
        <v>26.093808650856481</v>
      </c>
      <c r="D585" s="55" t="str">
        <f t="shared" ca="1" si="127"/>
        <v>26.100 || 110000.000</v>
      </c>
      <c r="E585" s="120">
        <f t="shared" ca="1" si="135"/>
        <v>4.3752346034259233</v>
      </c>
      <c r="F585" s="56" t="e">
        <f t="shared" ca="1" si="136"/>
        <v>#N/A</v>
      </c>
      <c r="G585" s="56" t="e">
        <f t="shared" ca="1" si="128"/>
        <v>#N/A</v>
      </c>
      <c r="H585" s="116" t="e">
        <f t="shared" ca="1" si="129"/>
        <v>#N/A</v>
      </c>
      <c r="I585" s="57" t="e">
        <f t="shared" ca="1" si="130"/>
        <v>#N/A</v>
      </c>
      <c r="J585" s="131">
        <f t="shared" ca="1" si="137"/>
        <v>996</v>
      </c>
      <c r="K585" s="122" t="str">
        <f t="shared" ca="1" si="131"/>
        <v/>
      </c>
      <c r="L585" s="130" t="str">
        <f t="shared" ca="1" si="132"/>
        <v/>
      </c>
      <c r="M585" s="126">
        <f t="shared" ca="1" si="133"/>
        <v>995</v>
      </c>
      <c r="N585" s="58">
        <f t="shared" ca="1" si="124"/>
        <v>110000</v>
      </c>
      <c r="O585" s="160">
        <f t="shared" ca="1" si="124"/>
        <v>104880.88481701518</v>
      </c>
    </row>
    <row r="586" spans="1:15" x14ac:dyDescent="0.25">
      <c r="A586" s="55">
        <f t="shared" ca="1" si="134"/>
        <v>240</v>
      </c>
      <c r="B586" s="55">
        <f t="shared" ca="1" si="125"/>
        <v>26.1</v>
      </c>
      <c r="C586" s="55">
        <f t="shared" ca="1" si="126"/>
        <v>26.093808650856481</v>
      </c>
      <c r="D586" s="55" t="str">
        <f t="shared" ca="1" si="127"/>
        <v>26.100 || 110000.000</v>
      </c>
      <c r="E586" s="120">
        <f t="shared" ca="1" si="135"/>
        <v>4.3752346034259233</v>
      </c>
      <c r="F586" s="56" t="e">
        <f t="shared" ca="1" si="136"/>
        <v>#N/A</v>
      </c>
      <c r="G586" s="56" t="e">
        <f t="shared" ca="1" si="128"/>
        <v>#N/A</v>
      </c>
      <c r="H586" s="116" t="e">
        <f t="shared" ca="1" si="129"/>
        <v>#N/A</v>
      </c>
      <c r="I586" s="57" t="e">
        <f t="shared" ca="1" si="130"/>
        <v>#N/A</v>
      </c>
      <c r="J586" s="131">
        <f t="shared" ca="1" si="137"/>
        <v>996</v>
      </c>
      <c r="K586" s="122" t="str">
        <f t="shared" ca="1" si="131"/>
        <v/>
      </c>
      <c r="L586" s="130" t="str">
        <f t="shared" ca="1" si="132"/>
        <v/>
      </c>
      <c r="M586" s="126">
        <f t="shared" ca="1" si="133"/>
        <v>995</v>
      </c>
      <c r="N586" s="58">
        <f t="shared" ca="1" si="124"/>
        <v>110000</v>
      </c>
      <c r="O586" s="160">
        <f t="shared" ca="1" si="124"/>
        <v>104880.88481701518</v>
      </c>
    </row>
    <row r="587" spans="1:15" x14ac:dyDescent="0.25">
      <c r="A587" s="55">
        <f t="shared" ca="1" si="134"/>
        <v>240</v>
      </c>
      <c r="B587" s="55">
        <f t="shared" ca="1" si="125"/>
        <v>26.1</v>
      </c>
      <c r="C587" s="55">
        <f t="shared" ca="1" si="126"/>
        <v>26.093808650856481</v>
      </c>
      <c r="D587" s="55" t="str">
        <f t="shared" ca="1" si="127"/>
        <v>26.100 || 110000.000</v>
      </c>
      <c r="E587" s="120">
        <f t="shared" ca="1" si="135"/>
        <v>4.3752346034259233</v>
      </c>
      <c r="F587" s="56" t="e">
        <f t="shared" ca="1" si="136"/>
        <v>#N/A</v>
      </c>
      <c r="G587" s="56" t="e">
        <f t="shared" ca="1" si="128"/>
        <v>#N/A</v>
      </c>
      <c r="H587" s="116" t="e">
        <f t="shared" ca="1" si="129"/>
        <v>#N/A</v>
      </c>
      <c r="I587" s="57" t="e">
        <f t="shared" ca="1" si="130"/>
        <v>#N/A</v>
      </c>
      <c r="J587" s="131">
        <f t="shared" ca="1" si="137"/>
        <v>996</v>
      </c>
      <c r="K587" s="122" t="str">
        <f t="shared" ca="1" si="131"/>
        <v/>
      </c>
      <c r="L587" s="130" t="str">
        <f t="shared" ca="1" si="132"/>
        <v/>
      </c>
      <c r="M587" s="126">
        <f t="shared" ca="1" si="133"/>
        <v>995</v>
      </c>
      <c r="N587" s="58">
        <f t="shared" ca="1" si="124"/>
        <v>110000</v>
      </c>
      <c r="O587" s="160">
        <f t="shared" ca="1" si="124"/>
        <v>104880.88481701518</v>
      </c>
    </row>
    <row r="588" spans="1:15" x14ac:dyDescent="0.25">
      <c r="A588" s="55">
        <f t="shared" ca="1" si="134"/>
        <v>240</v>
      </c>
      <c r="B588" s="55">
        <f t="shared" ca="1" si="125"/>
        <v>26.1</v>
      </c>
      <c r="C588" s="55">
        <f t="shared" ca="1" si="126"/>
        <v>26.093808650856481</v>
      </c>
      <c r="D588" s="55" t="str">
        <f t="shared" ca="1" si="127"/>
        <v>26.100 || 110000.000</v>
      </c>
      <c r="E588" s="120">
        <f t="shared" ca="1" si="135"/>
        <v>4.3752346034259233</v>
      </c>
      <c r="F588" s="56" t="e">
        <f t="shared" ca="1" si="136"/>
        <v>#N/A</v>
      </c>
      <c r="G588" s="56" t="e">
        <f t="shared" ca="1" si="128"/>
        <v>#N/A</v>
      </c>
      <c r="H588" s="116" t="e">
        <f t="shared" ca="1" si="129"/>
        <v>#N/A</v>
      </c>
      <c r="I588" s="57" t="e">
        <f t="shared" ca="1" si="130"/>
        <v>#N/A</v>
      </c>
      <c r="J588" s="131">
        <f t="shared" ca="1" si="137"/>
        <v>996</v>
      </c>
      <c r="K588" s="122" t="str">
        <f t="shared" ca="1" si="131"/>
        <v/>
      </c>
      <c r="L588" s="130" t="str">
        <f t="shared" ca="1" si="132"/>
        <v/>
      </c>
      <c r="M588" s="126">
        <f t="shared" ca="1" si="133"/>
        <v>995</v>
      </c>
      <c r="N588" s="58">
        <f t="shared" ca="1" si="124"/>
        <v>110000</v>
      </c>
      <c r="O588" s="160">
        <f t="shared" ca="1" si="124"/>
        <v>104880.88481701518</v>
      </c>
    </row>
    <row r="589" spans="1:15" x14ac:dyDescent="0.25">
      <c r="A589" s="55">
        <f t="shared" ca="1" si="134"/>
        <v>240</v>
      </c>
      <c r="B589" s="55">
        <f t="shared" ca="1" si="125"/>
        <v>26.1</v>
      </c>
      <c r="C589" s="55">
        <f t="shared" ca="1" si="126"/>
        <v>26.094371379396677</v>
      </c>
      <c r="D589" s="55" t="str">
        <f t="shared" ca="1" si="127"/>
        <v>26.100 || 121000.000</v>
      </c>
      <c r="E589" s="120">
        <f t="shared" ca="1" si="135"/>
        <v>4.377485517586706</v>
      </c>
      <c r="F589" s="56" t="e">
        <f t="shared" ca="1" si="136"/>
        <v>#N/A</v>
      </c>
      <c r="G589" s="56" t="e">
        <f t="shared" ca="1" si="128"/>
        <v>#N/A</v>
      </c>
      <c r="H589" s="116" t="e">
        <f t="shared" ca="1" si="129"/>
        <v>#N/A</v>
      </c>
      <c r="I589" s="57" t="e">
        <f t="shared" ca="1" si="130"/>
        <v>#N/A</v>
      </c>
      <c r="J589" s="131">
        <f t="shared" ca="1" si="137"/>
        <v>996</v>
      </c>
      <c r="K589" s="122" t="str">
        <f t="shared" ca="1" si="131"/>
        <v/>
      </c>
      <c r="L589" s="130" t="str">
        <f t="shared" ca="1" si="132"/>
        <v/>
      </c>
      <c r="M589" s="126">
        <f t="shared" ca="1" si="133"/>
        <v>995</v>
      </c>
      <c r="N589" s="58">
        <f t="shared" ca="1" si="124"/>
        <v>121000</v>
      </c>
      <c r="O589" s="160">
        <f t="shared" ca="1" si="124"/>
        <v>115368.97329871666</v>
      </c>
    </row>
    <row r="590" spans="1:15" x14ac:dyDescent="0.25">
      <c r="A590" s="55">
        <f t="shared" ca="1" si="134"/>
        <v>240</v>
      </c>
      <c r="B590" s="55">
        <f t="shared" ca="1" si="125"/>
        <v>26.1</v>
      </c>
      <c r="C590" s="55">
        <f t="shared" ca="1" si="126"/>
        <v>26.094371379396677</v>
      </c>
      <c r="D590" s="55" t="str">
        <f t="shared" ca="1" si="127"/>
        <v>26.100 || 121000.000</v>
      </c>
      <c r="E590" s="120">
        <f t="shared" ca="1" si="135"/>
        <v>4.377485517586706</v>
      </c>
      <c r="F590" s="56" t="e">
        <f t="shared" ca="1" si="136"/>
        <v>#N/A</v>
      </c>
      <c r="G590" s="56" t="e">
        <f t="shared" ca="1" si="128"/>
        <v>#N/A</v>
      </c>
      <c r="H590" s="116" t="e">
        <f t="shared" ca="1" si="129"/>
        <v>#N/A</v>
      </c>
      <c r="I590" s="57" t="e">
        <f t="shared" ca="1" si="130"/>
        <v>#N/A</v>
      </c>
      <c r="J590" s="131">
        <f t="shared" ca="1" si="137"/>
        <v>996</v>
      </c>
      <c r="K590" s="122" t="str">
        <f t="shared" ca="1" si="131"/>
        <v/>
      </c>
      <c r="L590" s="130" t="str">
        <f t="shared" ca="1" si="132"/>
        <v/>
      </c>
      <c r="M590" s="126">
        <f t="shared" ca="1" si="133"/>
        <v>995</v>
      </c>
      <c r="N590" s="58">
        <f t="shared" ca="1" si="124"/>
        <v>121000</v>
      </c>
      <c r="O590" s="160">
        <f t="shared" ca="1" si="124"/>
        <v>115368.97329871666</v>
      </c>
    </row>
    <row r="591" spans="1:15" x14ac:dyDescent="0.25">
      <c r="A591" s="55">
        <f t="shared" ca="1" si="134"/>
        <v>240</v>
      </c>
      <c r="B591" s="55">
        <f t="shared" ca="1" si="125"/>
        <v>26.1</v>
      </c>
      <c r="C591" s="55">
        <f t="shared" ca="1" si="126"/>
        <v>26.094371379396677</v>
      </c>
      <c r="D591" s="55" t="str">
        <f t="shared" ca="1" si="127"/>
        <v>26.100 || 121000.000</v>
      </c>
      <c r="E591" s="120">
        <f t="shared" ca="1" si="135"/>
        <v>4.377485517586706</v>
      </c>
      <c r="F591" s="56" t="e">
        <f t="shared" ca="1" si="136"/>
        <v>#N/A</v>
      </c>
      <c r="G591" s="56" t="e">
        <f t="shared" ca="1" si="128"/>
        <v>#N/A</v>
      </c>
      <c r="H591" s="116" t="e">
        <f t="shared" ca="1" si="129"/>
        <v>#N/A</v>
      </c>
      <c r="I591" s="57" t="e">
        <f t="shared" ca="1" si="130"/>
        <v>#N/A</v>
      </c>
      <c r="J591" s="131">
        <f t="shared" ca="1" si="137"/>
        <v>996</v>
      </c>
      <c r="K591" s="122" t="str">
        <f t="shared" ca="1" si="131"/>
        <v/>
      </c>
      <c r="L591" s="130" t="str">
        <f t="shared" ca="1" si="132"/>
        <v/>
      </c>
      <c r="M591" s="126">
        <f t="shared" ca="1" si="133"/>
        <v>995</v>
      </c>
      <c r="N591" s="58">
        <f t="shared" ca="1" si="124"/>
        <v>121000</v>
      </c>
      <c r="O591" s="160">
        <f t="shared" ca="1" si="124"/>
        <v>115368.97329871666</v>
      </c>
    </row>
    <row r="592" spans="1:15" x14ac:dyDescent="0.25">
      <c r="A592" s="55">
        <f t="shared" ca="1" si="134"/>
        <v>240</v>
      </c>
      <c r="B592" s="55">
        <f t="shared" ca="1" si="125"/>
        <v>26.1</v>
      </c>
      <c r="C592" s="55">
        <f t="shared" ca="1" si="126"/>
        <v>26.094371379396677</v>
      </c>
      <c r="D592" s="55" t="str">
        <f t="shared" ca="1" si="127"/>
        <v>26.100 || 121000.000</v>
      </c>
      <c r="E592" s="120">
        <f t="shared" ca="1" si="135"/>
        <v>4.377485517586706</v>
      </c>
      <c r="F592" s="56" t="e">
        <f t="shared" ca="1" si="136"/>
        <v>#N/A</v>
      </c>
      <c r="G592" s="56" t="e">
        <f t="shared" ca="1" si="128"/>
        <v>#N/A</v>
      </c>
      <c r="H592" s="116" t="e">
        <f t="shared" ca="1" si="129"/>
        <v>#N/A</v>
      </c>
      <c r="I592" s="57" t="e">
        <f t="shared" ca="1" si="130"/>
        <v>#N/A</v>
      </c>
      <c r="J592" s="131">
        <f t="shared" ca="1" si="137"/>
        <v>996</v>
      </c>
      <c r="K592" s="122" t="str">
        <f t="shared" ca="1" si="131"/>
        <v/>
      </c>
      <c r="L592" s="130" t="str">
        <f t="shared" ca="1" si="132"/>
        <v/>
      </c>
      <c r="M592" s="126">
        <f t="shared" ca="1" si="133"/>
        <v>995</v>
      </c>
      <c r="N592" s="58">
        <f t="shared" ca="1" si="124"/>
        <v>121000</v>
      </c>
      <c r="O592" s="160">
        <f t="shared" ca="1" si="124"/>
        <v>115368.97329871666</v>
      </c>
    </row>
    <row r="593" spans="1:15" x14ac:dyDescent="0.25">
      <c r="A593" s="55">
        <f t="shared" ca="1" si="134"/>
        <v>240</v>
      </c>
      <c r="B593" s="55">
        <f t="shared" ca="1" si="125"/>
        <v>26.1</v>
      </c>
      <c r="C593" s="55">
        <f t="shared" ca="1" si="126"/>
        <v>26.094879125224299</v>
      </c>
      <c r="D593" s="55" t="str">
        <f t="shared" ca="1" si="127"/>
        <v>26.100 || 133000.000</v>
      </c>
      <c r="E593" s="120">
        <f t="shared" ca="1" si="135"/>
        <v>4.3795165008971964</v>
      </c>
      <c r="F593" s="56" t="e">
        <f t="shared" ca="1" si="136"/>
        <v>#N/A</v>
      </c>
      <c r="G593" s="56" t="e">
        <f t="shared" ca="1" si="128"/>
        <v>#N/A</v>
      </c>
      <c r="H593" s="116" t="e">
        <f t="shared" ca="1" si="129"/>
        <v>#N/A</v>
      </c>
      <c r="I593" s="57" t="e">
        <f t="shared" ca="1" si="130"/>
        <v>#N/A</v>
      </c>
      <c r="J593" s="131">
        <f t="shared" ca="1" si="137"/>
        <v>996</v>
      </c>
      <c r="K593" s="122" t="str">
        <f t="shared" ca="1" si="131"/>
        <v/>
      </c>
      <c r="L593" s="130" t="str">
        <f t="shared" ca="1" si="132"/>
        <v/>
      </c>
      <c r="M593" s="126">
        <f t="shared" ca="1" si="133"/>
        <v>995</v>
      </c>
      <c r="N593" s="58">
        <f t="shared" ca="1" si="124"/>
        <v>133000</v>
      </c>
      <c r="O593" s="160">
        <f t="shared" ca="1" si="124"/>
        <v>126858.18854137874</v>
      </c>
    </row>
    <row r="594" spans="1:15" x14ac:dyDescent="0.25">
      <c r="A594" s="55">
        <f t="shared" ca="1" si="134"/>
        <v>240</v>
      </c>
      <c r="B594" s="55">
        <f t="shared" ca="1" si="125"/>
        <v>26.1</v>
      </c>
      <c r="C594" s="55">
        <f t="shared" ca="1" si="126"/>
        <v>26.094879125224299</v>
      </c>
      <c r="D594" s="55" t="str">
        <f t="shared" ca="1" si="127"/>
        <v>26.100 || 133000.000</v>
      </c>
      <c r="E594" s="120">
        <f t="shared" ca="1" si="135"/>
        <v>4.3795165008971964</v>
      </c>
      <c r="F594" s="56" t="e">
        <f t="shared" ca="1" si="136"/>
        <v>#N/A</v>
      </c>
      <c r="G594" s="56" t="e">
        <f t="shared" ca="1" si="128"/>
        <v>#N/A</v>
      </c>
      <c r="H594" s="116" t="e">
        <f t="shared" ca="1" si="129"/>
        <v>#N/A</v>
      </c>
      <c r="I594" s="57" t="e">
        <f t="shared" ca="1" si="130"/>
        <v>#N/A</v>
      </c>
      <c r="J594" s="131">
        <f t="shared" ca="1" si="137"/>
        <v>996</v>
      </c>
      <c r="K594" s="122" t="str">
        <f t="shared" ca="1" si="131"/>
        <v/>
      </c>
      <c r="L594" s="130" t="str">
        <f t="shared" ca="1" si="132"/>
        <v/>
      </c>
      <c r="M594" s="126">
        <f t="shared" ca="1" si="133"/>
        <v>995</v>
      </c>
      <c r="N594" s="58">
        <f t="shared" ca="1" si="124"/>
        <v>133000</v>
      </c>
      <c r="O594" s="160">
        <f t="shared" ca="1" si="124"/>
        <v>126858.18854137874</v>
      </c>
    </row>
    <row r="595" spans="1:15" x14ac:dyDescent="0.25">
      <c r="A595" s="55">
        <f t="shared" ca="1" si="134"/>
        <v>240</v>
      </c>
      <c r="B595" s="55">
        <f t="shared" ca="1" si="125"/>
        <v>26.1</v>
      </c>
      <c r="C595" s="55">
        <f t="shared" ca="1" si="126"/>
        <v>26.094879125224299</v>
      </c>
      <c r="D595" s="55" t="str">
        <f t="shared" ca="1" si="127"/>
        <v>26.100 || 133000.000</v>
      </c>
      <c r="E595" s="120">
        <f t="shared" ca="1" si="135"/>
        <v>4.3795165008971964</v>
      </c>
      <c r="F595" s="56" t="e">
        <f t="shared" ca="1" si="136"/>
        <v>#N/A</v>
      </c>
      <c r="G595" s="56" t="e">
        <f t="shared" ca="1" si="128"/>
        <v>#N/A</v>
      </c>
      <c r="H595" s="116" t="e">
        <f t="shared" ca="1" si="129"/>
        <v>#N/A</v>
      </c>
      <c r="I595" s="57" t="e">
        <f t="shared" ca="1" si="130"/>
        <v>#N/A</v>
      </c>
      <c r="J595" s="131">
        <f t="shared" ca="1" si="137"/>
        <v>996</v>
      </c>
      <c r="K595" s="122" t="str">
        <f t="shared" ca="1" si="131"/>
        <v/>
      </c>
      <c r="L595" s="130" t="str">
        <f t="shared" ca="1" si="132"/>
        <v/>
      </c>
      <c r="M595" s="126">
        <f t="shared" ca="1" si="133"/>
        <v>995</v>
      </c>
      <c r="N595" s="58">
        <f t="shared" ca="1" si="124"/>
        <v>133000</v>
      </c>
      <c r="O595" s="160">
        <f t="shared" ca="1" si="124"/>
        <v>126858.18854137874</v>
      </c>
    </row>
    <row r="596" spans="1:15" x14ac:dyDescent="0.25">
      <c r="A596" s="55">
        <f t="shared" ca="1" si="134"/>
        <v>240</v>
      </c>
      <c r="B596" s="55">
        <f t="shared" ca="1" si="125"/>
        <v>26.1</v>
      </c>
      <c r="C596" s="55">
        <f t="shared" ca="1" si="126"/>
        <v>26.094879125224299</v>
      </c>
      <c r="D596" s="55" t="str">
        <f t="shared" ca="1" si="127"/>
        <v>26.100 || 133000.000</v>
      </c>
      <c r="E596" s="120">
        <f t="shared" ca="1" si="135"/>
        <v>4.3795165008971964</v>
      </c>
      <c r="F596" s="56" t="e">
        <f t="shared" ca="1" si="136"/>
        <v>#N/A</v>
      </c>
      <c r="G596" s="56" t="e">
        <f t="shared" ca="1" si="128"/>
        <v>#N/A</v>
      </c>
      <c r="H596" s="116" t="e">
        <f t="shared" ca="1" si="129"/>
        <v>#N/A</v>
      </c>
      <c r="I596" s="57" t="e">
        <f t="shared" ca="1" si="130"/>
        <v>#N/A</v>
      </c>
      <c r="J596" s="131">
        <f t="shared" ca="1" si="137"/>
        <v>996</v>
      </c>
      <c r="K596" s="122" t="str">
        <f t="shared" ca="1" si="131"/>
        <v/>
      </c>
      <c r="L596" s="130" t="str">
        <f t="shared" ca="1" si="132"/>
        <v/>
      </c>
      <c r="M596" s="126">
        <f t="shared" ca="1" si="133"/>
        <v>995</v>
      </c>
      <c r="N596" s="58">
        <f t="shared" ca="1" si="124"/>
        <v>133000</v>
      </c>
      <c r="O596" s="160">
        <f t="shared" ca="1" si="124"/>
        <v>126858.18854137874</v>
      </c>
    </row>
    <row r="597" spans="1:15" x14ac:dyDescent="0.25">
      <c r="A597" s="55">
        <f t="shared" ca="1" si="134"/>
        <v>240</v>
      </c>
      <c r="B597" s="55">
        <f t="shared" ca="1" si="125"/>
        <v>26.1</v>
      </c>
      <c r="C597" s="55">
        <f t="shared" ca="1" si="126"/>
        <v>26.095366741007211</v>
      </c>
      <c r="D597" s="55" t="str">
        <f t="shared" ca="1" si="127"/>
        <v>26.100 || 147000.000</v>
      </c>
      <c r="E597" s="120">
        <f t="shared" ca="1" si="135"/>
        <v>4.3814669640288457</v>
      </c>
      <c r="F597" s="56" t="e">
        <f t="shared" ca="1" si="136"/>
        <v>#N/A</v>
      </c>
      <c r="G597" s="56" t="e">
        <f t="shared" ca="1" si="128"/>
        <v>#N/A</v>
      </c>
      <c r="H597" s="116" t="e">
        <f t="shared" ca="1" si="129"/>
        <v>#N/A</v>
      </c>
      <c r="I597" s="57" t="e">
        <f t="shared" ca="1" si="130"/>
        <v>#N/A</v>
      </c>
      <c r="J597" s="131">
        <f t="shared" ca="1" si="137"/>
        <v>996</v>
      </c>
      <c r="K597" s="122" t="str">
        <f t="shared" ca="1" si="131"/>
        <v/>
      </c>
      <c r="L597" s="130" t="str">
        <f t="shared" ca="1" si="132"/>
        <v/>
      </c>
      <c r="M597" s="126">
        <f t="shared" ca="1" si="133"/>
        <v>995</v>
      </c>
      <c r="N597" s="58">
        <f t="shared" ca="1" si="124"/>
        <v>147000</v>
      </c>
      <c r="O597" s="160">
        <f t="shared" ca="1" si="124"/>
        <v>139824.89048806723</v>
      </c>
    </row>
    <row r="598" spans="1:15" x14ac:dyDescent="0.25">
      <c r="A598" s="55">
        <f t="shared" ca="1" si="134"/>
        <v>240</v>
      </c>
      <c r="B598" s="55">
        <f t="shared" ca="1" si="125"/>
        <v>26.1</v>
      </c>
      <c r="C598" s="55">
        <f t="shared" ca="1" si="126"/>
        <v>26.095366741007211</v>
      </c>
      <c r="D598" s="55" t="str">
        <f t="shared" ca="1" si="127"/>
        <v>26.100 || 147000.000</v>
      </c>
      <c r="E598" s="120">
        <f t="shared" ca="1" si="135"/>
        <v>4.3814669640288457</v>
      </c>
      <c r="F598" s="56" t="e">
        <f t="shared" ca="1" si="136"/>
        <v>#N/A</v>
      </c>
      <c r="G598" s="56" t="e">
        <f t="shared" ca="1" si="128"/>
        <v>#N/A</v>
      </c>
      <c r="H598" s="116" t="e">
        <f t="shared" ca="1" si="129"/>
        <v>#N/A</v>
      </c>
      <c r="I598" s="57" t="e">
        <f t="shared" ca="1" si="130"/>
        <v>#N/A</v>
      </c>
      <c r="J598" s="131">
        <f t="shared" ca="1" si="137"/>
        <v>996</v>
      </c>
      <c r="K598" s="122" t="str">
        <f t="shared" ca="1" si="131"/>
        <v/>
      </c>
      <c r="L598" s="130" t="str">
        <f t="shared" ca="1" si="132"/>
        <v/>
      </c>
      <c r="M598" s="126">
        <f t="shared" ca="1" si="133"/>
        <v>995</v>
      </c>
      <c r="N598" s="58">
        <f t="shared" ca="1" si="124"/>
        <v>147000</v>
      </c>
      <c r="O598" s="160">
        <f t="shared" ca="1" si="124"/>
        <v>139824.89048806723</v>
      </c>
    </row>
    <row r="599" spans="1:15" x14ac:dyDescent="0.25">
      <c r="A599" s="55">
        <f t="shared" ca="1" si="134"/>
        <v>240</v>
      </c>
      <c r="B599" s="55">
        <f t="shared" ca="1" si="125"/>
        <v>26.1</v>
      </c>
      <c r="C599" s="55">
        <f t="shared" ca="1" si="126"/>
        <v>26.095366741007211</v>
      </c>
      <c r="D599" s="55" t="str">
        <f t="shared" ca="1" si="127"/>
        <v>26.100 || 147000.000</v>
      </c>
      <c r="E599" s="120">
        <f t="shared" ca="1" si="135"/>
        <v>4.3814669640288457</v>
      </c>
      <c r="F599" s="56" t="e">
        <f t="shared" ca="1" si="136"/>
        <v>#N/A</v>
      </c>
      <c r="G599" s="56" t="e">
        <f t="shared" ca="1" si="128"/>
        <v>#N/A</v>
      </c>
      <c r="H599" s="116" t="e">
        <f t="shared" ca="1" si="129"/>
        <v>#N/A</v>
      </c>
      <c r="I599" s="57" t="e">
        <f t="shared" ca="1" si="130"/>
        <v>#N/A</v>
      </c>
      <c r="J599" s="131">
        <f t="shared" ca="1" si="137"/>
        <v>996</v>
      </c>
      <c r="K599" s="122" t="str">
        <f t="shared" ca="1" si="131"/>
        <v/>
      </c>
      <c r="L599" s="130" t="str">
        <f t="shared" ca="1" si="132"/>
        <v/>
      </c>
      <c r="M599" s="126">
        <f t="shared" ca="1" si="133"/>
        <v>995</v>
      </c>
      <c r="N599" s="58">
        <f t="shared" ca="1" si="124"/>
        <v>147000</v>
      </c>
      <c r="O599" s="160">
        <f t="shared" ca="1" si="124"/>
        <v>139824.89048806723</v>
      </c>
    </row>
    <row r="600" spans="1:15" x14ac:dyDescent="0.25">
      <c r="A600" s="55">
        <f t="shared" ca="1" si="134"/>
        <v>240</v>
      </c>
      <c r="B600" s="55">
        <f t="shared" ca="1" si="125"/>
        <v>26.1</v>
      </c>
      <c r="C600" s="55">
        <f t="shared" ca="1" si="126"/>
        <v>26.095366741007211</v>
      </c>
      <c r="D600" s="55" t="str">
        <f t="shared" ca="1" si="127"/>
        <v>26.100 || 147000.000</v>
      </c>
      <c r="E600" s="120">
        <f t="shared" ca="1" si="135"/>
        <v>4.3814669640288457</v>
      </c>
      <c r="F600" s="56" t="e">
        <f t="shared" ca="1" si="136"/>
        <v>#N/A</v>
      </c>
      <c r="G600" s="56" t="e">
        <f t="shared" ca="1" si="128"/>
        <v>#N/A</v>
      </c>
      <c r="H600" s="116" t="e">
        <f t="shared" ca="1" si="129"/>
        <v>#N/A</v>
      </c>
      <c r="I600" s="57" t="e">
        <f t="shared" ca="1" si="130"/>
        <v>#N/A</v>
      </c>
      <c r="J600" s="131">
        <f t="shared" ca="1" si="137"/>
        <v>996</v>
      </c>
      <c r="K600" s="122" t="str">
        <f t="shared" ca="1" si="131"/>
        <v/>
      </c>
      <c r="L600" s="130" t="str">
        <f t="shared" ca="1" si="132"/>
        <v/>
      </c>
      <c r="M600" s="126">
        <f t="shared" ca="1" si="133"/>
        <v>995</v>
      </c>
      <c r="N600" s="58">
        <f t="shared" ca="1" si="124"/>
        <v>147000</v>
      </c>
      <c r="O600" s="160">
        <f t="shared" ca="1" si="124"/>
        <v>139824.89048806723</v>
      </c>
    </row>
    <row r="601" spans="1:15" x14ac:dyDescent="0.25">
      <c r="A601" s="55">
        <f t="shared" ca="1" si="134"/>
        <v>240</v>
      </c>
      <c r="B601" s="55">
        <f t="shared" ca="1" si="125"/>
        <v>26.1</v>
      </c>
      <c r="C601" s="55">
        <f t="shared" ca="1" si="126"/>
        <v>26.095795677363093</v>
      </c>
      <c r="D601" s="55" t="str">
        <f t="shared" ca="1" si="127"/>
        <v>26.100 || 162000.000</v>
      </c>
      <c r="E601" s="120">
        <f t="shared" ca="1" si="135"/>
        <v>4.3831827094523703</v>
      </c>
      <c r="F601" s="56" t="e">
        <f t="shared" ca="1" si="136"/>
        <v>#N/A</v>
      </c>
      <c r="G601" s="56" t="e">
        <f t="shared" ca="1" si="128"/>
        <v>#N/A</v>
      </c>
      <c r="H601" s="116" t="e">
        <f t="shared" ca="1" si="129"/>
        <v>#N/A</v>
      </c>
      <c r="I601" s="57" t="e">
        <f t="shared" ca="1" si="130"/>
        <v>#N/A</v>
      </c>
      <c r="J601" s="131">
        <f t="shared" ca="1" si="137"/>
        <v>996</v>
      </c>
      <c r="K601" s="122" t="str">
        <f t="shared" ca="1" si="131"/>
        <v/>
      </c>
      <c r="L601" s="130" t="str">
        <f t="shared" ca="1" si="132"/>
        <v/>
      </c>
      <c r="M601" s="126">
        <f t="shared" ca="1" si="133"/>
        <v>995</v>
      </c>
      <c r="N601" s="58">
        <f t="shared" ca="1" si="124"/>
        <v>162000.00000000003</v>
      </c>
      <c r="O601" s="160">
        <f t="shared" ca="1" si="124"/>
        <v>154317.8537953402</v>
      </c>
    </row>
    <row r="602" spans="1:15" x14ac:dyDescent="0.25">
      <c r="A602" s="55">
        <f t="shared" ca="1" si="134"/>
        <v>240</v>
      </c>
      <c r="B602" s="55">
        <f t="shared" ca="1" si="125"/>
        <v>26.1</v>
      </c>
      <c r="C602" s="55">
        <f t="shared" ca="1" si="126"/>
        <v>26.095795677363093</v>
      </c>
      <c r="D602" s="55" t="str">
        <f t="shared" ca="1" si="127"/>
        <v>26.100 || 162000.000</v>
      </c>
      <c r="E602" s="120">
        <f t="shared" ca="1" si="135"/>
        <v>4.3831827094523703</v>
      </c>
      <c r="F602" s="56" t="e">
        <f t="shared" ca="1" si="136"/>
        <v>#N/A</v>
      </c>
      <c r="G602" s="56" t="e">
        <f t="shared" ca="1" si="128"/>
        <v>#N/A</v>
      </c>
      <c r="H602" s="116" t="e">
        <f t="shared" ca="1" si="129"/>
        <v>#N/A</v>
      </c>
      <c r="I602" s="57" t="e">
        <f t="shared" ca="1" si="130"/>
        <v>#N/A</v>
      </c>
      <c r="J602" s="131">
        <f t="shared" ca="1" si="137"/>
        <v>996</v>
      </c>
      <c r="K602" s="122" t="str">
        <f t="shared" ca="1" si="131"/>
        <v/>
      </c>
      <c r="L602" s="130" t="str">
        <f t="shared" ca="1" si="132"/>
        <v/>
      </c>
      <c r="M602" s="126">
        <f t="shared" ca="1" si="133"/>
        <v>995</v>
      </c>
      <c r="N602" s="58">
        <f t="shared" ca="1" si="124"/>
        <v>162000.00000000003</v>
      </c>
      <c r="O602" s="160">
        <f t="shared" ca="1" si="124"/>
        <v>154317.8537953402</v>
      </c>
    </row>
    <row r="603" spans="1:15" x14ac:dyDescent="0.25">
      <c r="A603" s="55">
        <f t="shared" ca="1" si="134"/>
        <v>240</v>
      </c>
      <c r="B603" s="55">
        <f t="shared" ca="1" si="125"/>
        <v>26.1</v>
      </c>
      <c r="C603" s="55">
        <f t="shared" ca="1" si="126"/>
        <v>26.095795677363093</v>
      </c>
      <c r="D603" s="55" t="str">
        <f t="shared" ca="1" si="127"/>
        <v>26.100 || 162000.000</v>
      </c>
      <c r="E603" s="120">
        <f t="shared" ca="1" si="135"/>
        <v>4.3831827094523703</v>
      </c>
      <c r="F603" s="56" t="e">
        <f t="shared" ca="1" si="136"/>
        <v>#N/A</v>
      </c>
      <c r="G603" s="56" t="e">
        <f t="shared" ca="1" si="128"/>
        <v>#N/A</v>
      </c>
      <c r="H603" s="116" t="e">
        <f t="shared" ca="1" si="129"/>
        <v>#N/A</v>
      </c>
      <c r="I603" s="57" t="e">
        <f t="shared" ca="1" si="130"/>
        <v>#N/A</v>
      </c>
      <c r="J603" s="131">
        <f t="shared" ca="1" si="137"/>
        <v>996</v>
      </c>
      <c r="K603" s="122" t="str">
        <f t="shared" ca="1" si="131"/>
        <v/>
      </c>
      <c r="L603" s="130" t="str">
        <f t="shared" ca="1" si="132"/>
        <v/>
      </c>
      <c r="M603" s="126">
        <f t="shared" ca="1" si="133"/>
        <v>995</v>
      </c>
      <c r="N603" s="58">
        <f t="shared" ca="1" si="124"/>
        <v>162000.00000000003</v>
      </c>
      <c r="O603" s="160">
        <f t="shared" ca="1" si="124"/>
        <v>154317.8537953402</v>
      </c>
    </row>
    <row r="604" spans="1:15" x14ac:dyDescent="0.25">
      <c r="A604" s="55">
        <f t="shared" ca="1" si="134"/>
        <v>240</v>
      </c>
      <c r="B604" s="55">
        <f t="shared" ca="1" si="125"/>
        <v>26.1</v>
      </c>
      <c r="C604" s="55">
        <f t="shared" ca="1" si="126"/>
        <v>26.095795677363093</v>
      </c>
      <c r="D604" s="55" t="str">
        <f t="shared" ca="1" si="127"/>
        <v>26.100 || 162000.000</v>
      </c>
      <c r="E604" s="120">
        <f t="shared" ca="1" si="135"/>
        <v>4.3831827094523703</v>
      </c>
      <c r="F604" s="56" t="e">
        <f t="shared" ca="1" si="136"/>
        <v>#N/A</v>
      </c>
      <c r="G604" s="56" t="e">
        <f t="shared" ca="1" si="128"/>
        <v>#N/A</v>
      </c>
      <c r="H604" s="116" t="e">
        <f t="shared" ca="1" si="129"/>
        <v>#N/A</v>
      </c>
      <c r="I604" s="57" t="e">
        <f t="shared" ca="1" si="130"/>
        <v>#N/A</v>
      </c>
      <c r="J604" s="131">
        <f t="shared" ca="1" si="137"/>
        <v>996</v>
      </c>
      <c r="K604" s="122" t="str">
        <f t="shared" ca="1" si="131"/>
        <v/>
      </c>
      <c r="L604" s="130" t="str">
        <f t="shared" ca="1" si="132"/>
        <v/>
      </c>
      <c r="M604" s="126">
        <f t="shared" ca="1" si="133"/>
        <v>995</v>
      </c>
      <c r="N604" s="58">
        <f t="shared" ca="1" si="124"/>
        <v>162000.00000000003</v>
      </c>
      <c r="O604" s="160">
        <f t="shared" ca="1" si="124"/>
        <v>154317.8537953402</v>
      </c>
    </row>
    <row r="605" spans="1:15" x14ac:dyDescent="0.25">
      <c r="A605" s="55">
        <f t="shared" ca="1" si="134"/>
        <v>240</v>
      </c>
      <c r="B605" s="55">
        <f t="shared" ca="1" si="125"/>
        <v>26.1</v>
      </c>
      <c r="C605" s="55">
        <f t="shared" ca="1" si="126"/>
        <v>26.096173538599114</v>
      </c>
      <c r="D605" s="55" t="str">
        <f t="shared" ca="1" si="127"/>
        <v>26.100 || 178000.000</v>
      </c>
      <c r="E605" s="120">
        <f t="shared" ca="1" si="135"/>
        <v>4.3846941543964562</v>
      </c>
      <c r="F605" s="56" t="e">
        <f t="shared" ca="1" si="136"/>
        <v>#N/A</v>
      </c>
      <c r="G605" s="56" t="e">
        <f t="shared" ca="1" si="128"/>
        <v>#N/A</v>
      </c>
      <c r="H605" s="116" t="e">
        <f t="shared" ca="1" si="129"/>
        <v>#N/A</v>
      </c>
      <c r="I605" s="57" t="e">
        <f t="shared" ca="1" si="130"/>
        <v>#N/A</v>
      </c>
      <c r="J605" s="131">
        <f t="shared" ca="1" si="137"/>
        <v>996</v>
      </c>
      <c r="K605" s="122" t="str">
        <f t="shared" ca="1" si="131"/>
        <v/>
      </c>
      <c r="L605" s="130" t="str">
        <f t="shared" ca="1" si="132"/>
        <v/>
      </c>
      <c r="M605" s="126">
        <f t="shared" ca="1" si="133"/>
        <v>995</v>
      </c>
      <c r="N605" s="58">
        <f t="shared" ca="1" si="124"/>
        <v>177999.99999999997</v>
      </c>
      <c r="O605" s="160">
        <f t="shared" ca="1" si="124"/>
        <v>169811.66037701885</v>
      </c>
    </row>
    <row r="606" spans="1:15" x14ac:dyDescent="0.25">
      <c r="A606" s="55">
        <f t="shared" ca="1" si="134"/>
        <v>240</v>
      </c>
      <c r="B606" s="55">
        <f t="shared" ca="1" si="125"/>
        <v>26.1</v>
      </c>
      <c r="C606" s="55">
        <f t="shared" ca="1" si="126"/>
        <v>26.096173538599114</v>
      </c>
      <c r="D606" s="55" t="str">
        <f t="shared" ca="1" si="127"/>
        <v>26.100 || 178000.000</v>
      </c>
      <c r="E606" s="120">
        <f t="shared" ca="1" si="135"/>
        <v>4.3846941543964562</v>
      </c>
      <c r="F606" s="56" t="e">
        <f t="shared" ca="1" si="136"/>
        <v>#N/A</v>
      </c>
      <c r="G606" s="56" t="e">
        <f t="shared" ca="1" si="128"/>
        <v>#N/A</v>
      </c>
      <c r="H606" s="116" t="e">
        <f t="shared" ca="1" si="129"/>
        <v>#N/A</v>
      </c>
      <c r="I606" s="57" t="e">
        <f t="shared" ca="1" si="130"/>
        <v>#N/A</v>
      </c>
      <c r="J606" s="131">
        <f t="shared" ca="1" si="137"/>
        <v>996</v>
      </c>
      <c r="K606" s="122" t="str">
        <f t="shared" ca="1" si="131"/>
        <v/>
      </c>
      <c r="L606" s="130" t="str">
        <f t="shared" ca="1" si="132"/>
        <v/>
      </c>
      <c r="M606" s="126">
        <f t="shared" ca="1" si="133"/>
        <v>995</v>
      </c>
      <c r="N606" s="58">
        <f t="shared" ca="1" si="124"/>
        <v>177999.99999999997</v>
      </c>
      <c r="O606" s="160">
        <f t="shared" ca="1" si="124"/>
        <v>169811.66037701885</v>
      </c>
    </row>
    <row r="607" spans="1:15" x14ac:dyDescent="0.25">
      <c r="A607" s="55">
        <f t="shared" ca="1" si="134"/>
        <v>240</v>
      </c>
      <c r="B607" s="55">
        <f t="shared" ca="1" si="125"/>
        <v>26.1</v>
      </c>
      <c r="C607" s="55">
        <f t="shared" ca="1" si="126"/>
        <v>26.096173538599114</v>
      </c>
      <c r="D607" s="55" t="str">
        <f t="shared" ca="1" si="127"/>
        <v>26.100 || 178000.000</v>
      </c>
      <c r="E607" s="120">
        <f t="shared" ca="1" si="135"/>
        <v>4.3846941543964562</v>
      </c>
      <c r="F607" s="56" t="e">
        <f t="shared" ca="1" si="136"/>
        <v>#N/A</v>
      </c>
      <c r="G607" s="56" t="e">
        <f t="shared" ca="1" si="128"/>
        <v>#N/A</v>
      </c>
      <c r="H607" s="116" t="e">
        <f t="shared" ca="1" si="129"/>
        <v>#N/A</v>
      </c>
      <c r="I607" s="57" t="e">
        <f t="shared" ca="1" si="130"/>
        <v>#N/A</v>
      </c>
      <c r="J607" s="131">
        <f t="shared" ca="1" si="137"/>
        <v>996</v>
      </c>
      <c r="K607" s="122" t="str">
        <f t="shared" ca="1" si="131"/>
        <v/>
      </c>
      <c r="L607" s="130" t="str">
        <f t="shared" ca="1" si="132"/>
        <v/>
      </c>
      <c r="M607" s="126">
        <f t="shared" ca="1" si="133"/>
        <v>995</v>
      </c>
      <c r="N607" s="58">
        <f t="shared" ca="1" si="124"/>
        <v>177999.99999999997</v>
      </c>
      <c r="O607" s="160">
        <f t="shared" ca="1" si="124"/>
        <v>169811.66037701885</v>
      </c>
    </row>
    <row r="608" spans="1:15" x14ac:dyDescent="0.25">
      <c r="A608" s="55">
        <f t="shared" ca="1" si="134"/>
        <v>240</v>
      </c>
      <c r="B608" s="55">
        <f t="shared" ca="1" si="125"/>
        <v>26.1</v>
      </c>
      <c r="C608" s="55">
        <f t="shared" ca="1" si="126"/>
        <v>26.096173538599114</v>
      </c>
      <c r="D608" s="55" t="str">
        <f t="shared" ca="1" si="127"/>
        <v>26.100 || 178000.000</v>
      </c>
      <c r="E608" s="120">
        <f t="shared" ca="1" si="135"/>
        <v>4.3846941543964562</v>
      </c>
      <c r="F608" s="56" t="e">
        <f t="shared" ca="1" si="136"/>
        <v>#N/A</v>
      </c>
      <c r="G608" s="56" t="e">
        <f t="shared" ca="1" si="128"/>
        <v>#N/A</v>
      </c>
      <c r="H608" s="116" t="e">
        <f t="shared" ca="1" si="129"/>
        <v>#N/A</v>
      </c>
      <c r="I608" s="57" t="e">
        <f t="shared" ca="1" si="130"/>
        <v>#N/A</v>
      </c>
      <c r="J608" s="131">
        <f t="shared" ca="1" si="137"/>
        <v>996</v>
      </c>
      <c r="K608" s="122" t="str">
        <f t="shared" ca="1" si="131"/>
        <v/>
      </c>
      <c r="L608" s="130" t="str">
        <f t="shared" ca="1" si="132"/>
        <v/>
      </c>
      <c r="M608" s="126">
        <f t="shared" ca="1" si="133"/>
        <v>995</v>
      </c>
      <c r="N608" s="58">
        <f t="shared" ca="1" si="124"/>
        <v>177999.99999999997</v>
      </c>
      <c r="O608" s="160">
        <f t="shared" ca="1" si="124"/>
        <v>169811.66037701885</v>
      </c>
    </row>
    <row r="609" spans="1:15" x14ac:dyDescent="0.25">
      <c r="A609" s="55">
        <f t="shared" ca="1" si="134"/>
        <v>240</v>
      </c>
      <c r="B609" s="55">
        <f t="shared" ca="1" si="125"/>
        <v>26.1</v>
      </c>
      <c r="C609" s="55">
        <f t="shared" ca="1" si="126"/>
        <v>26.096524901530969</v>
      </c>
      <c r="D609" s="55" t="str">
        <f t="shared" ca="1" si="127"/>
        <v>26.100 || 196000.000</v>
      </c>
      <c r="E609" s="120">
        <f t="shared" ca="1" si="135"/>
        <v>4.3860996061238779</v>
      </c>
      <c r="F609" s="56" t="e">
        <f t="shared" ca="1" si="136"/>
        <v>#N/A</v>
      </c>
      <c r="G609" s="56" t="e">
        <f t="shared" ca="1" si="128"/>
        <v>#N/A</v>
      </c>
      <c r="H609" s="116" t="e">
        <f t="shared" ca="1" si="129"/>
        <v>#N/A</v>
      </c>
      <c r="I609" s="57" t="e">
        <f t="shared" ca="1" si="130"/>
        <v>#N/A</v>
      </c>
      <c r="J609" s="131">
        <f t="shared" ca="1" si="137"/>
        <v>996</v>
      </c>
      <c r="K609" s="122" t="str">
        <f t="shared" ca="1" si="131"/>
        <v/>
      </c>
      <c r="L609" s="130" t="str">
        <f t="shared" ca="1" si="132"/>
        <v/>
      </c>
      <c r="M609" s="126">
        <f t="shared" ca="1" si="133"/>
        <v>995</v>
      </c>
      <c r="N609" s="58">
        <f t="shared" ca="1" si="124"/>
        <v>196000</v>
      </c>
      <c r="O609" s="160">
        <f t="shared" ca="1" si="124"/>
        <v>186783.29689776871</v>
      </c>
    </row>
    <row r="610" spans="1:15" x14ac:dyDescent="0.25">
      <c r="A610" s="55">
        <f t="shared" ca="1" si="134"/>
        <v>240</v>
      </c>
      <c r="B610" s="55">
        <f t="shared" ca="1" si="125"/>
        <v>26.1</v>
      </c>
      <c r="C610" s="55">
        <f t="shared" ca="1" si="126"/>
        <v>26.096524901530969</v>
      </c>
      <c r="D610" s="55" t="str">
        <f t="shared" ca="1" si="127"/>
        <v>26.100 || 196000.000</v>
      </c>
      <c r="E610" s="120">
        <f t="shared" ca="1" si="135"/>
        <v>4.3860996061238779</v>
      </c>
      <c r="F610" s="56" t="e">
        <f t="shared" ca="1" si="136"/>
        <v>#N/A</v>
      </c>
      <c r="G610" s="56" t="e">
        <f t="shared" ca="1" si="128"/>
        <v>#N/A</v>
      </c>
      <c r="H610" s="116" t="e">
        <f t="shared" ca="1" si="129"/>
        <v>#N/A</v>
      </c>
      <c r="I610" s="57" t="e">
        <f t="shared" ca="1" si="130"/>
        <v>#N/A</v>
      </c>
      <c r="J610" s="131">
        <f t="shared" ca="1" si="137"/>
        <v>996</v>
      </c>
      <c r="K610" s="122" t="str">
        <f t="shared" ca="1" si="131"/>
        <v/>
      </c>
      <c r="L610" s="130" t="str">
        <f t="shared" ca="1" si="132"/>
        <v/>
      </c>
      <c r="M610" s="126">
        <f t="shared" ca="1" si="133"/>
        <v>995</v>
      </c>
      <c r="N610" s="58">
        <f t="shared" ca="1" si="124"/>
        <v>196000</v>
      </c>
      <c r="O610" s="160">
        <f t="shared" ca="1" si="124"/>
        <v>186783.29689776871</v>
      </c>
    </row>
    <row r="611" spans="1:15" x14ac:dyDescent="0.25">
      <c r="A611" s="55">
        <f t="shared" ca="1" si="134"/>
        <v>240</v>
      </c>
      <c r="B611" s="55">
        <f t="shared" ca="1" si="125"/>
        <v>26.1</v>
      </c>
      <c r="C611" s="55">
        <f t="shared" ca="1" si="126"/>
        <v>26.096524901530969</v>
      </c>
      <c r="D611" s="55" t="str">
        <f t="shared" ca="1" si="127"/>
        <v>26.100 || 196000.000</v>
      </c>
      <c r="E611" s="120">
        <f t="shared" ca="1" si="135"/>
        <v>4.3860996061238779</v>
      </c>
      <c r="F611" s="56" t="e">
        <f t="shared" ca="1" si="136"/>
        <v>#N/A</v>
      </c>
      <c r="G611" s="56" t="e">
        <f t="shared" ca="1" si="128"/>
        <v>#N/A</v>
      </c>
      <c r="H611" s="116" t="e">
        <f t="shared" ca="1" si="129"/>
        <v>#N/A</v>
      </c>
      <c r="I611" s="57" t="e">
        <f t="shared" ca="1" si="130"/>
        <v>#N/A</v>
      </c>
      <c r="J611" s="131">
        <f t="shared" ca="1" si="137"/>
        <v>996</v>
      </c>
      <c r="K611" s="122" t="str">
        <f t="shared" ca="1" si="131"/>
        <v/>
      </c>
      <c r="L611" s="130" t="str">
        <f t="shared" ca="1" si="132"/>
        <v/>
      </c>
      <c r="M611" s="126">
        <f t="shared" ca="1" si="133"/>
        <v>995</v>
      </c>
      <c r="N611" s="58">
        <f t="shared" ca="1" si="124"/>
        <v>196000</v>
      </c>
      <c r="O611" s="160">
        <f t="shared" ca="1" si="124"/>
        <v>186783.29689776871</v>
      </c>
    </row>
    <row r="612" spans="1:15" x14ac:dyDescent="0.25">
      <c r="A612" s="55">
        <f t="shared" ca="1" si="134"/>
        <v>240</v>
      </c>
      <c r="B612" s="55">
        <f t="shared" ca="1" si="125"/>
        <v>26.1</v>
      </c>
      <c r="C612" s="55">
        <f t="shared" ca="1" si="126"/>
        <v>26.096524901530969</v>
      </c>
      <c r="D612" s="55" t="str">
        <f t="shared" ca="1" si="127"/>
        <v>26.100 || 196000.000</v>
      </c>
      <c r="E612" s="120">
        <f t="shared" ca="1" si="135"/>
        <v>4.3860996061238779</v>
      </c>
      <c r="F612" s="56" t="e">
        <f t="shared" ca="1" si="136"/>
        <v>#N/A</v>
      </c>
      <c r="G612" s="56" t="e">
        <f t="shared" ca="1" si="128"/>
        <v>#N/A</v>
      </c>
      <c r="H612" s="116" t="e">
        <f t="shared" ca="1" si="129"/>
        <v>#N/A</v>
      </c>
      <c r="I612" s="57" t="e">
        <f t="shared" ca="1" si="130"/>
        <v>#N/A</v>
      </c>
      <c r="J612" s="131">
        <f t="shared" ca="1" si="137"/>
        <v>996</v>
      </c>
      <c r="K612" s="122" t="str">
        <f t="shared" ca="1" si="131"/>
        <v/>
      </c>
      <c r="L612" s="130" t="str">
        <f t="shared" ca="1" si="132"/>
        <v/>
      </c>
      <c r="M612" s="126">
        <f t="shared" ca="1" si="133"/>
        <v>995</v>
      </c>
      <c r="N612" s="58">
        <f t="shared" ca="1" si="124"/>
        <v>196000</v>
      </c>
      <c r="O612" s="160">
        <f t="shared" ca="1" si="124"/>
        <v>186783.29689776871</v>
      </c>
    </row>
    <row r="613" spans="1:15" x14ac:dyDescent="0.25">
      <c r="A613" s="55">
        <f t="shared" ca="1" si="134"/>
        <v>240</v>
      </c>
      <c r="B613" s="55">
        <f t="shared" ca="1" si="125"/>
        <v>26.1</v>
      </c>
      <c r="C613" s="55">
        <f t="shared" ca="1" si="126"/>
        <v>26.096831965979945</v>
      </c>
      <c r="D613" s="55" t="str">
        <f t="shared" ca="1" si="127"/>
        <v>26.100 || 215000.000</v>
      </c>
      <c r="E613" s="120">
        <f t="shared" ca="1" si="135"/>
        <v>4.3873278639197792</v>
      </c>
      <c r="F613" s="56" t="e">
        <f t="shared" ca="1" si="136"/>
        <v>#N/A</v>
      </c>
      <c r="G613" s="56" t="e">
        <f t="shared" ca="1" si="128"/>
        <v>#N/A</v>
      </c>
      <c r="H613" s="116" t="e">
        <f t="shared" ca="1" si="129"/>
        <v>#N/A</v>
      </c>
      <c r="I613" s="57" t="e">
        <f t="shared" ca="1" si="130"/>
        <v>#N/A</v>
      </c>
      <c r="J613" s="131">
        <f t="shared" ca="1" si="137"/>
        <v>996</v>
      </c>
      <c r="K613" s="122" t="str">
        <f t="shared" ca="1" si="131"/>
        <v/>
      </c>
      <c r="L613" s="130" t="str">
        <f t="shared" ca="1" si="132"/>
        <v/>
      </c>
      <c r="M613" s="126">
        <f t="shared" ca="1" si="133"/>
        <v>995</v>
      </c>
      <c r="N613" s="58">
        <f t="shared" ca="1" si="124"/>
        <v>215000</v>
      </c>
      <c r="O613" s="160">
        <f t="shared" ca="1" si="124"/>
        <v>205280.29618061258</v>
      </c>
    </row>
    <row r="614" spans="1:15" x14ac:dyDescent="0.25">
      <c r="A614" s="55">
        <f t="shared" ca="1" si="134"/>
        <v>240</v>
      </c>
      <c r="B614" s="55">
        <f t="shared" ca="1" si="125"/>
        <v>26.1</v>
      </c>
      <c r="C614" s="55">
        <f t="shared" ca="1" si="126"/>
        <v>26.096831965979945</v>
      </c>
      <c r="D614" s="55" t="str">
        <f t="shared" ca="1" si="127"/>
        <v>26.100 || 215000.000</v>
      </c>
      <c r="E614" s="120">
        <f t="shared" ca="1" si="135"/>
        <v>4.3873278639197792</v>
      </c>
      <c r="F614" s="56" t="e">
        <f t="shared" ca="1" si="136"/>
        <v>#N/A</v>
      </c>
      <c r="G614" s="56" t="e">
        <f t="shared" ca="1" si="128"/>
        <v>#N/A</v>
      </c>
      <c r="H614" s="116" t="e">
        <f t="shared" ca="1" si="129"/>
        <v>#N/A</v>
      </c>
      <c r="I614" s="57" t="e">
        <f t="shared" ca="1" si="130"/>
        <v>#N/A</v>
      </c>
      <c r="J614" s="131">
        <f t="shared" ca="1" si="137"/>
        <v>996</v>
      </c>
      <c r="K614" s="122" t="str">
        <f t="shared" ca="1" si="131"/>
        <v/>
      </c>
      <c r="L614" s="130" t="str">
        <f t="shared" ca="1" si="132"/>
        <v/>
      </c>
      <c r="M614" s="126">
        <f t="shared" ca="1" si="133"/>
        <v>995</v>
      </c>
      <c r="N614" s="58">
        <f t="shared" ca="1" si="124"/>
        <v>215000</v>
      </c>
      <c r="O614" s="160">
        <f t="shared" ca="1" si="124"/>
        <v>205280.29618061258</v>
      </c>
    </row>
    <row r="615" spans="1:15" x14ac:dyDescent="0.25">
      <c r="A615" s="55">
        <f t="shared" ca="1" si="134"/>
        <v>240</v>
      </c>
      <c r="B615" s="55">
        <f t="shared" ca="1" si="125"/>
        <v>26.1</v>
      </c>
      <c r="C615" s="55">
        <f t="shared" ca="1" si="126"/>
        <v>26.096831965979945</v>
      </c>
      <c r="D615" s="55" t="str">
        <f t="shared" ca="1" si="127"/>
        <v>26.100 || 215000.000</v>
      </c>
      <c r="E615" s="120">
        <f t="shared" ca="1" si="135"/>
        <v>4.3873278639197792</v>
      </c>
      <c r="F615" s="56" t="e">
        <f t="shared" ca="1" si="136"/>
        <v>#N/A</v>
      </c>
      <c r="G615" s="56" t="e">
        <f t="shared" ca="1" si="128"/>
        <v>#N/A</v>
      </c>
      <c r="H615" s="116" t="e">
        <f t="shared" ca="1" si="129"/>
        <v>#N/A</v>
      </c>
      <c r="I615" s="57" t="e">
        <f t="shared" ca="1" si="130"/>
        <v>#N/A</v>
      </c>
      <c r="J615" s="131">
        <f t="shared" ca="1" si="137"/>
        <v>996</v>
      </c>
      <c r="K615" s="122" t="str">
        <f t="shared" ca="1" si="131"/>
        <v/>
      </c>
      <c r="L615" s="130" t="str">
        <f t="shared" ca="1" si="132"/>
        <v/>
      </c>
      <c r="M615" s="126">
        <f t="shared" ca="1" si="133"/>
        <v>995</v>
      </c>
      <c r="N615" s="58">
        <f t="shared" ca="1" si="124"/>
        <v>215000</v>
      </c>
      <c r="O615" s="160">
        <f t="shared" ca="1" si="124"/>
        <v>205280.29618061258</v>
      </c>
    </row>
    <row r="616" spans="1:15" x14ac:dyDescent="0.25">
      <c r="A616" s="55">
        <f t="shared" ca="1" si="134"/>
        <v>240</v>
      </c>
      <c r="B616" s="55">
        <f t="shared" ca="1" si="125"/>
        <v>26.1</v>
      </c>
      <c r="C616" s="55">
        <f t="shared" ca="1" si="126"/>
        <v>26.096831965979945</v>
      </c>
      <c r="D616" s="55" t="str">
        <f t="shared" ca="1" si="127"/>
        <v>26.100 || 215000.000</v>
      </c>
      <c r="E616" s="120">
        <f t="shared" ca="1" si="135"/>
        <v>4.3873278639197792</v>
      </c>
      <c r="F616" s="56" t="e">
        <f t="shared" ca="1" si="136"/>
        <v>#N/A</v>
      </c>
      <c r="G616" s="56" t="e">
        <f t="shared" ca="1" si="128"/>
        <v>#N/A</v>
      </c>
      <c r="H616" s="116" t="e">
        <f t="shared" ca="1" si="129"/>
        <v>#N/A</v>
      </c>
      <c r="I616" s="57" t="e">
        <f t="shared" ca="1" si="130"/>
        <v>#N/A</v>
      </c>
      <c r="J616" s="131">
        <f t="shared" ca="1" si="137"/>
        <v>996</v>
      </c>
      <c r="K616" s="122" t="str">
        <f t="shared" ca="1" si="131"/>
        <v/>
      </c>
      <c r="L616" s="130" t="str">
        <f t="shared" ca="1" si="132"/>
        <v/>
      </c>
      <c r="M616" s="126">
        <f t="shared" ca="1" si="133"/>
        <v>995</v>
      </c>
      <c r="N616" s="58">
        <f t="shared" ref="N616:O679" ca="1" si="138">N520*10</f>
        <v>215000</v>
      </c>
      <c r="O616" s="160">
        <f t="shared" ca="1" si="138"/>
        <v>205280.29618061258</v>
      </c>
    </row>
    <row r="617" spans="1:15" x14ac:dyDescent="0.25">
      <c r="A617" s="55">
        <f t="shared" ca="1" si="134"/>
        <v>240</v>
      </c>
      <c r="B617" s="55">
        <f t="shared" ca="1" si="125"/>
        <v>26.1</v>
      </c>
      <c r="C617" s="55">
        <f t="shared" ca="1" si="126"/>
        <v>26.097126012704933</v>
      </c>
      <c r="D617" s="55" t="str">
        <f t="shared" ca="1" si="127"/>
        <v>26.100 || 237000.000</v>
      </c>
      <c r="E617" s="120">
        <f t="shared" ca="1" si="135"/>
        <v>4.3885040508197335</v>
      </c>
      <c r="F617" s="56" t="e">
        <f t="shared" ca="1" si="136"/>
        <v>#N/A</v>
      </c>
      <c r="G617" s="56" t="e">
        <f t="shared" ca="1" si="128"/>
        <v>#N/A</v>
      </c>
      <c r="H617" s="116" t="e">
        <f t="shared" ca="1" si="129"/>
        <v>#N/A</v>
      </c>
      <c r="I617" s="57" t="e">
        <f t="shared" ca="1" si="130"/>
        <v>#N/A</v>
      </c>
      <c r="J617" s="131">
        <f t="shared" ca="1" si="137"/>
        <v>996</v>
      </c>
      <c r="K617" s="122" t="str">
        <f t="shared" ca="1" si="131"/>
        <v/>
      </c>
      <c r="L617" s="130" t="str">
        <f t="shared" ca="1" si="132"/>
        <v/>
      </c>
      <c r="M617" s="126">
        <f t="shared" ca="1" si="133"/>
        <v>995</v>
      </c>
      <c r="N617" s="58">
        <f t="shared" ca="1" si="138"/>
        <v>237000.00000000003</v>
      </c>
      <c r="O617" s="160">
        <f t="shared" ca="1" si="138"/>
        <v>225732.14215082442</v>
      </c>
    </row>
    <row r="618" spans="1:15" x14ac:dyDescent="0.25">
      <c r="A618" s="55">
        <f t="shared" ca="1" si="134"/>
        <v>240</v>
      </c>
      <c r="B618" s="55">
        <f t="shared" ca="1" si="125"/>
        <v>26.1</v>
      </c>
      <c r="C618" s="55">
        <f t="shared" ca="1" si="126"/>
        <v>26.097126012704933</v>
      </c>
      <c r="D618" s="55" t="str">
        <f t="shared" ca="1" si="127"/>
        <v>26.100 || 237000.000</v>
      </c>
      <c r="E618" s="120">
        <f t="shared" ca="1" si="135"/>
        <v>4.3885040508197335</v>
      </c>
      <c r="F618" s="56" t="e">
        <f t="shared" ca="1" si="136"/>
        <v>#N/A</v>
      </c>
      <c r="G618" s="56" t="e">
        <f t="shared" ca="1" si="128"/>
        <v>#N/A</v>
      </c>
      <c r="H618" s="116" t="e">
        <f t="shared" ca="1" si="129"/>
        <v>#N/A</v>
      </c>
      <c r="I618" s="57" t="e">
        <f t="shared" ca="1" si="130"/>
        <v>#N/A</v>
      </c>
      <c r="J618" s="131">
        <f t="shared" ca="1" si="137"/>
        <v>996</v>
      </c>
      <c r="K618" s="122" t="str">
        <f t="shared" ca="1" si="131"/>
        <v/>
      </c>
      <c r="L618" s="130" t="str">
        <f t="shared" ca="1" si="132"/>
        <v/>
      </c>
      <c r="M618" s="126">
        <f t="shared" ca="1" si="133"/>
        <v>995</v>
      </c>
      <c r="N618" s="58">
        <f t="shared" ca="1" si="138"/>
        <v>237000.00000000003</v>
      </c>
      <c r="O618" s="160">
        <f t="shared" ca="1" si="138"/>
        <v>225732.14215082442</v>
      </c>
    </row>
    <row r="619" spans="1:15" x14ac:dyDescent="0.25">
      <c r="A619" s="55">
        <f t="shared" ca="1" si="134"/>
        <v>240</v>
      </c>
      <c r="B619" s="55">
        <f t="shared" ca="1" si="125"/>
        <v>26.1</v>
      </c>
      <c r="C619" s="55">
        <f t="shared" ca="1" si="126"/>
        <v>26.097126012704933</v>
      </c>
      <c r="D619" s="55" t="str">
        <f t="shared" ca="1" si="127"/>
        <v>26.100 || 237000.000</v>
      </c>
      <c r="E619" s="120">
        <f t="shared" ca="1" si="135"/>
        <v>4.3885040508197335</v>
      </c>
      <c r="F619" s="56" t="e">
        <f t="shared" ca="1" si="136"/>
        <v>#N/A</v>
      </c>
      <c r="G619" s="56" t="e">
        <f t="shared" ca="1" si="128"/>
        <v>#N/A</v>
      </c>
      <c r="H619" s="116" t="e">
        <f t="shared" ca="1" si="129"/>
        <v>#N/A</v>
      </c>
      <c r="I619" s="57" t="e">
        <f t="shared" ca="1" si="130"/>
        <v>#N/A</v>
      </c>
      <c r="J619" s="131">
        <f t="shared" ca="1" si="137"/>
        <v>996</v>
      </c>
      <c r="K619" s="122" t="str">
        <f t="shared" ca="1" si="131"/>
        <v/>
      </c>
      <c r="L619" s="130" t="str">
        <f t="shared" ca="1" si="132"/>
        <v/>
      </c>
      <c r="M619" s="126">
        <f t="shared" ca="1" si="133"/>
        <v>995</v>
      </c>
      <c r="N619" s="58">
        <f t="shared" ca="1" si="138"/>
        <v>237000.00000000003</v>
      </c>
      <c r="O619" s="160">
        <f t="shared" ca="1" si="138"/>
        <v>225732.14215082442</v>
      </c>
    </row>
    <row r="620" spans="1:15" x14ac:dyDescent="0.25">
      <c r="A620" s="55">
        <f t="shared" ca="1" si="134"/>
        <v>240</v>
      </c>
      <c r="B620" s="55">
        <f t="shared" ca="1" si="125"/>
        <v>26.1</v>
      </c>
      <c r="C620" s="55">
        <f t="shared" ca="1" si="126"/>
        <v>26.097126012704933</v>
      </c>
      <c r="D620" s="55" t="str">
        <f t="shared" ca="1" si="127"/>
        <v>26.100 || 237000.000</v>
      </c>
      <c r="E620" s="120">
        <f t="shared" ca="1" si="135"/>
        <v>4.3885040508197335</v>
      </c>
      <c r="F620" s="56" t="e">
        <f t="shared" ca="1" si="136"/>
        <v>#N/A</v>
      </c>
      <c r="G620" s="56" t="e">
        <f t="shared" ca="1" si="128"/>
        <v>#N/A</v>
      </c>
      <c r="H620" s="116" t="e">
        <f t="shared" ca="1" si="129"/>
        <v>#N/A</v>
      </c>
      <c r="I620" s="57" t="e">
        <f t="shared" ca="1" si="130"/>
        <v>#N/A</v>
      </c>
      <c r="J620" s="131">
        <f t="shared" ca="1" si="137"/>
        <v>996</v>
      </c>
      <c r="K620" s="122" t="str">
        <f t="shared" ca="1" si="131"/>
        <v/>
      </c>
      <c r="L620" s="130" t="str">
        <f t="shared" ca="1" si="132"/>
        <v/>
      </c>
      <c r="M620" s="126">
        <f t="shared" ca="1" si="133"/>
        <v>995</v>
      </c>
      <c r="N620" s="58">
        <f t="shared" ca="1" si="138"/>
        <v>237000.00000000003</v>
      </c>
      <c r="O620" s="160">
        <f t="shared" ca="1" si="138"/>
        <v>225732.14215082442</v>
      </c>
    </row>
    <row r="621" spans="1:15" x14ac:dyDescent="0.25">
      <c r="A621" s="55">
        <f t="shared" ca="1" si="134"/>
        <v>240</v>
      </c>
      <c r="B621" s="55">
        <f t="shared" ca="1" si="125"/>
        <v>26.1</v>
      </c>
      <c r="C621" s="55">
        <f t="shared" ca="1" si="126"/>
        <v>26.097390260973903</v>
      </c>
      <c r="D621" s="55" t="str">
        <f t="shared" ca="1" si="127"/>
        <v>26.100 || 261000.000</v>
      </c>
      <c r="E621" s="120">
        <f t="shared" ca="1" si="135"/>
        <v>4.3895610438956112</v>
      </c>
      <c r="F621" s="56" t="e">
        <f t="shared" ca="1" si="136"/>
        <v>#N/A</v>
      </c>
      <c r="G621" s="56" t="e">
        <f t="shared" ca="1" si="128"/>
        <v>#N/A</v>
      </c>
      <c r="H621" s="116" t="e">
        <f t="shared" ca="1" si="129"/>
        <v>#N/A</v>
      </c>
      <c r="I621" s="57" t="e">
        <f t="shared" ca="1" si="130"/>
        <v>#N/A</v>
      </c>
      <c r="J621" s="131">
        <f t="shared" ca="1" si="137"/>
        <v>996</v>
      </c>
      <c r="K621" s="122" t="str">
        <f t="shared" ca="1" si="131"/>
        <v/>
      </c>
      <c r="L621" s="130" t="str">
        <f t="shared" ca="1" si="132"/>
        <v/>
      </c>
      <c r="M621" s="126">
        <f t="shared" ca="1" si="133"/>
        <v>995</v>
      </c>
      <c r="N621" s="58">
        <f t="shared" ca="1" si="138"/>
        <v>261000</v>
      </c>
      <c r="O621" s="160">
        <f t="shared" ca="1" si="138"/>
        <v>248710.6752835511</v>
      </c>
    </row>
    <row r="622" spans="1:15" x14ac:dyDescent="0.25">
      <c r="A622" s="55">
        <f t="shared" ca="1" si="134"/>
        <v>240</v>
      </c>
      <c r="B622" s="55">
        <f t="shared" ca="1" si="125"/>
        <v>26.1</v>
      </c>
      <c r="C622" s="55">
        <f t="shared" ca="1" si="126"/>
        <v>26.097390260973903</v>
      </c>
      <c r="D622" s="55" t="str">
        <f t="shared" ca="1" si="127"/>
        <v>26.100 || 261000.000</v>
      </c>
      <c r="E622" s="120">
        <f t="shared" ca="1" si="135"/>
        <v>4.3895610438956112</v>
      </c>
      <c r="F622" s="56" t="e">
        <f t="shared" ca="1" si="136"/>
        <v>#N/A</v>
      </c>
      <c r="G622" s="56" t="e">
        <f t="shared" ca="1" si="128"/>
        <v>#N/A</v>
      </c>
      <c r="H622" s="116" t="e">
        <f t="shared" ca="1" si="129"/>
        <v>#N/A</v>
      </c>
      <c r="I622" s="57" t="e">
        <f t="shared" ca="1" si="130"/>
        <v>#N/A</v>
      </c>
      <c r="J622" s="131">
        <f t="shared" ca="1" si="137"/>
        <v>996</v>
      </c>
      <c r="K622" s="122" t="str">
        <f t="shared" ca="1" si="131"/>
        <v/>
      </c>
      <c r="L622" s="130" t="str">
        <f t="shared" ca="1" si="132"/>
        <v/>
      </c>
      <c r="M622" s="126">
        <f t="shared" ca="1" si="133"/>
        <v>995</v>
      </c>
      <c r="N622" s="58">
        <f t="shared" ca="1" si="138"/>
        <v>261000</v>
      </c>
      <c r="O622" s="160">
        <f t="shared" ca="1" si="138"/>
        <v>248710.6752835511</v>
      </c>
    </row>
    <row r="623" spans="1:15" x14ac:dyDescent="0.25">
      <c r="A623" s="55">
        <f t="shared" ca="1" si="134"/>
        <v>240</v>
      </c>
      <c r="B623" s="55">
        <f t="shared" ca="1" si="125"/>
        <v>26.1</v>
      </c>
      <c r="C623" s="55">
        <f t="shared" ca="1" si="126"/>
        <v>26.097390260973903</v>
      </c>
      <c r="D623" s="55" t="str">
        <f t="shared" ca="1" si="127"/>
        <v>26.100 || 261000.000</v>
      </c>
      <c r="E623" s="120">
        <f t="shared" ca="1" si="135"/>
        <v>4.3895610438956112</v>
      </c>
      <c r="F623" s="56" t="e">
        <f t="shared" ca="1" si="136"/>
        <v>#N/A</v>
      </c>
      <c r="G623" s="56" t="e">
        <f t="shared" ca="1" si="128"/>
        <v>#N/A</v>
      </c>
      <c r="H623" s="116" t="e">
        <f t="shared" ca="1" si="129"/>
        <v>#N/A</v>
      </c>
      <c r="I623" s="57" t="e">
        <f t="shared" ca="1" si="130"/>
        <v>#N/A</v>
      </c>
      <c r="J623" s="131">
        <f t="shared" ca="1" si="137"/>
        <v>996</v>
      </c>
      <c r="K623" s="122" t="str">
        <f t="shared" ca="1" si="131"/>
        <v/>
      </c>
      <c r="L623" s="130" t="str">
        <f t="shared" ca="1" si="132"/>
        <v/>
      </c>
      <c r="M623" s="126">
        <f t="shared" ca="1" si="133"/>
        <v>995</v>
      </c>
      <c r="N623" s="58">
        <f t="shared" ca="1" si="138"/>
        <v>261000</v>
      </c>
      <c r="O623" s="160">
        <f t="shared" ca="1" si="138"/>
        <v>248710.6752835511</v>
      </c>
    </row>
    <row r="624" spans="1:15" x14ac:dyDescent="0.25">
      <c r="A624" s="55">
        <f t="shared" ca="1" si="134"/>
        <v>240</v>
      </c>
      <c r="B624" s="55">
        <f t="shared" ca="1" si="125"/>
        <v>26.1</v>
      </c>
      <c r="C624" s="55">
        <f t="shared" ca="1" si="126"/>
        <v>26.097390260973903</v>
      </c>
      <c r="D624" s="55" t="str">
        <f t="shared" ca="1" si="127"/>
        <v>26.100 || 261000.000</v>
      </c>
      <c r="E624" s="120">
        <f t="shared" ca="1" si="135"/>
        <v>4.3895610438956112</v>
      </c>
      <c r="F624" s="56" t="e">
        <f t="shared" ca="1" si="136"/>
        <v>#N/A</v>
      </c>
      <c r="G624" s="56" t="e">
        <f t="shared" ca="1" si="128"/>
        <v>#N/A</v>
      </c>
      <c r="H624" s="116" t="e">
        <f t="shared" ca="1" si="129"/>
        <v>#N/A</v>
      </c>
      <c r="I624" s="57" t="e">
        <f t="shared" ca="1" si="130"/>
        <v>#N/A</v>
      </c>
      <c r="J624" s="131">
        <f t="shared" ca="1" si="137"/>
        <v>996</v>
      </c>
      <c r="K624" s="122" t="str">
        <f t="shared" ca="1" si="131"/>
        <v/>
      </c>
      <c r="L624" s="130" t="str">
        <f t="shared" ca="1" si="132"/>
        <v/>
      </c>
      <c r="M624" s="126">
        <f t="shared" ca="1" si="133"/>
        <v>995</v>
      </c>
      <c r="N624" s="58">
        <f t="shared" ca="1" si="138"/>
        <v>261000</v>
      </c>
      <c r="O624" s="160">
        <f t="shared" ca="1" si="138"/>
        <v>248710.6752835511</v>
      </c>
    </row>
    <row r="625" spans="1:15" x14ac:dyDescent="0.25">
      <c r="A625" s="55">
        <f t="shared" ca="1" si="134"/>
        <v>240</v>
      </c>
      <c r="B625" s="55">
        <f t="shared" ca="1" si="125"/>
        <v>26.1</v>
      </c>
      <c r="C625" s="55">
        <f t="shared" ca="1" si="126"/>
        <v>26.097626661826229</v>
      </c>
      <c r="D625" s="55" t="str">
        <f t="shared" ca="1" si="127"/>
        <v>26.100 || 287000.000</v>
      </c>
      <c r="E625" s="120">
        <f t="shared" ca="1" si="135"/>
        <v>4.3905066473049175</v>
      </c>
      <c r="F625" s="56" t="e">
        <f t="shared" ca="1" si="136"/>
        <v>#N/A</v>
      </c>
      <c r="G625" s="56" t="e">
        <f t="shared" ca="1" si="128"/>
        <v>#N/A</v>
      </c>
      <c r="H625" s="116" t="e">
        <f t="shared" ca="1" si="129"/>
        <v>#N/A</v>
      </c>
      <c r="I625" s="57" t="e">
        <f t="shared" ca="1" si="130"/>
        <v>#N/A</v>
      </c>
      <c r="J625" s="131">
        <f t="shared" ca="1" si="137"/>
        <v>996</v>
      </c>
      <c r="K625" s="122" t="str">
        <f t="shared" ca="1" si="131"/>
        <v/>
      </c>
      <c r="L625" s="130" t="str">
        <f t="shared" ca="1" si="132"/>
        <v/>
      </c>
      <c r="M625" s="126">
        <f t="shared" ca="1" si="133"/>
        <v>995</v>
      </c>
      <c r="N625" s="58">
        <f t="shared" ca="1" si="138"/>
        <v>286999.99999999994</v>
      </c>
      <c r="O625" s="160">
        <f t="shared" ca="1" si="138"/>
        <v>273691.43209095893</v>
      </c>
    </row>
    <row r="626" spans="1:15" x14ac:dyDescent="0.25">
      <c r="A626" s="55">
        <f t="shared" ca="1" si="134"/>
        <v>240</v>
      </c>
      <c r="B626" s="55">
        <f t="shared" ca="1" si="125"/>
        <v>26.1</v>
      </c>
      <c r="C626" s="55">
        <f t="shared" ca="1" si="126"/>
        <v>26.097626661826229</v>
      </c>
      <c r="D626" s="55" t="str">
        <f t="shared" ca="1" si="127"/>
        <v>26.100 || 287000.000</v>
      </c>
      <c r="E626" s="120">
        <f t="shared" ca="1" si="135"/>
        <v>4.3905066473049175</v>
      </c>
      <c r="F626" s="56" t="e">
        <f t="shared" ca="1" si="136"/>
        <v>#N/A</v>
      </c>
      <c r="G626" s="56" t="e">
        <f t="shared" ca="1" si="128"/>
        <v>#N/A</v>
      </c>
      <c r="H626" s="116" t="e">
        <f t="shared" ca="1" si="129"/>
        <v>#N/A</v>
      </c>
      <c r="I626" s="57" t="e">
        <f t="shared" ca="1" si="130"/>
        <v>#N/A</v>
      </c>
      <c r="J626" s="131">
        <f t="shared" ca="1" si="137"/>
        <v>996</v>
      </c>
      <c r="K626" s="122" t="str">
        <f t="shared" ca="1" si="131"/>
        <v/>
      </c>
      <c r="L626" s="130" t="str">
        <f t="shared" ca="1" si="132"/>
        <v/>
      </c>
      <c r="M626" s="126">
        <f t="shared" ca="1" si="133"/>
        <v>995</v>
      </c>
      <c r="N626" s="58">
        <f t="shared" ca="1" si="138"/>
        <v>286999.99999999994</v>
      </c>
      <c r="O626" s="160">
        <f t="shared" ca="1" si="138"/>
        <v>273691.43209095893</v>
      </c>
    </row>
    <row r="627" spans="1:15" x14ac:dyDescent="0.25">
      <c r="A627" s="55">
        <f t="shared" ca="1" si="134"/>
        <v>240</v>
      </c>
      <c r="B627" s="55">
        <f t="shared" ca="1" si="125"/>
        <v>26.1</v>
      </c>
      <c r="C627" s="55">
        <f t="shared" ca="1" si="126"/>
        <v>26.097626661826229</v>
      </c>
      <c r="D627" s="55" t="str">
        <f t="shared" ca="1" si="127"/>
        <v>26.100 || 287000.000</v>
      </c>
      <c r="E627" s="120">
        <f t="shared" ca="1" si="135"/>
        <v>4.3905066473049175</v>
      </c>
      <c r="F627" s="56" t="e">
        <f t="shared" ca="1" si="136"/>
        <v>#N/A</v>
      </c>
      <c r="G627" s="56" t="e">
        <f t="shared" ca="1" si="128"/>
        <v>#N/A</v>
      </c>
      <c r="H627" s="116" t="e">
        <f t="shared" ca="1" si="129"/>
        <v>#N/A</v>
      </c>
      <c r="I627" s="57" t="e">
        <f t="shared" ca="1" si="130"/>
        <v>#N/A</v>
      </c>
      <c r="J627" s="131">
        <f t="shared" ca="1" si="137"/>
        <v>996</v>
      </c>
      <c r="K627" s="122" t="str">
        <f t="shared" ca="1" si="131"/>
        <v/>
      </c>
      <c r="L627" s="130" t="str">
        <f t="shared" ca="1" si="132"/>
        <v/>
      </c>
      <c r="M627" s="126">
        <f t="shared" ca="1" si="133"/>
        <v>995</v>
      </c>
      <c r="N627" s="58">
        <f t="shared" ca="1" si="138"/>
        <v>286999.99999999994</v>
      </c>
      <c r="O627" s="160">
        <f t="shared" ca="1" si="138"/>
        <v>273691.43209095893</v>
      </c>
    </row>
    <row r="628" spans="1:15" x14ac:dyDescent="0.25">
      <c r="A628" s="55">
        <f t="shared" ca="1" si="134"/>
        <v>240</v>
      </c>
      <c r="B628" s="55">
        <f t="shared" ca="1" si="125"/>
        <v>26.1</v>
      </c>
      <c r="C628" s="55">
        <f t="shared" ca="1" si="126"/>
        <v>26.097626661826229</v>
      </c>
      <c r="D628" s="55" t="str">
        <f t="shared" ca="1" si="127"/>
        <v>26.100 || 287000.000</v>
      </c>
      <c r="E628" s="120">
        <f t="shared" ca="1" si="135"/>
        <v>4.3905066473049175</v>
      </c>
      <c r="F628" s="56" t="e">
        <f t="shared" ca="1" si="136"/>
        <v>#N/A</v>
      </c>
      <c r="G628" s="56" t="e">
        <f t="shared" ca="1" si="128"/>
        <v>#N/A</v>
      </c>
      <c r="H628" s="116" t="e">
        <f t="shared" ca="1" si="129"/>
        <v>#N/A</v>
      </c>
      <c r="I628" s="57" t="e">
        <f t="shared" ca="1" si="130"/>
        <v>#N/A</v>
      </c>
      <c r="J628" s="131">
        <f t="shared" ca="1" si="137"/>
        <v>996</v>
      </c>
      <c r="K628" s="122" t="str">
        <f t="shared" ca="1" si="131"/>
        <v/>
      </c>
      <c r="L628" s="130" t="str">
        <f t="shared" ca="1" si="132"/>
        <v/>
      </c>
      <c r="M628" s="126">
        <f t="shared" ca="1" si="133"/>
        <v>995</v>
      </c>
      <c r="N628" s="58">
        <f t="shared" ca="1" si="138"/>
        <v>286999.99999999994</v>
      </c>
      <c r="O628" s="160">
        <f t="shared" ca="1" si="138"/>
        <v>273691.43209095893</v>
      </c>
    </row>
    <row r="629" spans="1:15" x14ac:dyDescent="0.25">
      <c r="A629" s="55">
        <f t="shared" ca="1" si="134"/>
        <v>240</v>
      </c>
      <c r="B629" s="55">
        <f t="shared" ca="1" si="125"/>
        <v>26.1</v>
      </c>
      <c r="C629" s="55">
        <f t="shared" ca="1" si="126"/>
        <v>26.097844450189402</v>
      </c>
      <c r="D629" s="55" t="str">
        <f t="shared" ca="1" si="127"/>
        <v>26.100 || 316000.000</v>
      </c>
      <c r="E629" s="120">
        <f t="shared" ca="1" si="135"/>
        <v>4.3913778007576099</v>
      </c>
      <c r="F629" s="56" t="e">
        <f t="shared" ca="1" si="136"/>
        <v>#N/A</v>
      </c>
      <c r="G629" s="56" t="e">
        <f t="shared" ca="1" si="128"/>
        <v>#N/A</v>
      </c>
      <c r="H629" s="116" t="e">
        <f t="shared" ca="1" si="129"/>
        <v>#N/A</v>
      </c>
      <c r="I629" s="57" t="e">
        <f t="shared" ca="1" si="130"/>
        <v>#N/A</v>
      </c>
      <c r="J629" s="131">
        <f t="shared" ca="1" si="137"/>
        <v>996</v>
      </c>
      <c r="K629" s="122" t="str">
        <f t="shared" ca="1" si="131"/>
        <v/>
      </c>
      <c r="L629" s="130" t="str">
        <f t="shared" ca="1" si="132"/>
        <v/>
      </c>
      <c r="M629" s="126">
        <f t="shared" ca="1" si="133"/>
        <v>995</v>
      </c>
      <c r="N629" s="58">
        <f t="shared" ca="1" si="138"/>
        <v>316000</v>
      </c>
      <c r="O629" s="160">
        <f t="shared" ca="1" si="138"/>
        <v>301151.1248526228</v>
      </c>
    </row>
    <row r="630" spans="1:15" x14ac:dyDescent="0.25">
      <c r="A630" s="55">
        <f t="shared" ca="1" si="134"/>
        <v>240</v>
      </c>
      <c r="B630" s="55">
        <f t="shared" ca="1" si="125"/>
        <v>26.1</v>
      </c>
      <c r="C630" s="55">
        <f t="shared" ca="1" si="126"/>
        <v>26.097844450189402</v>
      </c>
      <c r="D630" s="55" t="str">
        <f t="shared" ca="1" si="127"/>
        <v>26.100 || 316000.000</v>
      </c>
      <c r="E630" s="120">
        <f t="shared" ca="1" si="135"/>
        <v>4.3913778007576099</v>
      </c>
      <c r="F630" s="56" t="e">
        <f t="shared" ca="1" si="136"/>
        <v>#N/A</v>
      </c>
      <c r="G630" s="56" t="e">
        <f t="shared" ca="1" si="128"/>
        <v>#N/A</v>
      </c>
      <c r="H630" s="116" t="e">
        <f t="shared" ca="1" si="129"/>
        <v>#N/A</v>
      </c>
      <c r="I630" s="57" t="e">
        <f t="shared" ca="1" si="130"/>
        <v>#N/A</v>
      </c>
      <c r="J630" s="131">
        <f t="shared" ca="1" si="137"/>
        <v>996</v>
      </c>
      <c r="K630" s="122" t="str">
        <f t="shared" ca="1" si="131"/>
        <v/>
      </c>
      <c r="L630" s="130" t="str">
        <f t="shared" ca="1" si="132"/>
        <v/>
      </c>
      <c r="M630" s="126">
        <f t="shared" ca="1" si="133"/>
        <v>995</v>
      </c>
      <c r="N630" s="58">
        <f t="shared" ca="1" si="138"/>
        <v>316000</v>
      </c>
      <c r="O630" s="160">
        <f t="shared" ca="1" si="138"/>
        <v>301151.1248526228</v>
      </c>
    </row>
    <row r="631" spans="1:15" x14ac:dyDescent="0.25">
      <c r="A631" s="55">
        <f t="shared" ca="1" si="134"/>
        <v>240</v>
      </c>
      <c r="B631" s="55">
        <f t="shared" ca="1" si="125"/>
        <v>26.1</v>
      </c>
      <c r="C631" s="55">
        <f t="shared" ca="1" si="126"/>
        <v>26.097844450189402</v>
      </c>
      <c r="D631" s="55" t="str">
        <f t="shared" ca="1" si="127"/>
        <v>26.100 || 316000.000</v>
      </c>
      <c r="E631" s="120">
        <f t="shared" ca="1" si="135"/>
        <v>4.3913778007576099</v>
      </c>
      <c r="F631" s="56" t="e">
        <f t="shared" ca="1" si="136"/>
        <v>#N/A</v>
      </c>
      <c r="G631" s="56" t="e">
        <f t="shared" ca="1" si="128"/>
        <v>#N/A</v>
      </c>
      <c r="H631" s="116" t="e">
        <f t="shared" ca="1" si="129"/>
        <v>#N/A</v>
      </c>
      <c r="I631" s="57" t="e">
        <f t="shared" ca="1" si="130"/>
        <v>#N/A</v>
      </c>
      <c r="J631" s="131">
        <f t="shared" ca="1" si="137"/>
        <v>996</v>
      </c>
      <c r="K631" s="122" t="str">
        <f t="shared" ca="1" si="131"/>
        <v/>
      </c>
      <c r="L631" s="130" t="str">
        <f t="shared" ca="1" si="132"/>
        <v/>
      </c>
      <c r="M631" s="126">
        <f t="shared" ca="1" si="133"/>
        <v>995</v>
      </c>
      <c r="N631" s="58">
        <f t="shared" ca="1" si="138"/>
        <v>316000</v>
      </c>
      <c r="O631" s="160">
        <f t="shared" ca="1" si="138"/>
        <v>301151.1248526228</v>
      </c>
    </row>
    <row r="632" spans="1:15" x14ac:dyDescent="0.25">
      <c r="A632" s="55">
        <f t="shared" ca="1" si="134"/>
        <v>240</v>
      </c>
      <c r="B632" s="55">
        <f t="shared" ca="1" si="125"/>
        <v>26.1</v>
      </c>
      <c r="C632" s="55">
        <f t="shared" ca="1" si="126"/>
        <v>26.097844450189402</v>
      </c>
      <c r="D632" s="55" t="str">
        <f t="shared" ca="1" si="127"/>
        <v>26.100 || 316000.000</v>
      </c>
      <c r="E632" s="120">
        <f t="shared" ca="1" si="135"/>
        <v>4.3913778007576099</v>
      </c>
      <c r="F632" s="56" t="e">
        <f t="shared" ca="1" si="136"/>
        <v>#N/A</v>
      </c>
      <c r="G632" s="56" t="e">
        <f t="shared" ca="1" si="128"/>
        <v>#N/A</v>
      </c>
      <c r="H632" s="116" t="e">
        <f t="shared" ca="1" si="129"/>
        <v>#N/A</v>
      </c>
      <c r="I632" s="57" t="e">
        <f t="shared" ca="1" si="130"/>
        <v>#N/A</v>
      </c>
      <c r="J632" s="131">
        <f t="shared" ca="1" si="137"/>
        <v>996</v>
      </c>
      <c r="K632" s="122" t="str">
        <f t="shared" ca="1" si="131"/>
        <v/>
      </c>
      <c r="L632" s="130" t="str">
        <f t="shared" ca="1" si="132"/>
        <v/>
      </c>
      <c r="M632" s="126">
        <f t="shared" ca="1" si="133"/>
        <v>995</v>
      </c>
      <c r="N632" s="58">
        <f t="shared" ca="1" si="138"/>
        <v>316000</v>
      </c>
      <c r="O632" s="160">
        <f t="shared" ca="1" si="138"/>
        <v>301151.1248526228</v>
      </c>
    </row>
    <row r="633" spans="1:15" x14ac:dyDescent="0.25">
      <c r="A633" s="55">
        <f t="shared" ca="1" si="134"/>
        <v>240</v>
      </c>
      <c r="B633" s="55">
        <f t="shared" ca="1" si="125"/>
        <v>26.1</v>
      </c>
      <c r="C633" s="55">
        <f t="shared" ca="1" si="126"/>
        <v>26.098042646801492</v>
      </c>
      <c r="D633" s="55" t="str">
        <f t="shared" ca="1" si="127"/>
        <v>26.100 || 348000.000</v>
      </c>
      <c r="E633" s="120">
        <f t="shared" ca="1" si="135"/>
        <v>4.3921705872059675</v>
      </c>
      <c r="F633" s="56" t="e">
        <f t="shared" ca="1" si="136"/>
        <v>#N/A</v>
      </c>
      <c r="G633" s="56" t="e">
        <f t="shared" ca="1" si="128"/>
        <v>#N/A</v>
      </c>
      <c r="H633" s="116" t="e">
        <f t="shared" ca="1" si="129"/>
        <v>#N/A</v>
      </c>
      <c r="I633" s="57" t="e">
        <f t="shared" ca="1" si="130"/>
        <v>#N/A</v>
      </c>
      <c r="J633" s="131">
        <f t="shared" ca="1" si="137"/>
        <v>996</v>
      </c>
      <c r="K633" s="122" t="str">
        <f t="shared" ca="1" si="131"/>
        <v/>
      </c>
      <c r="L633" s="130" t="str">
        <f t="shared" ca="1" si="132"/>
        <v/>
      </c>
      <c r="M633" s="126">
        <f t="shared" ca="1" si="133"/>
        <v>995</v>
      </c>
      <c r="N633" s="58">
        <f t="shared" ca="1" si="138"/>
        <v>348000</v>
      </c>
      <c r="O633" s="160">
        <f t="shared" ca="1" si="138"/>
        <v>331614.23371140147</v>
      </c>
    </row>
    <row r="634" spans="1:15" x14ac:dyDescent="0.25">
      <c r="A634" s="55">
        <f t="shared" ca="1" si="134"/>
        <v>240</v>
      </c>
      <c r="B634" s="55">
        <f t="shared" ca="1" si="125"/>
        <v>26.1</v>
      </c>
      <c r="C634" s="55">
        <f t="shared" ca="1" si="126"/>
        <v>26.098042646801492</v>
      </c>
      <c r="D634" s="55" t="str">
        <f t="shared" ca="1" si="127"/>
        <v>26.100 || 348000.000</v>
      </c>
      <c r="E634" s="120">
        <f t="shared" ca="1" si="135"/>
        <v>4.3921705872059675</v>
      </c>
      <c r="F634" s="56" t="e">
        <f t="shared" ca="1" si="136"/>
        <v>#N/A</v>
      </c>
      <c r="G634" s="56" t="e">
        <f t="shared" ca="1" si="128"/>
        <v>#N/A</v>
      </c>
      <c r="H634" s="116" t="e">
        <f t="shared" ca="1" si="129"/>
        <v>#N/A</v>
      </c>
      <c r="I634" s="57" t="e">
        <f t="shared" ca="1" si="130"/>
        <v>#N/A</v>
      </c>
      <c r="J634" s="131">
        <f t="shared" ca="1" si="137"/>
        <v>996</v>
      </c>
      <c r="K634" s="122" t="str">
        <f t="shared" ca="1" si="131"/>
        <v/>
      </c>
      <c r="L634" s="130" t="str">
        <f t="shared" ca="1" si="132"/>
        <v/>
      </c>
      <c r="M634" s="126">
        <f t="shared" ca="1" si="133"/>
        <v>995</v>
      </c>
      <c r="N634" s="58">
        <f t="shared" ca="1" si="138"/>
        <v>348000</v>
      </c>
      <c r="O634" s="160">
        <f t="shared" ca="1" si="138"/>
        <v>331614.23371140147</v>
      </c>
    </row>
    <row r="635" spans="1:15" x14ac:dyDescent="0.25">
      <c r="A635" s="55">
        <f t="shared" ca="1" si="134"/>
        <v>240</v>
      </c>
      <c r="B635" s="55">
        <f t="shared" ca="1" si="125"/>
        <v>26.1</v>
      </c>
      <c r="C635" s="55">
        <f t="shared" ca="1" si="126"/>
        <v>26.098042646801492</v>
      </c>
      <c r="D635" s="55" t="str">
        <f t="shared" ca="1" si="127"/>
        <v>26.100 || 348000.000</v>
      </c>
      <c r="E635" s="120">
        <f t="shared" ca="1" si="135"/>
        <v>4.3921705872059675</v>
      </c>
      <c r="F635" s="56" t="e">
        <f t="shared" ca="1" si="136"/>
        <v>#N/A</v>
      </c>
      <c r="G635" s="56" t="e">
        <f t="shared" ca="1" si="128"/>
        <v>#N/A</v>
      </c>
      <c r="H635" s="116" t="e">
        <f t="shared" ca="1" si="129"/>
        <v>#N/A</v>
      </c>
      <c r="I635" s="57" t="e">
        <f t="shared" ca="1" si="130"/>
        <v>#N/A</v>
      </c>
      <c r="J635" s="131">
        <f t="shared" ca="1" si="137"/>
        <v>996</v>
      </c>
      <c r="K635" s="122" t="str">
        <f t="shared" ca="1" si="131"/>
        <v/>
      </c>
      <c r="L635" s="130" t="str">
        <f t="shared" ca="1" si="132"/>
        <v/>
      </c>
      <c r="M635" s="126">
        <f t="shared" ca="1" si="133"/>
        <v>995</v>
      </c>
      <c r="N635" s="58">
        <f t="shared" ca="1" si="138"/>
        <v>348000</v>
      </c>
      <c r="O635" s="160">
        <f t="shared" ca="1" si="138"/>
        <v>331614.23371140147</v>
      </c>
    </row>
    <row r="636" spans="1:15" x14ac:dyDescent="0.25">
      <c r="A636" s="55">
        <f t="shared" ca="1" si="134"/>
        <v>240</v>
      </c>
      <c r="B636" s="55">
        <f t="shared" ca="1" si="125"/>
        <v>26.1</v>
      </c>
      <c r="C636" s="55">
        <f t="shared" ca="1" si="126"/>
        <v>26.098042646801492</v>
      </c>
      <c r="D636" s="55" t="str">
        <f t="shared" ca="1" si="127"/>
        <v>26.100 || 348000.000</v>
      </c>
      <c r="E636" s="120">
        <f t="shared" ca="1" si="135"/>
        <v>4.3921705872059675</v>
      </c>
      <c r="F636" s="56" t="e">
        <f t="shared" ca="1" si="136"/>
        <v>#N/A</v>
      </c>
      <c r="G636" s="56" t="e">
        <f t="shared" ca="1" si="128"/>
        <v>#N/A</v>
      </c>
      <c r="H636" s="116" t="e">
        <f t="shared" ca="1" si="129"/>
        <v>#N/A</v>
      </c>
      <c r="I636" s="57" t="e">
        <f t="shared" ca="1" si="130"/>
        <v>#N/A</v>
      </c>
      <c r="J636" s="131">
        <f t="shared" ca="1" si="137"/>
        <v>996</v>
      </c>
      <c r="K636" s="122" t="str">
        <f t="shared" ca="1" si="131"/>
        <v/>
      </c>
      <c r="L636" s="130" t="str">
        <f t="shared" ca="1" si="132"/>
        <v/>
      </c>
      <c r="M636" s="126">
        <f t="shared" ca="1" si="133"/>
        <v>995</v>
      </c>
      <c r="N636" s="58">
        <f t="shared" ca="1" si="138"/>
        <v>348000</v>
      </c>
      <c r="O636" s="160">
        <f t="shared" ca="1" si="138"/>
        <v>331614.23371140147</v>
      </c>
    </row>
    <row r="637" spans="1:15" x14ac:dyDescent="0.25">
      <c r="A637" s="55">
        <f t="shared" ca="1" si="134"/>
        <v>240</v>
      </c>
      <c r="B637" s="55">
        <f t="shared" ca="1" si="125"/>
        <v>26.1</v>
      </c>
      <c r="C637" s="55">
        <f t="shared" ca="1" si="126"/>
        <v>26.098221505009711</v>
      </c>
      <c r="D637" s="55" t="str">
        <f t="shared" ca="1" si="127"/>
        <v>26.100 || 383000.000</v>
      </c>
      <c r="E637" s="120">
        <f t="shared" ca="1" si="135"/>
        <v>4.3928860200388442</v>
      </c>
      <c r="F637" s="56" t="e">
        <f t="shared" ca="1" si="136"/>
        <v>#N/A</v>
      </c>
      <c r="G637" s="56" t="e">
        <f t="shared" ca="1" si="128"/>
        <v>#N/A</v>
      </c>
      <c r="H637" s="116" t="e">
        <f t="shared" ca="1" si="129"/>
        <v>#N/A</v>
      </c>
      <c r="I637" s="57" t="e">
        <f t="shared" ca="1" si="130"/>
        <v>#N/A</v>
      </c>
      <c r="J637" s="131">
        <f t="shared" ca="1" si="137"/>
        <v>996</v>
      </c>
      <c r="K637" s="122" t="str">
        <f t="shared" ca="1" si="131"/>
        <v/>
      </c>
      <c r="L637" s="130" t="str">
        <f t="shared" ca="1" si="132"/>
        <v/>
      </c>
      <c r="M637" s="126">
        <f t="shared" ca="1" si="133"/>
        <v>995</v>
      </c>
      <c r="N637" s="58">
        <f t="shared" ca="1" si="138"/>
        <v>383000</v>
      </c>
      <c r="O637" s="160">
        <f t="shared" ca="1" si="138"/>
        <v>365080.81297159381</v>
      </c>
    </row>
    <row r="638" spans="1:15" x14ac:dyDescent="0.25">
      <c r="A638" s="55">
        <f t="shared" ca="1" si="134"/>
        <v>240</v>
      </c>
      <c r="B638" s="55">
        <f t="shared" ca="1" si="125"/>
        <v>26.1</v>
      </c>
      <c r="C638" s="55">
        <f t="shared" ca="1" si="126"/>
        <v>26.098221505009711</v>
      </c>
      <c r="D638" s="55" t="str">
        <f t="shared" ca="1" si="127"/>
        <v>26.100 || 383000.000</v>
      </c>
      <c r="E638" s="120">
        <f t="shared" ca="1" si="135"/>
        <v>4.3928860200388442</v>
      </c>
      <c r="F638" s="56" t="e">
        <f t="shared" ca="1" si="136"/>
        <v>#N/A</v>
      </c>
      <c r="G638" s="56" t="e">
        <f t="shared" ca="1" si="128"/>
        <v>#N/A</v>
      </c>
      <c r="H638" s="116" t="e">
        <f t="shared" ca="1" si="129"/>
        <v>#N/A</v>
      </c>
      <c r="I638" s="57" t="e">
        <f t="shared" ca="1" si="130"/>
        <v>#N/A</v>
      </c>
      <c r="J638" s="131">
        <f t="shared" ca="1" si="137"/>
        <v>996</v>
      </c>
      <c r="K638" s="122" t="str">
        <f t="shared" ca="1" si="131"/>
        <v/>
      </c>
      <c r="L638" s="130" t="str">
        <f t="shared" ca="1" si="132"/>
        <v/>
      </c>
      <c r="M638" s="126">
        <f t="shared" ca="1" si="133"/>
        <v>995</v>
      </c>
      <c r="N638" s="58">
        <f t="shared" ca="1" si="138"/>
        <v>383000</v>
      </c>
      <c r="O638" s="160">
        <f t="shared" ca="1" si="138"/>
        <v>365080.81297159381</v>
      </c>
    </row>
    <row r="639" spans="1:15" x14ac:dyDescent="0.25">
      <c r="A639" s="55">
        <f t="shared" ca="1" si="134"/>
        <v>240</v>
      </c>
      <c r="B639" s="55">
        <f t="shared" ca="1" si="125"/>
        <v>26.1</v>
      </c>
      <c r="C639" s="55">
        <f t="shared" ca="1" si="126"/>
        <v>26.098221505009711</v>
      </c>
      <c r="D639" s="55" t="str">
        <f t="shared" ca="1" si="127"/>
        <v>26.100 || 383000.000</v>
      </c>
      <c r="E639" s="120">
        <f t="shared" ca="1" si="135"/>
        <v>4.3928860200388442</v>
      </c>
      <c r="F639" s="56" t="e">
        <f t="shared" ca="1" si="136"/>
        <v>#N/A</v>
      </c>
      <c r="G639" s="56" t="e">
        <f t="shared" ca="1" si="128"/>
        <v>#N/A</v>
      </c>
      <c r="H639" s="116" t="e">
        <f t="shared" ca="1" si="129"/>
        <v>#N/A</v>
      </c>
      <c r="I639" s="57" t="e">
        <f t="shared" ca="1" si="130"/>
        <v>#N/A</v>
      </c>
      <c r="J639" s="131">
        <f t="shared" ca="1" si="137"/>
        <v>996</v>
      </c>
      <c r="K639" s="122" t="str">
        <f t="shared" ca="1" si="131"/>
        <v/>
      </c>
      <c r="L639" s="130" t="str">
        <f t="shared" ca="1" si="132"/>
        <v/>
      </c>
      <c r="M639" s="126">
        <f t="shared" ca="1" si="133"/>
        <v>995</v>
      </c>
      <c r="N639" s="58">
        <f t="shared" ca="1" si="138"/>
        <v>383000</v>
      </c>
      <c r="O639" s="160">
        <f t="shared" ca="1" si="138"/>
        <v>365080.81297159381</v>
      </c>
    </row>
    <row r="640" spans="1:15" x14ac:dyDescent="0.25">
      <c r="A640" s="55">
        <f t="shared" ca="1" si="134"/>
        <v>240</v>
      </c>
      <c r="B640" s="55">
        <f t="shared" ca="1" si="125"/>
        <v>26.1</v>
      </c>
      <c r="C640" s="55">
        <f t="shared" ca="1" si="126"/>
        <v>26.098221505009711</v>
      </c>
      <c r="D640" s="55" t="str">
        <f t="shared" ca="1" si="127"/>
        <v>26.100 || 383000.000</v>
      </c>
      <c r="E640" s="120">
        <f t="shared" ca="1" si="135"/>
        <v>4.3928860200388442</v>
      </c>
      <c r="F640" s="56" t="e">
        <f t="shared" ca="1" si="136"/>
        <v>#N/A</v>
      </c>
      <c r="G640" s="56" t="e">
        <f t="shared" ca="1" si="128"/>
        <v>#N/A</v>
      </c>
      <c r="H640" s="116" t="e">
        <f t="shared" ca="1" si="129"/>
        <v>#N/A</v>
      </c>
      <c r="I640" s="57" t="e">
        <f t="shared" ca="1" si="130"/>
        <v>#N/A</v>
      </c>
      <c r="J640" s="131">
        <f t="shared" ca="1" si="137"/>
        <v>996</v>
      </c>
      <c r="K640" s="122" t="str">
        <f t="shared" ca="1" si="131"/>
        <v/>
      </c>
      <c r="L640" s="130" t="str">
        <f t="shared" ca="1" si="132"/>
        <v/>
      </c>
      <c r="M640" s="126">
        <f t="shared" ca="1" si="133"/>
        <v>995</v>
      </c>
      <c r="N640" s="58">
        <f t="shared" ca="1" si="138"/>
        <v>383000</v>
      </c>
      <c r="O640" s="160">
        <f t="shared" ca="1" si="138"/>
        <v>365080.81297159381</v>
      </c>
    </row>
    <row r="641" spans="1:15" x14ac:dyDescent="0.25">
      <c r="A641" s="55">
        <f t="shared" ca="1" si="134"/>
        <v>240</v>
      </c>
      <c r="B641" s="55">
        <f t="shared" ca="1" si="125"/>
        <v>26.1</v>
      </c>
      <c r="C641" s="55">
        <f t="shared" ca="1" si="126"/>
        <v>26.098385858125837</v>
      </c>
      <c r="D641" s="55" t="str">
        <f t="shared" ca="1" si="127"/>
        <v>26.100 || 422000.000</v>
      </c>
      <c r="E641" s="120">
        <f t="shared" ca="1" si="135"/>
        <v>4.3935434325033498</v>
      </c>
      <c r="F641" s="56" t="e">
        <f t="shared" ca="1" si="136"/>
        <v>#N/A</v>
      </c>
      <c r="G641" s="56" t="e">
        <f t="shared" ca="1" si="128"/>
        <v>#N/A</v>
      </c>
      <c r="H641" s="116" t="e">
        <f t="shared" ca="1" si="129"/>
        <v>#N/A</v>
      </c>
      <c r="I641" s="57" t="e">
        <f t="shared" ca="1" si="130"/>
        <v>#N/A</v>
      </c>
      <c r="J641" s="131">
        <f t="shared" ca="1" si="137"/>
        <v>996</v>
      </c>
      <c r="K641" s="122" t="str">
        <f t="shared" ca="1" si="131"/>
        <v/>
      </c>
      <c r="L641" s="130" t="str">
        <f t="shared" ca="1" si="132"/>
        <v/>
      </c>
      <c r="M641" s="126">
        <f t="shared" ca="1" si="133"/>
        <v>995</v>
      </c>
      <c r="N641" s="58">
        <f t="shared" ca="1" si="138"/>
        <v>421999.99999999994</v>
      </c>
      <c r="O641" s="160">
        <f t="shared" ca="1" si="138"/>
        <v>402027.36225286941</v>
      </c>
    </row>
    <row r="642" spans="1:15" x14ac:dyDescent="0.25">
      <c r="A642" s="55">
        <f t="shared" ca="1" si="134"/>
        <v>240</v>
      </c>
      <c r="B642" s="55">
        <f t="shared" ca="1" si="125"/>
        <v>26.1</v>
      </c>
      <c r="C642" s="55">
        <f t="shared" ca="1" si="126"/>
        <v>26.098385858125837</v>
      </c>
      <c r="D642" s="55" t="str">
        <f t="shared" ca="1" si="127"/>
        <v>26.100 || 422000.000</v>
      </c>
      <c r="E642" s="120">
        <f t="shared" ca="1" si="135"/>
        <v>4.3935434325033498</v>
      </c>
      <c r="F642" s="56" t="e">
        <f t="shared" ca="1" si="136"/>
        <v>#N/A</v>
      </c>
      <c r="G642" s="56" t="e">
        <f t="shared" ca="1" si="128"/>
        <v>#N/A</v>
      </c>
      <c r="H642" s="116" t="e">
        <f t="shared" ca="1" si="129"/>
        <v>#N/A</v>
      </c>
      <c r="I642" s="57" t="e">
        <f t="shared" ca="1" si="130"/>
        <v>#N/A</v>
      </c>
      <c r="J642" s="131">
        <f t="shared" ca="1" si="137"/>
        <v>996</v>
      </c>
      <c r="K642" s="122" t="str">
        <f t="shared" ca="1" si="131"/>
        <v/>
      </c>
      <c r="L642" s="130" t="str">
        <f t="shared" ca="1" si="132"/>
        <v/>
      </c>
      <c r="M642" s="126">
        <f t="shared" ca="1" si="133"/>
        <v>995</v>
      </c>
      <c r="N642" s="58">
        <f t="shared" ca="1" si="138"/>
        <v>421999.99999999994</v>
      </c>
      <c r="O642" s="160">
        <f t="shared" ca="1" si="138"/>
        <v>402027.36225286941</v>
      </c>
    </row>
    <row r="643" spans="1:15" x14ac:dyDescent="0.25">
      <c r="A643" s="55">
        <f t="shared" ca="1" si="134"/>
        <v>240</v>
      </c>
      <c r="B643" s="55">
        <f t="shared" ca="1" si="125"/>
        <v>26.1</v>
      </c>
      <c r="C643" s="55">
        <f t="shared" ca="1" si="126"/>
        <v>26.098385858125837</v>
      </c>
      <c r="D643" s="55" t="str">
        <f t="shared" ca="1" si="127"/>
        <v>26.100 || 422000.000</v>
      </c>
      <c r="E643" s="120">
        <f t="shared" ca="1" si="135"/>
        <v>4.3935434325033498</v>
      </c>
      <c r="F643" s="56" t="e">
        <f t="shared" ca="1" si="136"/>
        <v>#N/A</v>
      </c>
      <c r="G643" s="56" t="e">
        <f t="shared" ca="1" si="128"/>
        <v>#N/A</v>
      </c>
      <c r="H643" s="116" t="e">
        <f t="shared" ca="1" si="129"/>
        <v>#N/A</v>
      </c>
      <c r="I643" s="57" t="e">
        <f t="shared" ca="1" si="130"/>
        <v>#N/A</v>
      </c>
      <c r="J643" s="131">
        <f t="shared" ca="1" si="137"/>
        <v>996</v>
      </c>
      <c r="K643" s="122" t="str">
        <f t="shared" ca="1" si="131"/>
        <v/>
      </c>
      <c r="L643" s="130" t="str">
        <f t="shared" ca="1" si="132"/>
        <v/>
      </c>
      <c r="M643" s="126">
        <f t="shared" ca="1" si="133"/>
        <v>995</v>
      </c>
      <c r="N643" s="58">
        <f t="shared" ca="1" si="138"/>
        <v>421999.99999999994</v>
      </c>
      <c r="O643" s="160">
        <f t="shared" ca="1" si="138"/>
        <v>402027.36225286941</v>
      </c>
    </row>
    <row r="644" spans="1:15" x14ac:dyDescent="0.25">
      <c r="A644" s="55">
        <f t="shared" ca="1" si="134"/>
        <v>240</v>
      </c>
      <c r="B644" s="55">
        <f t="shared" ca="1" si="125"/>
        <v>26.1</v>
      </c>
      <c r="C644" s="55">
        <f t="shared" ca="1" si="126"/>
        <v>26.098385858125837</v>
      </c>
      <c r="D644" s="55" t="str">
        <f t="shared" ca="1" si="127"/>
        <v>26.100 || 422000.000</v>
      </c>
      <c r="E644" s="120">
        <f t="shared" ca="1" si="135"/>
        <v>4.3935434325033498</v>
      </c>
      <c r="F644" s="56" t="e">
        <f t="shared" ca="1" si="136"/>
        <v>#N/A</v>
      </c>
      <c r="G644" s="56" t="e">
        <f t="shared" ca="1" si="128"/>
        <v>#N/A</v>
      </c>
      <c r="H644" s="116" t="e">
        <f t="shared" ca="1" si="129"/>
        <v>#N/A</v>
      </c>
      <c r="I644" s="57" t="e">
        <f t="shared" ca="1" si="130"/>
        <v>#N/A</v>
      </c>
      <c r="J644" s="131">
        <f t="shared" ca="1" si="137"/>
        <v>996</v>
      </c>
      <c r="K644" s="122" t="str">
        <f t="shared" ca="1" si="131"/>
        <v/>
      </c>
      <c r="L644" s="130" t="str">
        <f t="shared" ca="1" si="132"/>
        <v/>
      </c>
      <c r="M644" s="126">
        <f t="shared" ca="1" si="133"/>
        <v>995</v>
      </c>
      <c r="N644" s="58">
        <f t="shared" ca="1" si="138"/>
        <v>421999.99999999994</v>
      </c>
      <c r="O644" s="160">
        <f t="shared" ca="1" si="138"/>
        <v>402027.36225286941</v>
      </c>
    </row>
    <row r="645" spans="1:15" x14ac:dyDescent="0.25">
      <c r="A645" s="55">
        <f t="shared" ca="1" si="134"/>
        <v>240</v>
      </c>
      <c r="B645" s="55">
        <f t="shared" ca="1" si="125"/>
        <v>26.1</v>
      </c>
      <c r="C645" s="55">
        <f t="shared" ca="1" si="126"/>
        <v>26.098531957577386</v>
      </c>
      <c r="D645" s="55" t="str">
        <f t="shared" ca="1" si="127"/>
        <v>26.100 || 464000.000</v>
      </c>
      <c r="E645" s="120">
        <f t="shared" ca="1" si="135"/>
        <v>4.394127830309543</v>
      </c>
      <c r="F645" s="56" t="e">
        <f t="shared" ca="1" si="136"/>
        <v>#N/A</v>
      </c>
      <c r="G645" s="56" t="e">
        <f t="shared" ca="1" si="128"/>
        <v>#N/A</v>
      </c>
      <c r="H645" s="116" t="e">
        <f t="shared" ca="1" si="129"/>
        <v>#N/A</v>
      </c>
      <c r="I645" s="57" t="e">
        <f t="shared" ca="1" si="130"/>
        <v>#N/A</v>
      </c>
      <c r="J645" s="131">
        <f t="shared" ca="1" si="137"/>
        <v>996</v>
      </c>
      <c r="K645" s="122" t="str">
        <f t="shared" ca="1" si="131"/>
        <v/>
      </c>
      <c r="L645" s="130" t="str">
        <f t="shared" ca="1" si="132"/>
        <v/>
      </c>
      <c r="M645" s="126">
        <f t="shared" ca="1" si="133"/>
        <v>995</v>
      </c>
      <c r="N645" s="58">
        <f t="shared" ca="1" si="138"/>
        <v>464000.00000000006</v>
      </c>
      <c r="O645" s="160">
        <f t="shared" ca="1" si="138"/>
        <v>442501.97739671188</v>
      </c>
    </row>
    <row r="646" spans="1:15" x14ac:dyDescent="0.25">
      <c r="A646" s="55">
        <f t="shared" ca="1" si="134"/>
        <v>240</v>
      </c>
      <c r="B646" s="55">
        <f t="shared" ref="B646:B709" ca="1" si="139">INDEX($N$1:$N$774,A646)</f>
        <v>26.1</v>
      </c>
      <c r="C646" s="55">
        <f t="shared" ref="C646:C709" ca="1" si="140">1/(1/B646+1/N646)</f>
        <v>26.098531957577386</v>
      </c>
      <c r="D646" s="55" t="str">
        <f t="shared" ref="D646:D709" ca="1" si="141">CONCATENATE(TEXT(MIN(B646,N646),"#0.000#")," || ",TEXT(MAX(B646,N646),"#0.000#"))</f>
        <v>26.100 || 464000.000</v>
      </c>
      <c r="E646" s="120">
        <f t="shared" ca="1" si="135"/>
        <v>4.394127830309543</v>
      </c>
      <c r="F646" s="56" t="e">
        <f t="shared" ca="1" si="136"/>
        <v>#N/A</v>
      </c>
      <c r="G646" s="56" t="e">
        <f t="shared" ref="G646:G709" ca="1" si="142">INDEX($N$1:$N$774,F646)</f>
        <v>#N/A</v>
      </c>
      <c r="H646" s="116" t="e">
        <f t="shared" ref="H646:H709" ca="1" si="143">G646+N646</f>
        <v>#N/A</v>
      </c>
      <c r="I646" s="57" t="e">
        <f t="shared" ref="I646:I709" ca="1" si="144">CONCATENATE(TEXT(MIN(G646,N646),"#0.000#")," + ",TEXT(MAX(G646,N646),"#0.000#"))</f>
        <v>#N/A</v>
      </c>
      <c r="J646" s="131">
        <f t="shared" ca="1" si="137"/>
        <v>996</v>
      </c>
      <c r="K646" s="122" t="str">
        <f t="shared" ref="K646:K709" ca="1" si="145">IF(E646&lt;$C$4,D646,IF(J646&lt;$C$4,I646,""))</f>
        <v/>
      </c>
      <c r="L646" s="130" t="str">
        <f t="shared" ref="L646:L709" ca="1" si="146">IF(E646&lt;$C$4,C646,IF(J646&lt;$C$4,H646,""))</f>
        <v/>
      </c>
      <c r="M646" s="126">
        <f t="shared" ref="M646:M709" ca="1" si="147">IF(E646&lt;=$C$4,E646,IF(J646&lt;=$C$4,J646,995))</f>
        <v>995</v>
      </c>
      <c r="N646" s="58">
        <f t="shared" ca="1" si="138"/>
        <v>464000.00000000006</v>
      </c>
      <c r="O646" s="160">
        <f t="shared" ca="1" si="138"/>
        <v>442501.97739671188</v>
      </c>
    </row>
    <row r="647" spans="1:15" x14ac:dyDescent="0.25">
      <c r="A647" s="55">
        <f t="shared" ref="A647:A710" ca="1" si="148">MATCH(1/($A$5-(1/N647)),$O$1:$O$775,1)</f>
        <v>240</v>
      </c>
      <c r="B647" s="55">
        <f t="shared" ca="1" si="139"/>
        <v>26.1</v>
      </c>
      <c r="C647" s="55">
        <f t="shared" ca="1" si="140"/>
        <v>26.098531957577386</v>
      </c>
      <c r="D647" s="55" t="str">
        <f t="shared" ca="1" si="141"/>
        <v>26.100 || 464000.000</v>
      </c>
      <c r="E647" s="120">
        <f t="shared" ref="E647:E710" ca="1" si="149">IFERROR(IF(OR(B647=0,AND(B647&lt;&gt;$A$4,N647&lt;&gt;$A$4)),ABS($A$4-C647)/$E$5,999),998)</f>
        <v>4.394127830309543</v>
      </c>
      <c r="F647" s="56" t="e">
        <f t="shared" ref="F647:F710" ca="1" si="150">MATCH($A$4-N647,$O$1:$O$774,1)</f>
        <v>#N/A</v>
      </c>
      <c r="G647" s="56" t="e">
        <f t="shared" ca="1" si="142"/>
        <v>#N/A</v>
      </c>
      <c r="H647" s="116" t="e">
        <f t="shared" ca="1" si="143"/>
        <v>#N/A</v>
      </c>
      <c r="I647" s="57" t="e">
        <f t="shared" ca="1" si="144"/>
        <v>#N/A</v>
      </c>
      <c r="J647" s="131">
        <f t="shared" ref="J647:J710" ca="1" si="151">IFERROR(IF(OR(G647=0,AND(G647&lt;&gt;$A$4,N647&lt;&gt;$A$4)),ABS($A$4-H647)/$E$5,997),996)</f>
        <v>996</v>
      </c>
      <c r="K647" s="122" t="str">
        <f t="shared" ca="1" si="145"/>
        <v/>
      </c>
      <c r="L647" s="130" t="str">
        <f t="shared" ca="1" si="146"/>
        <v/>
      </c>
      <c r="M647" s="126">
        <f t="shared" ca="1" si="147"/>
        <v>995</v>
      </c>
      <c r="N647" s="58">
        <f t="shared" ca="1" si="138"/>
        <v>464000.00000000006</v>
      </c>
      <c r="O647" s="160">
        <f t="shared" ca="1" si="138"/>
        <v>442501.97739671188</v>
      </c>
    </row>
    <row r="648" spans="1:15" x14ac:dyDescent="0.25">
      <c r="A648" s="55">
        <f t="shared" ca="1" si="148"/>
        <v>240</v>
      </c>
      <c r="B648" s="55">
        <f t="shared" ca="1" si="139"/>
        <v>26.1</v>
      </c>
      <c r="C648" s="55">
        <f t="shared" ca="1" si="140"/>
        <v>26.098531957577386</v>
      </c>
      <c r="D648" s="55" t="str">
        <f t="shared" ca="1" si="141"/>
        <v>26.100 || 464000.000</v>
      </c>
      <c r="E648" s="120">
        <f t="shared" ca="1" si="149"/>
        <v>4.394127830309543</v>
      </c>
      <c r="F648" s="56" t="e">
        <f t="shared" ca="1" si="150"/>
        <v>#N/A</v>
      </c>
      <c r="G648" s="56" t="e">
        <f t="shared" ca="1" si="142"/>
        <v>#N/A</v>
      </c>
      <c r="H648" s="116" t="e">
        <f t="shared" ca="1" si="143"/>
        <v>#N/A</v>
      </c>
      <c r="I648" s="57" t="e">
        <f t="shared" ca="1" si="144"/>
        <v>#N/A</v>
      </c>
      <c r="J648" s="131">
        <f t="shared" ca="1" si="151"/>
        <v>996</v>
      </c>
      <c r="K648" s="122" t="str">
        <f t="shared" ca="1" si="145"/>
        <v/>
      </c>
      <c r="L648" s="130" t="str">
        <f t="shared" ca="1" si="146"/>
        <v/>
      </c>
      <c r="M648" s="126">
        <f t="shared" ca="1" si="147"/>
        <v>995</v>
      </c>
      <c r="N648" s="58">
        <f t="shared" ca="1" si="138"/>
        <v>464000.00000000006</v>
      </c>
      <c r="O648" s="160">
        <f t="shared" ca="1" si="138"/>
        <v>442501.97739671188</v>
      </c>
    </row>
    <row r="649" spans="1:15" x14ac:dyDescent="0.25">
      <c r="A649" s="55">
        <f t="shared" ca="1" si="148"/>
        <v>240</v>
      </c>
      <c r="B649" s="55">
        <f t="shared" ca="1" si="139"/>
        <v>26.1</v>
      </c>
      <c r="C649" s="55">
        <f t="shared" ca="1" si="140"/>
        <v>26.098666976109438</v>
      </c>
      <c r="D649" s="55" t="str">
        <f t="shared" ca="1" si="141"/>
        <v>26.100 || 511000.000</v>
      </c>
      <c r="E649" s="120">
        <f t="shared" ca="1" si="149"/>
        <v>4.3946679044377532</v>
      </c>
      <c r="F649" s="56" t="e">
        <f t="shared" ca="1" si="150"/>
        <v>#N/A</v>
      </c>
      <c r="G649" s="56" t="e">
        <f t="shared" ca="1" si="142"/>
        <v>#N/A</v>
      </c>
      <c r="H649" s="116" t="e">
        <f t="shared" ca="1" si="143"/>
        <v>#N/A</v>
      </c>
      <c r="I649" s="57" t="e">
        <f t="shared" ca="1" si="144"/>
        <v>#N/A</v>
      </c>
      <c r="J649" s="131">
        <f t="shared" ca="1" si="151"/>
        <v>996</v>
      </c>
      <c r="K649" s="122" t="str">
        <f t="shared" ca="1" si="145"/>
        <v/>
      </c>
      <c r="L649" s="130" t="str">
        <f t="shared" ca="1" si="146"/>
        <v/>
      </c>
      <c r="M649" s="126">
        <f t="shared" ca="1" si="147"/>
        <v>995</v>
      </c>
      <c r="N649" s="58">
        <f t="shared" ca="1" si="138"/>
        <v>511000</v>
      </c>
      <c r="O649" s="160">
        <f t="shared" ca="1" si="138"/>
        <v>486933.26031397772</v>
      </c>
    </row>
    <row r="650" spans="1:15" x14ac:dyDescent="0.25">
      <c r="A650" s="55">
        <f t="shared" ca="1" si="148"/>
        <v>240</v>
      </c>
      <c r="B650" s="55">
        <f t="shared" ca="1" si="139"/>
        <v>26.1</v>
      </c>
      <c r="C650" s="55">
        <f t="shared" ca="1" si="140"/>
        <v>26.098666976109438</v>
      </c>
      <c r="D650" s="55" t="str">
        <f t="shared" ca="1" si="141"/>
        <v>26.100 || 511000.000</v>
      </c>
      <c r="E650" s="120">
        <f t="shared" ca="1" si="149"/>
        <v>4.3946679044377532</v>
      </c>
      <c r="F650" s="56" t="e">
        <f t="shared" ca="1" si="150"/>
        <v>#N/A</v>
      </c>
      <c r="G650" s="56" t="e">
        <f t="shared" ca="1" si="142"/>
        <v>#N/A</v>
      </c>
      <c r="H650" s="116" t="e">
        <f t="shared" ca="1" si="143"/>
        <v>#N/A</v>
      </c>
      <c r="I650" s="57" t="e">
        <f t="shared" ca="1" si="144"/>
        <v>#N/A</v>
      </c>
      <c r="J650" s="131">
        <f t="shared" ca="1" si="151"/>
        <v>996</v>
      </c>
      <c r="K650" s="122" t="str">
        <f t="shared" ca="1" si="145"/>
        <v/>
      </c>
      <c r="L650" s="130" t="str">
        <f t="shared" ca="1" si="146"/>
        <v/>
      </c>
      <c r="M650" s="126">
        <f t="shared" ca="1" si="147"/>
        <v>995</v>
      </c>
      <c r="N650" s="58">
        <f t="shared" ca="1" si="138"/>
        <v>511000</v>
      </c>
      <c r="O650" s="160">
        <f t="shared" ca="1" si="138"/>
        <v>486933.26031397772</v>
      </c>
    </row>
    <row r="651" spans="1:15" x14ac:dyDescent="0.25">
      <c r="A651" s="55">
        <f t="shared" ca="1" si="148"/>
        <v>240</v>
      </c>
      <c r="B651" s="55">
        <f t="shared" ca="1" si="139"/>
        <v>26.1</v>
      </c>
      <c r="C651" s="55">
        <f t="shared" ca="1" si="140"/>
        <v>26.098666976109438</v>
      </c>
      <c r="D651" s="55" t="str">
        <f t="shared" ca="1" si="141"/>
        <v>26.100 || 511000.000</v>
      </c>
      <c r="E651" s="120">
        <f t="shared" ca="1" si="149"/>
        <v>4.3946679044377532</v>
      </c>
      <c r="F651" s="56" t="e">
        <f t="shared" ca="1" si="150"/>
        <v>#N/A</v>
      </c>
      <c r="G651" s="56" t="e">
        <f t="shared" ca="1" si="142"/>
        <v>#N/A</v>
      </c>
      <c r="H651" s="116" t="e">
        <f t="shared" ca="1" si="143"/>
        <v>#N/A</v>
      </c>
      <c r="I651" s="57" t="e">
        <f t="shared" ca="1" si="144"/>
        <v>#N/A</v>
      </c>
      <c r="J651" s="131">
        <f t="shared" ca="1" si="151"/>
        <v>996</v>
      </c>
      <c r="K651" s="122" t="str">
        <f t="shared" ca="1" si="145"/>
        <v/>
      </c>
      <c r="L651" s="130" t="str">
        <f t="shared" ca="1" si="146"/>
        <v/>
      </c>
      <c r="M651" s="126">
        <f t="shared" ca="1" si="147"/>
        <v>995</v>
      </c>
      <c r="N651" s="58">
        <f t="shared" ca="1" si="138"/>
        <v>511000</v>
      </c>
      <c r="O651" s="160">
        <f t="shared" ca="1" si="138"/>
        <v>486933.26031397772</v>
      </c>
    </row>
    <row r="652" spans="1:15" x14ac:dyDescent="0.25">
      <c r="A652" s="55">
        <f t="shared" ca="1" si="148"/>
        <v>240</v>
      </c>
      <c r="B652" s="55">
        <f t="shared" ca="1" si="139"/>
        <v>26.1</v>
      </c>
      <c r="C652" s="55">
        <f t="shared" ca="1" si="140"/>
        <v>26.098666976109438</v>
      </c>
      <c r="D652" s="55" t="str">
        <f t="shared" ca="1" si="141"/>
        <v>26.100 || 511000.000</v>
      </c>
      <c r="E652" s="120">
        <f t="shared" ca="1" si="149"/>
        <v>4.3946679044377532</v>
      </c>
      <c r="F652" s="56" t="e">
        <f t="shared" ca="1" si="150"/>
        <v>#N/A</v>
      </c>
      <c r="G652" s="56" t="e">
        <f t="shared" ca="1" si="142"/>
        <v>#N/A</v>
      </c>
      <c r="H652" s="116" t="e">
        <f t="shared" ca="1" si="143"/>
        <v>#N/A</v>
      </c>
      <c r="I652" s="57" t="e">
        <f t="shared" ca="1" si="144"/>
        <v>#N/A</v>
      </c>
      <c r="J652" s="131">
        <f t="shared" ca="1" si="151"/>
        <v>996</v>
      </c>
      <c r="K652" s="122" t="str">
        <f t="shared" ca="1" si="145"/>
        <v/>
      </c>
      <c r="L652" s="130" t="str">
        <f t="shared" ca="1" si="146"/>
        <v/>
      </c>
      <c r="M652" s="126">
        <f t="shared" ca="1" si="147"/>
        <v>995</v>
      </c>
      <c r="N652" s="58">
        <f t="shared" ca="1" si="138"/>
        <v>511000</v>
      </c>
      <c r="O652" s="160">
        <f t="shared" ca="1" si="138"/>
        <v>486933.26031397772</v>
      </c>
    </row>
    <row r="653" spans="1:15" x14ac:dyDescent="0.25">
      <c r="A653" s="55">
        <f t="shared" ca="1" si="148"/>
        <v>240</v>
      </c>
      <c r="B653" s="55">
        <f t="shared" ca="1" si="139"/>
        <v>26.1</v>
      </c>
      <c r="C653" s="55">
        <f t="shared" ca="1" si="140"/>
        <v>26.098787938851952</v>
      </c>
      <c r="D653" s="55" t="str">
        <f t="shared" ca="1" si="141"/>
        <v>26.100 || 562000.000</v>
      </c>
      <c r="E653" s="120">
        <f t="shared" ca="1" si="149"/>
        <v>4.3951517554078094</v>
      </c>
      <c r="F653" s="56" t="e">
        <f t="shared" ca="1" si="150"/>
        <v>#N/A</v>
      </c>
      <c r="G653" s="56" t="e">
        <f t="shared" ca="1" si="142"/>
        <v>#N/A</v>
      </c>
      <c r="H653" s="116" t="e">
        <f t="shared" ca="1" si="143"/>
        <v>#N/A</v>
      </c>
      <c r="I653" s="57" t="e">
        <f t="shared" ca="1" si="144"/>
        <v>#N/A</v>
      </c>
      <c r="J653" s="131">
        <f t="shared" ca="1" si="151"/>
        <v>996</v>
      </c>
      <c r="K653" s="122" t="str">
        <f t="shared" ca="1" si="145"/>
        <v/>
      </c>
      <c r="L653" s="130" t="str">
        <f t="shared" ca="1" si="146"/>
        <v/>
      </c>
      <c r="M653" s="126">
        <f t="shared" ca="1" si="147"/>
        <v>995</v>
      </c>
      <c r="N653" s="58">
        <f t="shared" ca="1" si="138"/>
        <v>562000.00000000012</v>
      </c>
      <c r="O653" s="160">
        <f t="shared" ca="1" si="138"/>
        <v>535893.64616498293</v>
      </c>
    </row>
    <row r="654" spans="1:15" x14ac:dyDescent="0.25">
      <c r="A654" s="55">
        <f t="shared" ca="1" si="148"/>
        <v>240</v>
      </c>
      <c r="B654" s="55">
        <f t="shared" ca="1" si="139"/>
        <v>26.1</v>
      </c>
      <c r="C654" s="55">
        <f t="shared" ca="1" si="140"/>
        <v>26.098787938851952</v>
      </c>
      <c r="D654" s="55" t="str">
        <f t="shared" ca="1" si="141"/>
        <v>26.100 || 562000.000</v>
      </c>
      <c r="E654" s="120">
        <f t="shared" ca="1" si="149"/>
        <v>4.3951517554078094</v>
      </c>
      <c r="F654" s="56" t="e">
        <f t="shared" ca="1" si="150"/>
        <v>#N/A</v>
      </c>
      <c r="G654" s="56" t="e">
        <f t="shared" ca="1" si="142"/>
        <v>#N/A</v>
      </c>
      <c r="H654" s="116" t="e">
        <f t="shared" ca="1" si="143"/>
        <v>#N/A</v>
      </c>
      <c r="I654" s="57" t="e">
        <f t="shared" ca="1" si="144"/>
        <v>#N/A</v>
      </c>
      <c r="J654" s="131">
        <f t="shared" ca="1" si="151"/>
        <v>996</v>
      </c>
      <c r="K654" s="122" t="str">
        <f t="shared" ca="1" si="145"/>
        <v/>
      </c>
      <c r="L654" s="130" t="str">
        <f t="shared" ca="1" si="146"/>
        <v/>
      </c>
      <c r="M654" s="126">
        <f t="shared" ca="1" si="147"/>
        <v>995</v>
      </c>
      <c r="N654" s="58">
        <f t="shared" ca="1" si="138"/>
        <v>562000.00000000012</v>
      </c>
      <c r="O654" s="160">
        <f t="shared" ca="1" si="138"/>
        <v>535893.64616498293</v>
      </c>
    </row>
    <row r="655" spans="1:15" x14ac:dyDescent="0.25">
      <c r="A655" s="55">
        <f t="shared" ca="1" si="148"/>
        <v>240</v>
      </c>
      <c r="B655" s="55">
        <f t="shared" ca="1" si="139"/>
        <v>26.1</v>
      </c>
      <c r="C655" s="55">
        <f t="shared" ca="1" si="140"/>
        <v>26.098787938851952</v>
      </c>
      <c r="D655" s="55" t="str">
        <f t="shared" ca="1" si="141"/>
        <v>26.100 || 562000.000</v>
      </c>
      <c r="E655" s="120">
        <f t="shared" ca="1" si="149"/>
        <v>4.3951517554078094</v>
      </c>
      <c r="F655" s="56" t="e">
        <f t="shared" ca="1" si="150"/>
        <v>#N/A</v>
      </c>
      <c r="G655" s="56" t="e">
        <f t="shared" ca="1" si="142"/>
        <v>#N/A</v>
      </c>
      <c r="H655" s="116" t="e">
        <f t="shared" ca="1" si="143"/>
        <v>#N/A</v>
      </c>
      <c r="I655" s="57" t="e">
        <f t="shared" ca="1" si="144"/>
        <v>#N/A</v>
      </c>
      <c r="J655" s="131">
        <f t="shared" ca="1" si="151"/>
        <v>996</v>
      </c>
      <c r="K655" s="122" t="str">
        <f t="shared" ca="1" si="145"/>
        <v/>
      </c>
      <c r="L655" s="130" t="str">
        <f t="shared" ca="1" si="146"/>
        <v/>
      </c>
      <c r="M655" s="126">
        <f t="shared" ca="1" si="147"/>
        <v>995</v>
      </c>
      <c r="N655" s="58">
        <f t="shared" ca="1" si="138"/>
        <v>562000.00000000012</v>
      </c>
      <c r="O655" s="160">
        <f t="shared" ca="1" si="138"/>
        <v>535893.64616498293</v>
      </c>
    </row>
    <row r="656" spans="1:15" x14ac:dyDescent="0.25">
      <c r="A656" s="55">
        <f t="shared" ca="1" si="148"/>
        <v>240</v>
      </c>
      <c r="B656" s="55">
        <f t="shared" ca="1" si="139"/>
        <v>26.1</v>
      </c>
      <c r="C656" s="55">
        <f t="shared" ca="1" si="140"/>
        <v>26.098787938851952</v>
      </c>
      <c r="D656" s="55" t="str">
        <f t="shared" ca="1" si="141"/>
        <v>26.100 || 562000.000</v>
      </c>
      <c r="E656" s="120">
        <f t="shared" ca="1" si="149"/>
        <v>4.3951517554078094</v>
      </c>
      <c r="F656" s="56" t="e">
        <f t="shared" ca="1" si="150"/>
        <v>#N/A</v>
      </c>
      <c r="G656" s="56" t="e">
        <f t="shared" ca="1" si="142"/>
        <v>#N/A</v>
      </c>
      <c r="H656" s="116" t="e">
        <f t="shared" ca="1" si="143"/>
        <v>#N/A</v>
      </c>
      <c r="I656" s="57" t="e">
        <f t="shared" ca="1" si="144"/>
        <v>#N/A</v>
      </c>
      <c r="J656" s="131">
        <f t="shared" ca="1" si="151"/>
        <v>996</v>
      </c>
      <c r="K656" s="122" t="str">
        <f t="shared" ca="1" si="145"/>
        <v/>
      </c>
      <c r="L656" s="130" t="str">
        <f t="shared" ca="1" si="146"/>
        <v/>
      </c>
      <c r="M656" s="126">
        <f t="shared" ca="1" si="147"/>
        <v>995</v>
      </c>
      <c r="N656" s="58">
        <f t="shared" ca="1" si="138"/>
        <v>562000.00000000012</v>
      </c>
      <c r="O656" s="160">
        <f t="shared" ca="1" si="138"/>
        <v>535893.64616498293</v>
      </c>
    </row>
    <row r="657" spans="1:15" x14ac:dyDescent="0.25">
      <c r="A657" s="55">
        <f t="shared" ca="1" si="148"/>
        <v>240</v>
      </c>
      <c r="B657" s="55">
        <f t="shared" ca="1" si="139"/>
        <v>26.1</v>
      </c>
      <c r="C657" s="55">
        <f t="shared" ca="1" si="140"/>
        <v>26.098899545592669</v>
      </c>
      <c r="D657" s="55" t="str">
        <f t="shared" ca="1" si="141"/>
        <v>26.100 || 619000.000</v>
      </c>
      <c r="E657" s="120">
        <f t="shared" ca="1" si="149"/>
        <v>4.3955981823706765</v>
      </c>
      <c r="F657" s="56" t="e">
        <f t="shared" ca="1" si="150"/>
        <v>#N/A</v>
      </c>
      <c r="G657" s="56" t="e">
        <f t="shared" ca="1" si="142"/>
        <v>#N/A</v>
      </c>
      <c r="H657" s="116" t="e">
        <f t="shared" ca="1" si="143"/>
        <v>#N/A</v>
      </c>
      <c r="I657" s="57" t="e">
        <f t="shared" ca="1" si="144"/>
        <v>#N/A</v>
      </c>
      <c r="J657" s="131">
        <f t="shared" ca="1" si="151"/>
        <v>996</v>
      </c>
      <c r="K657" s="122" t="str">
        <f t="shared" ca="1" si="145"/>
        <v/>
      </c>
      <c r="L657" s="130" t="str">
        <f t="shared" ca="1" si="146"/>
        <v/>
      </c>
      <c r="M657" s="126">
        <f t="shared" ca="1" si="147"/>
        <v>995</v>
      </c>
      <c r="N657" s="58">
        <f t="shared" ca="1" si="138"/>
        <v>618999.99999999988</v>
      </c>
      <c r="O657" s="160">
        <f t="shared" ca="1" si="138"/>
        <v>589811.83440144698</v>
      </c>
    </row>
    <row r="658" spans="1:15" x14ac:dyDescent="0.25">
      <c r="A658" s="55">
        <f t="shared" ca="1" si="148"/>
        <v>240</v>
      </c>
      <c r="B658" s="55">
        <f t="shared" ca="1" si="139"/>
        <v>26.1</v>
      </c>
      <c r="C658" s="55">
        <f t="shared" ca="1" si="140"/>
        <v>26.098899545592669</v>
      </c>
      <c r="D658" s="55" t="str">
        <f t="shared" ca="1" si="141"/>
        <v>26.100 || 619000.000</v>
      </c>
      <c r="E658" s="120">
        <f t="shared" ca="1" si="149"/>
        <v>4.3955981823706765</v>
      </c>
      <c r="F658" s="56" t="e">
        <f t="shared" ca="1" si="150"/>
        <v>#N/A</v>
      </c>
      <c r="G658" s="56" t="e">
        <f t="shared" ca="1" si="142"/>
        <v>#N/A</v>
      </c>
      <c r="H658" s="116" t="e">
        <f t="shared" ca="1" si="143"/>
        <v>#N/A</v>
      </c>
      <c r="I658" s="57" t="e">
        <f t="shared" ca="1" si="144"/>
        <v>#N/A</v>
      </c>
      <c r="J658" s="131">
        <f t="shared" ca="1" si="151"/>
        <v>996</v>
      </c>
      <c r="K658" s="122" t="str">
        <f t="shared" ca="1" si="145"/>
        <v/>
      </c>
      <c r="L658" s="130" t="str">
        <f t="shared" ca="1" si="146"/>
        <v/>
      </c>
      <c r="M658" s="126">
        <f t="shared" ca="1" si="147"/>
        <v>995</v>
      </c>
      <c r="N658" s="58">
        <f t="shared" ca="1" si="138"/>
        <v>618999.99999999988</v>
      </c>
      <c r="O658" s="160">
        <f t="shared" ca="1" si="138"/>
        <v>589811.83440144698</v>
      </c>
    </row>
    <row r="659" spans="1:15" x14ac:dyDescent="0.25">
      <c r="A659" s="55">
        <f t="shared" ca="1" si="148"/>
        <v>240</v>
      </c>
      <c r="B659" s="55">
        <f t="shared" ca="1" si="139"/>
        <v>26.1</v>
      </c>
      <c r="C659" s="55">
        <f t="shared" ca="1" si="140"/>
        <v>26.098899545592669</v>
      </c>
      <c r="D659" s="55" t="str">
        <f t="shared" ca="1" si="141"/>
        <v>26.100 || 619000.000</v>
      </c>
      <c r="E659" s="120">
        <f t="shared" ca="1" si="149"/>
        <v>4.3955981823706765</v>
      </c>
      <c r="F659" s="56" t="e">
        <f t="shared" ca="1" si="150"/>
        <v>#N/A</v>
      </c>
      <c r="G659" s="56" t="e">
        <f t="shared" ca="1" si="142"/>
        <v>#N/A</v>
      </c>
      <c r="H659" s="116" t="e">
        <f t="shared" ca="1" si="143"/>
        <v>#N/A</v>
      </c>
      <c r="I659" s="57" t="e">
        <f t="shared" ca="1" si="144"/>
        <v>#N/A</v>
      </c>
      <c r="J659" s="131">
        <f t="shared" ca="1" si="151"/>
        <v>996</v>
      </c>
      <c r="K659" s="122" t="str">
        <f t="shared" ca="1" si="145"/>
        <v/>
      </c>
      <c r="L659" s="130" t="str">
        <f t="shared" ca="1" si="146"/>
        <v/>
      </c>
      <c r="M659" s="126">
        <f t="shared" ca="1" si="147"/>
        <v>995</v>
      </c>
      <c r="N659" s="58">
        <f t="shared" ca="1" si="138"/>
        <v>618999.99999999988</v>
      </c>
      <c r="O659" s="160">
        <f t="shared" ca="1" si="138"/>
        <v>589811.83440144698</v>
      </c>
    </row>
    <row r="660" spans="1:15" x14ac:dyDescent="0.25">
      <c r="A660" s="55">
        <f t="shared" ca="1" si="148"/>
        <v>240</v>
      </c>
      <c r="B660" s="55">
        <f t="shared" ca="1" si="139"/>
        <v>26.1</v>
      </c>
      <c r="C660" s="55">
        <f t="shared" ca="1" si="140"/>
        <v>26.098899545592669</v>
      </c>
      <c r="D660" s="55" t="str">
        <f t="shared" ca="1" si="141"/>
        <v>26.100 || 619000.000</v>
      </c>
      <c r="E660" s="120">
        <f t="shared" ca="1" si="149"/>
        <v>4.3955981823706765</v>
      </c>
      <c r="F660" s="56" t="e">
        <f t="shared" ca="1" si="150"/>
        <v>#N/A</v>
      </c>
      <c r="G660" s="56" t="e">
        <f t="shared" ca="1" si="142"/>
        <v>#N/A</v>
      </c>
      <c r="H660" s="116" t="e">
        <f t="shared" ca="1" si="143"/>
        <v>#N/A</v>
      </c>
      <c r="I660" s="57" t="e">
        <f t="shared" ca="1" si="144"/>
        <v>#N/A</v>
      </c>
      <c r="J660" s="131">
        <f t="shared" ca="1" si="151"/>
        <v>996</v>
      </c>
      <c r="K660" s="122" t="str">
        <f t="shared" ca="1" si="145"/>
        <v/>
      </c>
      <c r="L660" s="130" t="str">
        <f t="shared" ca="1" si="146"/>
        <v/>
      </c>
      <c r="M660" s="126">
        <f t="shared" ca="1" si="147"/>
        <v>995</v>
      </c>
      <c r="N660" s="58">
        <f t="shared" ca="1" si="138"/>
        <v>618999.99999999988</v>
      </c>
      <c r="O660" s="160">
        <f t="shared" ca="1" si="138"/>
        <v>589811.83440144698</v>
      </c>
    </row>
    <row r="661" spans="1:15" x14ac:dyDescent="0.25">
      <c r="A661" s="55">
        <f t="shared" ca="1" si="148"/>
        <v>240</v>
      </c>
      <c r="B661" s="55">
        <f t="shared" ca="1" si="139"/>
        <v>26.1</v>
      </c>
      <c r="C661" s="55">
        <f t="shared" ca="1" si="140"/>
        <v>26.098999729966298</v>
      </c>
      <c r="D661" s="55" t="str">
        <f t="shared" ca="1" si="141"/>
        <v>26.100 || 681000.000</v>
      </c>
      <c r="E661" s="120">
        <f t="shared" ca="1" si="149"/>
        <v>4.3959989198651925</v>
      </c>
      <c r="F661" s="56" t="e">
        <f t="shared" ca="1" si="150"/>
        <v>#N/A</v>
      </c>
      <c r="G661" s="56" t="e">
        <f t="shared" ca="1" si="142"/>
        <v>#N/A</v>
      </c>
      <c r="H661" s="116" t="e">
        <f t="shared" ca="1" si="143"/>
        <v>#N/A</v>
      </c>
      <c r="I661" s="57" t="e">
        <f t="shared" ca="1" si="144"/>
        <v>#N/A</v>
      </c>
      <c r="J661" s="131">
        <f t="shared" ca="1" si="151"/>
        <v>996</v>
      </c>
      <c r="K661" s="122" t="str">
        <f t="shared" ca="1" si="145"/>
        <v/>
      </c>
      <c r="L661" s="130" t="str">
        <f t="shared" ca="1" si="146"/>
        <v/>
      </c>
      <c r="M661" s="126">
        <f t="shared" ca="1" si="147"/>
        <v>995</v>
      </c>
      <c r="N661" s="58">
        <f t="shared" ca="1" si="138"/>
        <v>681000.00000000012</v>
      </c>
      <c r="O661" s="160">
        <f t="shared" ca="1" si="138"/>
        <v>649260.34839654271</v>
      </c>
    </row>
    <row r="662" spans="1:15" x14ac:dyDescent="0.25">
      <c r="A662" s="55">
        <f t="shared" ca="1" si="148"/>
        <v>240</v>
      </c>
      <c r="B662" s="55">
        <f t="shared" ca="1" si="139"/>
        <v>26.1</v>
      </c>
      <c r="C662" s="55">
        <f t="shared" ca="1" si="140"/>
        <v>26.098999729966298</v>
      </c>
      <c r="D662" s="55" t="str">
        <f t="shared" ca="1" si="141"/>
        <v>26.100 || 681000.000</v>
      </c>
      <c r="E662" s="120">
        <f t="shared" ca="1" si="149"/>
        <v>4.3959989198651925</v>
      </c>
      <c r="F662" s="56" t="e">
        <f t="shared" ca="1" si="150"/>
        <v>#N/A</v>
      </c>
      <c r="G662" s="56" t="e">
        <f t="shared" ca="1" si="142"/>
        <v>#N/A</v>
      </c>
      <c r="H662" s="116" t="e">
        <f t="shared" ca="1" si="143"/>
        <v>#N/A</v>
      </c>
      <c r="I662" s="57" t="e">
        <f t="shared" ca="1" si="144"/>
        <v>#N/A</v>
      </c>
      <c r="J662" s="131">
        <f t="shared" ca="1" si="151"/>
        <v>996</v>
      </c>
      <c r="K662" s="122" t="str">
        <f t="shared" ca="1" si="145"/>
        <v/>
      </c>
      <c r="L662" s="130" t="str">
        <f t="shared" ca="1" si="146"/>
        <v/>
      </c>
      <c r="M662" s="126">
        <f t="shared" ca="1" si="147"/>
        <v>995</v>
      </c>
      <c r="N662" s="58">
        <f t="shared" ca="1" si="138"/>
        <v>681000.00000000012</v>
      </c>
      <c r="O662" s="160">
        <f t="shared" ca="1" si="138"/>
        <v>649260.34839654271</v>
      </c>
    </row>
    <row r="663" spans="1:15" x14ac:dyDescent="0.25">
      <c r="A663" s="55">
        <f t="shared" ca="1" si="148"/>
        <v>240</v>
      </c>
      <c r="B663" s="55">
        <f t="shared" ca="1" si="139"/>
        <v>26.1</v>
      </c>
      <c r="C663" s="55">
        <f t="shared" ca="1" si="140"/>
        <v>26.098999729966298</v>
      </c>
      <c r="D663" s="55" t="str">
        <f t="shared" ca="1" si="141"/>
        <v>26.100 || 681000.000</v>
      </c>
      <c r="E663" s="120">
        <f t="shared" ca="1" si="149"/>
        <v>4.3959989198651925</v>
      </c>
      <c r="F663" s="56" t="e">
        <f t="shared" ca="1" si="150"/>
        <v>#N/A</v>
      </c>
      <c r="G663" s="56" t="e">
        <f t="shared" ca="1" si="142"/>
        <v>#N/A</v>
      </c>
      <c r="H663" s="116" t="e">
        <f t="shared" ca="1" si="143"/>
        <v>#N/A</v>
      </c>
      <c r="I663" s="57" t="e">
        <f t="shared" ca="1" si="144"/>
        <v>#N/A</v>
      </c>
      <c r="J663" s="131">
        <f t="shared" ca="1" si="151"/>
        <v>996</v>
      </c>
      <c r="K663" s="122" t="str">
        <f t="shared" ca="1" si="145"/>
        <v/>
      </c>
      <c r="L663" s="130" t="str">
        <f t="shared" ca="1" si="146"/>
        <v/>
      </c>
      <c r="M663" s="126">
        <f t="shared" ca="1" si="147"/>
        <v>995</v>
      </c>
      <c r="N663" s="58">
        <f t="shared" ca="1" si="138"/>
        <v>681000.00000000012</v>
      </c>
      <c r="O663" s="160">
        <f t="shared" ca="1" si="138"/>
        <v>649260.34839654271</v>
      </c>
    </row>
    <row r="664" spans="1:15" x14ac:dyDescent="0.25">
      <c r="A664" s="55">
        <f t="shared" ca="1" si="148"/>
        <v>240</v>
      </c>
      <c r="B664" s="55">
        <f t="shared" ca="1" si="139"/>
        <v>26.1</v>
      </c>
      <c r="C664" s="55">
        <f t="shared" ca="1" si="140"/>
        <v>26.098999729966298</v>
      </c>
      <c r="D664" s="55" t="str">
        <f t="shared" ca="1" si="141"/>
        <v>26.100 || 681000.000</v>
      </c>
      <c r="E664" s="120">
        <f t="shared" ca="1" si="149"/>
        <v>4.3959989198651925</v>
      </c>
      <c r="F664" s="56" t="e">
        <f t="shared" ca="1" si="150"/>
        <v>#N/A</v>
      </c>
      <c r="G664" s="56" t="e">
        <f t="shared" ca="1" si="142"/>
        <v>#N/A</v>
      </c>
      <c r="H664" s="116" t="e">
        <f t="shared" ca="1" si="143"/>
        <v>#N/A</v>
      </c>
      <c r="I664" s="57" t="e">
        <f t="shared" ca="1" si="144"/>
        <v>#N/A</v>
      </c>
      <c r="J664" s="131">
        <f t="shared" ca="1" si="151"/>
        <v>996</v>
      </c>
      <c r="K664" s="122" t="str">
        <f t="shared" ca="1" si="145"/>
        <v/>
      </c>
      <c r="L664" s="130" t="str">
        <f t="shared" ca="1" si="146"/>
        <v/>
      </c>
      <c r="M664" s="126">
        <f t="shared" ca="1" si="147"/>
        <v>995</v>
      </c>
      <c r="N664" s="58">
        <f t="shared" ca="1" si="138"/>
        <v>681000.00000000012</v>
      </c>
      <c r="O664" s="160">
        <f t="shared" ca="1" si="138"/>
        <v>649260.34839654271</v>
      </c>
    </row>
    <row r="665" spans="1:15" x14ac:dyDescent="0.25">
      <c r="A665" s="55">
        <f t="shared" ca="1" si="148"/>
        <v>240</v>
      </c>
      <c r="B665" s="55">
        <f t="shared" ca="1" si="139"/>
        <v>26.1</v>
      </c>
      <c r="C665" s="55">
        <f t="shared" ca="1" si="140"/>
        <v>26.099091751607048</v>
      </c>
      <c r="D665" s="55" t="str">
        <f t="shared" ca="1" si="141"/>
        <v>26.100 || 750000.000</v>
      </c>
      <c r="E665" s="120">
        <f t="shared" ca="1" si="149"/>
        <v>4.3963670064281928</v>
      </c>
      <c r="F665" s="56" t="e">
        <f t="shared" ca="1" si="150"/>
        <v>#N/A</v>
      </c>
      <c r="G665" s="56" t="e">
        <f t="shared" ca="1" si="142"/>
        <v>#N/A</v>
      </c>
      <c r="H665" s="116" t="e">
        <f t="shared" ca="1" si="143"/>
        <v>#N/A</v>
      </c>
      <c r="I665" s="57" t="e">
        <f t="shared" ca="1" si="144"/>
        <v>#N/A</v>
      </c>
      <c r="J665" s="131">
        <f t="shared" ca="1" si="151"/>
        <v>996</v>
      </c>
      <c r="K665" s="122" t="str">
        <f t="shared" ca="1" si="145"/>
        <v/>
      </c>
      <c r="L665" s="130" t="str">
        <f t="shared" ca="1" si="146"/>
        <v/>
      </c>
      <c r="M665" s="126">
        <f t="shared" ca="1" si="147"/>
        <v>995</v>
      </c>
      <c r="N665" s="58">
        <f t="shared" ca="1" si="138"/>
        <v>750000</v>
      </c>
      <c r="O665" s="160">
        <f t="shared" ca="1" si="138"/>
        <v>714667.75497429585</v>
      </c>
    </row>
    <row r="666" spans="1:15" x14ac:dyDescent="0.25">
      <c r="A666" s="55">
        <f t="shared" ca="1" si="148"/>
        <v>240</v>
      </c>
      <c r="B666" s="55">
        <f t="shared" ca="1" si="139"/>
        <v>26.1</v>
      </c>
      <c r="C666" s="55">
        <f t="shared" ca="1" si="140"/>
        <v>26.099091751607048</v>
      </c>
      <c r="D666" s="55" t="str">
        <f t="shared" ca="1" si="141"/>
        <v>26.100 || 750000.000</v>
      </c>
      <c r="E666" s="120">
        <f t="shared" ca="1" si="149"/>
        <v>4.3963670064281928</v>
      </c>
      <c r="F666" s="56" t="e">
        <f t="shared" ca="1" si="150"/>
        <v>#N/A</v>
      </c>
      <c r="G666" s="56" t="e">
        <f t="shared" ca="1" si="142"/>
        <v>#N/A</v>
      </c>
      <c r="H666" s="116" t="e">
        <f t="shared" ca="1" si="143"/>
        <v>#N/A</v>
      </c>
      <c r="I666" s="57" t="e">
        <f t="shared" ca="1" si="144"/>
        <v>#N/A</v>
      </c>
      <c r="J666" s="131">
        <f t="shared" ca="1" si="151"/>
        <v>996</v>
      </c>
      <c r="K666" s="122" t="str">
        <f t="shared" ca="1" si="145"/>
        <v/>
      </c>
      <c r="L666" s="130" t="str">
        <f t="shared" ca="1" si="146"/>
        <v/>
      </c>
      <c r="M666" s="126">
        <f t="shared" ca="1" si="147"/>
        <v>995</v>
      </c>
      <c r="N666" s="58">
        <f t="shared" ca="1" si="138"/>
        <v>750000</v>
      </c>
      <c r="O666" s="160">
        <f t="shared" ca="1" si="138"/>
        <v>714667.75497429585</v>
      </c>
    </row>
    <row r="667" spans="1:15" x14ac:dyDescent="0.25">
      <c r="A667" s="55">
        <f t="shared" ca="1" si="148"/>
        <v>240</v>
      </c>
      <c r="B667" s="55">
        <f t="shared" ca="1" si="139"/>
        <v>26.1</v>
      </c>
      <c r="C667" s="55">
        <f t="shared" ca="1" si="140"/>
        <v>26.099091751607048</v>
      </c>
      <c r="D667" s="55" t="str">
        <f t="shared" ca="1" si="141"/>
        <v>26.100 || 750000.000</v>
      </c>
      <c r="E667" s="120">
        <f t="shared" ca="1" si="149"/>
        <v>4.3963670064281928</v>
      </c>
      <c r="F667" s="56" t="e">
        <f t="shared" ca="1" si="150"/>
        <v>#N/A</v>
      </c>
      <c r="G667" s="56" t="e">
        <f t="shared" ca="1" si="142"/>
        <v>#N/A</v>
      </c>
      <c r="H667" s="116" t="e">
        <f t="shared" ca="1" si="143"/>
        <v>#N/A</v>
      </c>
      <c r="I667" s="57" t="e">
        <f t="shared" ca="1" si="144"/>
        <v>#N/A</v>
      </c>
      <c r="J667" s="131">
        <f t="shared" ca="1" si="151"/>
        <v>996</v>
      </c>
      <c r="K667" s="122" t="str">
        <f t="shared" ca="1" si="145"/>
        <v/>
      </c>
      <c r="L667" s="130" t="str">
        <f t="shared" ca="1" si="146"/>
        <v/>
      </c>
      <c r="M667" s="126">
        <f t="shared" ca="1" si="147"/>
        <v>995</v>
      </c>
      <c r="N667" s="58">
        <f t="shared" ca="1" si="138"/>
        <v>750000</v>
      </c>
      <c r="O667" s="160">
        <f t="shared" ca="1" si="138"/>
        <v>714667.75497429585</v>
      </c>
    </row>
    <row r="668" spans="1:15" x14ac:dyDescent="0.25">
      <c r="A668" s="55">
        <f t="shared" ca="1" si="148"/>
        <v>240</v>
      </c>
      <c r="B668" s="55">
        <f t="shared" ca="1" si="139"/>
        <v>26.1</v>
      </c>
      <c r="C668" s="55">
        <f t="shared" ca="1" si="140"/>
        <v>26.099091751607048</v>
      </c>
      <c r="D668" s="55" t="str">
        <f t="shared" ca="1" si="141"/>
        <v>26.100 || 750000.000</v>
      </c>
      <c r="E668" s="120">
        <f t="shared" ca="1" si="149"/>
        <v>4.3963670064281928</v>
      </c>
      <c r="F668" s="56" t="e">
        <f t="shared" ca="1" si="150"/>
        <v>#N/A</v>
      </c>
      <c r="G668" s="56" t="e">
        <f t="shared" ca="1" si="142"/>
        <v>#N/A</v>
      </c>
      <c r="H668" s="116" t="e">
        <f t="shared" ca="1" si="143"/>
        <v>#N/A</v>
      </c>
      <c r="I668" s="57" t="e">
        <f t="shared" ca="1" si="144"/>
        <v>#N/A</v>
      </c>
      <c r="J668" s="131">
        <f t="shared" ca="1" si="151"/>
        <v>996</v>
      </c>
      <c r="K668" s="122" t="str">
        <f t="shared" ca="1" si="145"/>
        <v/>
      </c>
      <c r="L668" s="130" t="str">
        <f t="shared" ca="1" si="146"/>
        <v/>
      </c>
      <c r="M668" s="126">
        <f t="shared" ca="1" si="147"/>
        <v>995</v>
      </c>
      <c r="N668" s="58">
        <f t="shared" ca="1" si="138"/>
        <v>750000</v>
      </c>
      <c r="O668" s="160">
        <f t="shared" ca="1" si="138"/>
        <v>714667.75497429585</v>
      </c>
    </row>
    <row r="669" spans="1:15" x14ac:dyDescent="0.25">
      <c r="A669" s="55">
        <f t="shared" ca="1" si="148"/>
        <v>240</v>
      </c>
      <c r="B669" s="55">
        <f t="shared" ca="1" si="139"/>
        <v>26.1</v>
      </c>
      <c r="C669" s="55">
        <f t="shared" ca="1" si="140"/>
        <v>26.099174317030698</v>
      </c>
      <c r="D669" s="55" t="str">
        <f t="shared" ca="1" si="141"/>
        <v>26.100 || 825000.000</v>
      </c>
      <c r="E669" s="120">
        <f t="shared" ca="1" si="149"/>
        <v>4.3966972681227929</v>
      </c>
      <c r="F669" s="56" t="e">
        <f t="shared" ca="1" si="150"/>
        <v>#N/A</v>
      </c>
      <c r="G669" s="56" t="e">
        <f t="shared" ca="1" si="142"/>
        <v>#N/A</v>
      </c>
      <c r="H669" s="116" t="e">
        <f t="shared" ca="1" si="143"/>
        <v>#N/A</v>
      </c>
      <c r="I669" s="57" t="e">
        <f t="shared" ca="1" si="144"/>
        <v>#N/A</v>
      </c>
      <c r="J669" s="131">
        <f t="shared" ca="1" si="151"/>
        <v>996</v>
      </c>
      <c r="K669" s="122" t="str">
        <f t="shared" ca="1" si="145"/>
        <v/>
      </c>
      <c r="L669" s="130" t="str">
        <f t="shared" ca="1" si="146"/>
        <v/>
      </c>
      <c r="M669" s="126">
        <f t="shared" ca="1" si="147"/>
        <v>995</v>
      </c>
      <c r="N669" s="58">
        <f t="shared" ca="1" si="138"/>
        <v>825000</v>
      </c>
      <c r="O669" s="160">
        <f t="shared" ca="1" si="138"/>
        <v>786606.6361276136</v>
      </c>
    </row>
    <row r="670" spans="1:15" x14ac:dyDescent="0.25">
      <c r="A670" s="55">
        <f t="shared" ca="1" si="148"/>
        <v>240</v>
      </c>
      <c r="B670" s="55">
        <f t="shared" ca="1" si="139"/>
        <v>26.1</v>
      </c>
      <c r="C670" s="55">
        <f t="shared" ca="1" si="140"/>
        <v>26.099174317030698</v>
      </c>
      <c r="D670" s="55" t="str">
        <f t="shared" ca="1" si="141"/>
        <v>26.100 || 825000.000</v>
      </c>
      <c r="E670" s="120">
        <f t="shared" ca="1" si="149"/>
        <v>4.3966972681227929</v>
      </c>
      <c r="F670" s="56" t="e">
        <f t="shared" ca="1" si="150"/>
        <v>#N/A</v>
      </c>
      <c r="G670" s="56" t="e">
        <f t="shared" ca="1" si="142"/>
        <v>#N/A</v>
      </c>
      <c r="H670" s="116" t="e">
        <f t="shared" ca="1" si="143"/>
        <v>#N/A</v>
      </c>
      <c r="I670" s="57" t="e">
        <f t="shared" ca="1" si="144"/>
        <v>#N/A</v>
      </c>
      <c r="J670" s="131">
        <f t="shared" ca="1" si="151"/>
        <v>996</v>
      </c>
      <c r="K670" s="122" t="str">
        <f t="shared" ca="1" si="145"/>
        <v/>
      </c>
      <c r="L670" s="130" t="str">
        <f t="shared" ca="1" si="146"/>
        <v/>
      </c>
      <c r="M670" s="126">
        <f t="shared" ca="1" si="147"/>
        <v>995</v>
      </c>
      <c r="N670" s="58">
        <f t="shared" ca="1" si="138"/>
        <v>825000</v>
      </c>
      <c r="O670" s="160">
        <f t="shared" ca="1" si="138"/>
        <v>786606.6361276136</v>
      </c>
    </row>
    <row r="671" spans="1:15" x14ac:dyDescent="0.25">
      <c r="A671" s="55">
        <f t="shared" ca="1" si="148"/>
        <v>240</v>
      </c>
      <c r="B671" s="55">
        <f t="shared" ca="1" si="139"/>
        <v>26.1</v>
      </c>
      <c r="C671" s="55">
        <f t="shared" ca="1" si="140"/>
        <v>26.099174317030698</v>
      </c>
      <c r="D671" s="55" t="str">
        <f t="shared" ca="1" si="141"/>
        <v>26.100 || 825000.000</v>
      </c>
      <c r="E671" s="120">
        <f t="shared" ca="1" si="149"/>
        <v>4.3966972681227929</v>
      </c>
      <c r="F671" s="56" t="e">
        <f t="shared" ca="1" si="150"/>
        <v>#N/A</v>
      </c>
      <c r="G671" s="56" t="e">
        <f t="shared" ca="1" si="142"/>
        <v>#N/A</v>
      </c>
      <c r="H671" s="116" t="e">
        <f t="shared" ca="1" si="143"/>
        <v>#N/A</v>
      </c>
      <c r="I671" s="57" t="e">
        <f t="shared" ca="1" si="144"/>
        <v>#N/A</v>
      </c>
      <c r="J671" s="131">
        <f t="shared" ca="1" si="151"/>
        <v>996</v>
      </c>
      <c r="K671" s="122" t="str">
        <f t="shared" ca="1" si="145"/>
        <v/>
      </c>
      <c r="L671" s="130" t="str">
        <f t="shared" ca="1" si="146"/>
        <v/>
      </c>
      <c r="M671" s="126">
        <f t="shared" ca="1" si="147"/>
        <v>995</v>
      </c>
      <c r="N671" s="58">
        <f t="shared" ca="1" si="138"/>
        <v>825000</v>
      </c>
      <c r="O671" s="160">
        <f t="shared" ca="1" si="138"/>
        <v>786606.6361276136</v>
      </c>
    </row>
    <row r="672" spans="1:15" x14ac:dyDescent="0.25">
      <c r="A672" s="55">
        <f t="shared" ca="1" si="148"/>
        <v>240</v>
      </c>
      <c r="B672" s="55">
        <f t="shared" ca="1" si="139"/>
        <v>26.1</v>
      </c>
      <c r="C672" s="55">
        <f t="shared" ca="1" si="140"/>
        <v>26.099174317030698</v>
      </c>
      <c r="D672" s="55" t="str">
        <f t="shared" ca="1" si="141"/>
        <v>26.100 || 825000.000</v>
      </c>
      <c r="E672" s="120">
        <f t="shared" ca="1" si="149"/>
        <v>4.3966972681227929</v>
      </c>
      <c r="F672" s="56" t="e">
        <f t="shared" ca="1" si="150"/>
        <v>#N/A</v>
      </c>
      <c r="G672" s="56" t="e">
        <f t="shared" ca="1" si="142"/>
        <v>#N/A</v>
      </c>
      <c r="H672" s="116" t="e">
        <f t="shared" ca="1" si="143"/>
        <v>#N/A</v>
      </c>
      <c r="I672" s="57" t="e">
        <f t="shared" ca="1" si="144"/>
        <v>#N/A</v>
      </c>
      <c r="J672" s="131">
        <f t="shared" ca="1" si="151"/>
        <v>996</v>
      </c>
      <c r="K672" s="122" t="str">
        <f t="shared" ca="1" si="145"/>
        <v/>
      </c>
      <c r="L672" s="130" t="str">
        <f t="shared" ca="1" si="146"/>
        <v/>
      </c>
      <c r="M672" s="126">
        <f t="shared" ca="1" si="147"/>
        <v>995</v>
      </c>
      <c r="N672" s="58">
        <f t="shared" ca="1" si="138"/>
        <v>825000</v>
      </c>
      <c r="O672" s="160">
        <f t="shared" ca="1" si="138"/>
        <v>786606.6361276136</v>
      </c>
    </row>
    <row r="673" spans="1:15" x14ac:dyDescent="0.25">
      <c r="A673" s="55">
        <f t="shared" ca="1" si="148"/>
        <v>240</v>
      </c>
      <c r="B673" s="55">
        <f t="shared" ca="1" si="139"/>
        <v>26.1</v>
      </c>
      <c r="C673" s="55">
        <f t="shared" ca="1" si="140"/>
        <v>26.099250615576384</v>
      </c>
      <c r="D673" s="55" t="str">
        <f t="shared" ca="1" si="141"/>
        <v>26.100 || 909000.000</v>
      </c>
      <c r="E673" s="120">
        <f t="shared" ca="1" si="149"/>
        <v>4.3970024623055366</v>
      </c>
      <c r="F673" s="56" t="e">
        <f t="shared" ca="1" si="150"/>
        <v>#N/A</v>
      </c>
      <c r="G673" s="56" t="e">
        <f t="shared" ca="1" si="142"/>
        <v>#N/A</v>
      </c>
      <c r="H673" s="116" t="e">
        <f t="shared" ca="1" si="143"/>
        <v>#N/A</v>
      </c>
      <c r="I673" s="57" t="e">
        <f t="shared" ca="1" si="144"/>
        <v>#N/A</v>
      </c>
      <c r="J673" s="131">
        <f t="shared" ca="1" si="151"/>
        <v>996</v>
      </c>
      <c r="K673" s="122" t="str">
        <f t="shared" ca="1" si="145"/>
        <v/>
      </c>
      <c r="L673" s="130" t="str">
        <f t="shared" ca="1" si="146"/>
        <v/>
      </c>
      <c r="M673" s="126">
        <f t="shared" ca="1" si="147"/>
        <v>995</v>
      </c>
      <c r="N673" s="58">
        <f t="shared" ca="1" si="138"/>
        <v>909000</v>
      </c>
      <c r="O673" s="160">
        <f t="shared" ca="1" si="138"/>
        <v>865982.10143166361</v>
      </c>
    </row>
    <row r="674" spans="1:15" x14ac:dyDescent="0.25">
      <c r="A674" s="55">
        <f t="shared" ca="1" si="148"/>
        <v>240</v>
      </c>
      <c r="B674" s="55">
        <f t="shared" ca="1" si="139"/>
        <v>26.1</v>
      </c>
      <c r="C674" s="55">
        <f t="shared" ca="1" si="140"/>
        <v>26.099250615576384</v>
      </c>
      <c r="D674" s="55" t="str">
        <f t="shared" ca="1" si="141"/>
        <v>26.100 || 909000.000</v>
      </c>
      <c r="E674" s="120">
        <f t="shared" ca="1" si="149"/>
        <v>4.3970024623055366</v>
      </c>
      <c r="F674" s="56" t="e">
        <f t="shared" ca="1" si="150"/>
        <v>#N/A</v>
      </c>
      <c r="G674" s="56" t="e">
        <f t="shared" ca="1" si="142"/>
        <v>#N/A</v>
      </c>
      <c r="H674" s="116" t="e">
        <f t="shared" ca="1" si="143"/>
        <v>#N/A</v>
      </c>
      <c r="I674" s="57" t="e">
        <f t="shared" ca="1" si="144"/>
        <v>#N/A</v>
      </c>
      <c r="J674" s="131">
        <f t="shared" ca="1" si="151"/>
        <v>996</v>
      </c>
      <c r="K674" s="122" t="str">
        <f t="shared" ca="1" si="145"/>
        <v/>
      </c>
      <c r="L674" s="130" t="str">
        <f t="shared" ca="1" si="146"/>
        <v/>
      </c>
      <c r="M674" s="126">
        <f t="shared" ca="1" si="147"/>
        <v>995</v>
      </c>
      <c r="N674" s="58">
        <f t="shared" ca="1" si="138"/>
        <v>909000</v>
      </c>
      <c r="O674" s="160">
        <f t="shared" ca="1" si="138"/>
        <v>865982.10143166361</v>
      </c>
    </row>
    <row r="675" spans="1:15" x14ac:dyDescent="0.25">
      <c r="A675" s="55">
        <f t="shared" ca="1" si="148"/>
        <v>240</v>
      </c>
      <c r="B675" s="55">
        <f t="shared" ca="1" si="139"/>
        <v>26.1</v>
      </c>
      <c r="C675" s="55">
        <f t="shared" ca="1" si="140"/>
        <v>26.099250615576384</v>
      </c>
      <c r="D675" s="55" t="str">
        <f t="shared" ca="1" si="141"/>
        <v>26.100 || 909000.000</v>
      </c>
      <c r="E675" s="120">
        <f t="shared" ca="1" si="149"/>
        <v>4.3970024623055366</v>
      </c>
      <c r="F675" s="56" t="e">
        <f t="shared" ca="1" si="150"/>
        <v>#N/A</v>
      </c>
      <c r="G675" s="56" t="e">
        <f t="shared" ca="1" si="142"/>
        <v>#N/A</v>
      </c>
      <c r="H675" s="116" t="e">
        <f t="shared" ca="1" si="143"/>
        <v>#N/A</v>
      </c>
      <c r="I675" s="57" t="e">
        <f t="shared" ca="1" si="144"/>
        <v>#N/A</v>
      </c>
      <c r="J675" s="131">
        <f t="shared" ca="1" si="151"/>
        <v>996</v>
      </c>
      <c r="K675" s="122" t="str">
        <f t="shared" ca="1" si="145"/>
        <v/>
      </c>
      <c r="L675" s="130" t="str">
        <f t="shared" ca="1" si="146"/>
        <v/>
      </c>
      <c r="M675" s="126">
        <f t="shared" ca="1" si="147"/>
        <v>995</v>
      </c>
      <c r="N675" s="58">
        <f t="shared" ca="1" si="138"/>
        <v>909000</v>
      </c>
      <c r="O675" s="160">
        <f t="shared" ca="1" si="138"/>
        <v>865982.10143166361</v>
      </c>
    </row>
    <row r="676" spans="1:15" x14ac:dyDescent="0.25">
      <c r="A676" s="55">
        <f t="shared" ca="1" si="148"/>
        <v>240</v>
      </c>
      <c r="B676" s="55">
        <f t="shared" ca="1" si="139"/>
        <v>26.1</v>
      </c>
      <c r="C676" s="55">
        <f t="shared" ca="1" si="140"/>
        <v>26.099250615576384</v>
      </c>
      <c r="D676" s="55" t="str">
        <f t="shared" ca="1" si="141"/>
        <v>26.100 || 909000.000</v>
      </c>
      <c r="E676" s="120">
        <f t="shared" ca="1" si="149"/>
        <v>4.3970024623055366</v>
      </c>
      <c r="F676" s="56" t="e">
        <f t="shared" ca="1" si="150"/>
        <v>#N/A</v>
      </c>
      <c r="G676" s="56" t="e">
        <f t="shared" ca="1" si="142"/>
        <v>#N/A</v>
      </c>
      <c r="H676" s="116" t="e">
        <f t="shared" ca="1" si="143"/>
        <v>#N/A</v>
      </c>
      <c r="I676" s="57" t="e">
        <f t="shared" ca="1" si="144"/>
        <v>#N/A</v>
      </c>
      <c r="J676" s="131">
        <f t="shared" ca="1" si="151"/>
        <v>996</v>
      </c>
      <c r="K676" s="122" t="str">
        <f t="shared" ca="1" si="145"/>
        <v/>
      </c>
      <c r="L676" s="130" t="str">
        <f t="shared" ca="1" si="146"/>
        <v/>
      </c>
      <c r="M676" s="126">
        <f t="shared" ca="1" si="147"/>
        <v>995</v>
      </c>
      <c r="N676" s="58">
        <f t="shared" ca="1" si="138"/>
        <v>909000</v>
      </c>
      <c r="O676" s="160">
        <f t="shared" ca="1" si="138"/>
        <v>865982.10143166361</v>
      </c>
    </row>
    <row r="677" spans="1:15" x14ac:dyDescent="0.25">
      <c r="A677" s="55">
        <f t="shared" ca="1" si="148"/>
        <v>240</v>
      </c>
      <c r="B677" s="55">
        <f t="shared" ca="1" si="139"/>
        <v>26.1</v>
      </c>
      <c r="C677" s="55">
        <f t="shared" ca="1" si="140"/>
        <v>26.099318807779117</v>
      </c>
      <c r="D677" s="55" t="str">
        <f t="shared" ca="1" si="141"/>
        <v>26.100 || 1000000.000</v>
      </c>
      <c r="E677" s="120">
        <f t="shared" ca="1" si="149"/>
        <v>4.3972752311164669</v>
      </c>
      <c r="F677" s="56" t="e">
        <f t="shared" ca="1" si="150"/>
        <v>#N/A</v>
      </c>
      <c r="G677" s="56" t="e">
        <f t="shared" ca="1" si="142"/>
        <v>#N/A</v>
      </c>
      <c r="H677" s="116" t="e">
        <f t="shared" ca="1" si="143"/>
        <v>#N/A</v>
      </c>
      <c r="I677" s="57" t="e">
        <f t="shared" ca="1" si="144"/>
        <v>#N/A</v>
      </c>
      <c r="J677" s="131">
        <f t="shared" ca="1" si="151"/>
        <v>996</v>
      </c>
      <c r="K677" s="122" t="str">
        <f t="shared" ca="1" si="145"/>
        <v/>
      </c>
      <c r="L677" s="130" t="str">
        <f t="shared" ca="1" si="146"/>
        <v/>
      </c>
      <c r="M677" s="126">
        <f t="shared" ca="1" si="147"/>
        <v>995</v>
      </c>
      <c r="N677" s="58">
        <f t="shared" ca="1" si="138"/>
        <v>1000000</v>
      </c>
      <c r="O677" s="160">
        <f t="shared" ca="1" si="138"/>
        <v>953414.9149242423</v>
      </c>
    </row>
    <row r="678" spans="1:15" x14ac:dyDescent="0.25">
      <c r="A678" s="55">
        <f t="shared" ca="1" si="148"/>
        <v>240</v>
      </c>
      <c r="B678" s="55">
        <f t="shared" ca="1" si="139"/>
        <v>26.1</v>
      </c>
      <c r="C678" s="55">
        <f t="shared" ca="1" si="140"/>
        <v>26.099318807779117</v>
      </c>
      <c r="D678" s="55" t="str">
        <f t="shared" ca="1" si="141"/>
        <v>26.100 || 1000000.000</v>
      </c>
      <c r="E678" s="120">
        <f t="shared" ca="1" si="149"/>
        <v>4.3972752311164669</v>
      </c>
      <c r="F678" s="56" t="e">
        <f t="shared" ca="1" si="150"/>
        <v>#N/A</v>
      </c>
      <c r="G678" s="56" t="e">
        <f t="shared" ca="1" si="142"/>
        <v>#N/A</v>
      </c>
      <c r="H678" s="116" t="e">
        <f t="shared" ca="1" si="143"/>
        <v>#N/A</v>
      </c>
      <c r="I678" s="57" t="e">
        <f t="shared" ca="1" si="144"/>
        <v>#N/A</v>
      </c>
      <c r="J678" s="131">
        <f t="shared" ca="1" si="151"/>
        <v>996</v>
      </c>
      <c r="K678" s="122" t="str">
        <f t="shared" ca="1" si="145"/>
        <v/>
      </c>
      <c r="L678" s="130" t="str">
        <f t="shared" ca="1" si="146"/>
        <v/>
      </c>
      <c r="M678" s="126">
        <f t="shared" ca="1" si="147"/>
        <v>995</v>
      </c>
      <c r="N678" s="58">
        <f t="shared" ca="1" si="138"/>
        <v>1000000</v>
      </c>
      <c r="O678" s="160">
        <f t="shared" ca="1" si="138"/>
        <v>953414.91492424218</v>
      </c>
    </row>
    <row r="679" spans="1:15" x14ac:dyDescent="0.25">
      <c r="A679" s="55">
        <f t="shared" ca="1" si="148"/>
        <v>240</v>
      </c>
      <c r="B679" s="55">
        <f t="shared" ca="1" si="139"/>
        <v>26.1</v>
      </c>
      <c r="C679" s="55">
        <f t="shared" ca="1" si="140"/>
        <v>26.099318807779117</v>
      </c>
      <c r="D679" s="55" t="str">
        <f t="shared" ca="1" si="141"/>
        <v>26.100 || 1000000.000</v>
      </c>
      <c r="E679" s="120">
        <f t="shared" ca="1" si="149"/>
        <v>4.3972752311164669</v>
      </c>
      <c r="F679" s="56" t="e">
        <f t="shared" ca="1" si="150"/>
        <v>#N/A</v>
      </c>
      <c r="G679" s="56" t="e">
        <f t="shared" ca="1" si="142"/>
        <v>#N/A</v>
      </c>
      <c r="H679" s="116" t="e">
        <f t="shared" ca="1" si="143"/>
        <v>#N/A</v>
      </c>
      <c r="I679" s="57" t="e">
        <f t="shared" ca="1" si="144"/>
        <v>#N/A</v>
      </c>
      <c r="J679" s="131">
        <f t="shared" ca="1" si="151"/>
        <v>996</v>
      </c>
      <c r="K679" s="122" t="str">
        <f t="shared" ca="1" si="145"/>
        <v/>
      </c>
      <c r="L679" s="130" t="str">
        <f t="shared" ca="1" si="146"/>
        <v/>
      </c>
      <c r="M679" s="126">
        <f t="shared" ca="1" si="147"/>
        <v>995</v>
      </c>
      <c r="N679" s="58">
        <f t="shared" ca="1" si="138"/>
        <v>1000000</v>
      </c>
      <c r="O679" s="160">
        <f t="shared" ca="1" si="138"/>
        <v>953414.91492424218</v>
      </c>
    </row>
    <row r="680" spans="1:15" x14ac:dyDescent="0.25">
      <c r="A680" s="55">
        <f t="shared" ca="1" si="148"/>
        <v>240</v>
      </c>
      <c r="B680" s="55">
        <f t="shared" ca="1" si="139"/>
        <v>26.1</v>
      </c>
      <c r="C680" s="55">
        <f t="shared" ca="1" si="140"/>
        <v>26.099318807779117</v>
      </c>
      <c r="D680" s="55" t="str">
        <f t="shared" ca="1" si="141"/>
        <v>26.100 || 1000000.000</v>
      </c>
      <c r="E680" s="120">
        <f t="shared" ca="1" si="149"/>
        <v>4.3972752311164669</v>
      </c>
      <c r="F680" s="56" t="e">
        <f t="shared" ca="1" si="150"/>
        <v>#N/A</v>
      </c>
      <c r="G680" s="56" t="e">
        <f t="shared" ca="1" si="142"/>
        <v>#N/A</v>
      </c>
      <c r="H680" s="116" t="e">
        <f t="shared" ca="1" si="143"/>
        <v>#N/A</v>
      </c>
      <c r="I680" s="57" t="e">
        <f t="shared" ca="1" si="144"/>
        <v>#N/A</v>
      </c>
      <c r="J680" s="131">
        <f t="shared" ca="1" si="151"/>
        <v>996</v>
      </c>
      <c r="K680" s="122" t="str">
        <f t="shared" ca="1" si="145"/>
        <v/>
      </c>
      <c r="L680" s="130" t="str">
        <f t="shared" ca="1" si="146"/>
        <v/>
      </c>
      <c r="M680" s="126">
        <f t="shared" ca="1" si="147"/>
        <v>995</v>
      </c>
      <c r="N680" s="58">
        <f t="shared" ref="N680:O743" ca="1" si="152">N584*10</f>
        <v>1000000</v>
      </c>
      <c r="O680" s="160">
        <f t="shared" ca="1" si="152"/>
        <v>953414.91492424218</v>
      </c>
    </row>
    <row r="681" spans="1:15" x14ac:dyDescent="0.25">
      <c r="A681" s="55">
        <f t="shared" ca="1" si="148"/>
        <v>240</v>
      </c>
      <c r="B681" s="55">
        <f t="shared" ca="1" si="139"/>
        <v>26.1</v>
      </c>
      <c r="C681" s="55">
        <f t="shared" ca="1" si="140"/>
        <v>26.099380732875339</v>
      </c>
      <c r="D681" s="55" t="str">
        <f t="shared" ca="1" si="141"/>
        <v>26.100 || 1100000.000</v>
      </c>
      <c r="E681" s="120">
        <f t="shared" ca="1" si="149"/>
        <v>4.3975229315013564</v>
      </c>
      <c r="F681" s="56" t="e">
        <f t="shared" ca="1" si="150"/>
        <v>#N/A</v>
      </c>
      <c r="G681" s="56" t="e">
        <f t="shared" ca="1" si="142"/>
        <v>#N/A</v>
      </c>
      <c r="H681" s="116" t="e">
        <f t="shared" ca="1" si="143"/>
        <v>#N/A</v>
      </c>
      <c r="I681" s="57" t="e">
        <f t="shared" ca="1" si="144"/>
        <v>#N/A</v>
      </c>
      <c r="J681" s="131">
        <f t="shared" ca="1" si="151"/>
        <v>996</v>
      </c>
      <c r="K681" s="122" t="str">
        <f t="shared" ca="1" si="145"/>
        <v/>
      </c>
      <c r="L681" s="130" t="str">
        <f t="shared" ca="1" si="146"/>
        <v/>
      </c>
      <c r="M681" s="126">
        <f t="shared" ca="1" si="147"/>
        <v>995</v>
      </c>
      <c r="N681" s="58">
        <f t="shared" ca="1" si="152"/>
        <v>1100000</v>
      </c>
      <c r="O681" s="160">
        <f t="shared" ca="1" si="152"/>
        <v>1048808.8481701517</v>
      </c>
    </row>
    <row r="682" spans="1:15" x14ac:dyDescent="0.25">
      <c r="A682" s="55">
        <f t="shared" ca="1" si="148"/>
        <v>240</v>
      </c>
      <c r="B682" s="55">
        <f t="shared" ca="1" si="139"/>
        <v>26.1</v>
      </c>
      <c r="C682" s="55">
        <f t="shared" ca="1" si="140"/>
        <v>26.099380732875339</v>
      </c>
      <c r="D682" s="55" t="str">
        <f t="shared" ca="1" si="141"/>
        <v>26.100 || 1100000.000</v>
      </c>
      <c r="E682" s="120">
        <f t="shared" ca="1" si="149"/>
        <v>4.3975229315013564</v>
      </c>
      <c r="F682" s="56" t="e">
        <f t="shared" ca="1" si="150"/>
        <v>#N/A</v>
      </c>
      <c r="G682" s="56" t="e">
        <f t="shared" ca="1" si="142"/>
        <v>#N/A</v>
      </c>
      <c r="H682" s="116" t="e">
        <f t="shared" ca="1" si="143"/>
        <v>#N/A</v>
      </c>
      <c r="I682" s="57" t="e">
        <f t="shared" ca="1" si="144"/>
        <v>#N/A</v>
      </c>
      <c r="J682" s="131">
        <f t="shared" ca="1" si="151"/>
        <v>996</v>
      </c>
      <c r="K682" s="122" t="str">
        <f t="shared" ca="1" si="145"/>
        <v/>
      </c>
      <c r="L682" s="130" t="str">
        <f t="shared" ca="1" si="146"/>
        <v/>
      </c>
      <c r="M682" s="126">
        <f t="shared" ca="1" si="147"/>
        <v>995</v>
      </c>
      <c r="N682" s="58">
        <f t="shared" ca="1" si="152"/>
        <v>1100000</v>
      </c>
      <c r="O682" s="160">
        <f t="shared" ca="1" si="152"/>
        <v>1048808.8481701517</v>
      </c>
    </row>
    <row r="683" spans="1:15" x14ac:dyDescent="0.25">
      <c r="A683" s="55">
        <f t="shared" ca="1" si="148"/>
        <v>240</v>
      </c>
      <c r="B683" s="55">
        <f t="shared" ca="1" si="139"/>
        <v>26.1</v>
      </c>
      <c r="C683" s="55">
        <f t="shared" ca="1" si="140"/>
        <v>26.099380732875339</v>
      </c>
      <c r="D683" s="55" t="str">
        <f t="shared" ca="1" si="141"/>
        <v>26.100 || 1100000.000</v>
      </c>
      <c r="E683" s="120">
        <f t="shared" ca="1" si="149"/>
        <v>4.3975229315013564</v>
      </c>
      <c r="F683" s="56" t="e">
        <f t="shared" ca="1" si="150"/>
        <v>#N/A</v>
      </c>
      <c r="G683" s="56" t="e">
        <f t="shared" ca="1" si="142"/>
        <v>#N/A</v>
      </c>
      <c r="H683" s="116" t="e">
        <f t="shared" ca="1" si="143"/>
        <v>#N/A</v>
      </c>
      <c r="I683" s="57" t="e">
        <f t="shared" ca="1" si="144"/>
        <v>#N/A</v>
      </c>
      <c r="J683" s="131">
        <f t="shared" ca="1" si="151"/>
        <v>996</v>
      </c>
      <c r="K683" s="122" t="str">
        <f t="shared" ca="1" si="145"/>
        <v/>
      </c>
      <c r="L683" s="130" t="str">
        <f t="shared" ca="1" si="146"/>
        <v/>
      </c>
      <c r="M683" s="126">
        <f t="shared" ca="1" si="147"/>
        <v>995</v>
      </c>
      <c r="N683" s="58">
        <f t="shared" ca="1" si="152"/>
        <v>1100000</v>
      </c>
      <c r="O683" s="160">
        <f t="shared" ca="1" si="152"/>
        <v>1048808.8481701517</v>
      </c>
    </row>
    <row r="684" spans="1:15" x14ac:dyDescent="0.25">
      <c r="A684" s="55">
        <f t="shared" ca="1" si="148"/>
        <v>240</v>
      </c>
      <c r="B684" s="55">
        <f t="shared" ca="1" si="139"/>
        <v>26.1</v>
      </c>
      <c r="C684" s="55">
        <f t="shared" ca="1" si="140"/>
        <v>26.099380732875339</v>
      </c>
      <c r="D684" s="55" t="str">
        <f t="shared" ca="1" si="141"/>
        <v>26.100 || 1100000.000</v>
      </c>
      <c r="E684" s="120">
        <f t="shared" ca="1" si="149"/>
        <v>4.3975229315013564</v>
      </c>
      <c r="F684" s="56" t="e">
        <f t="shared" ca="1" si="150"/>
        <v>#N/A</v>
      </c>
      <c r="G684" s="56" t="e">
        <f t="shared" ca="1" si="142"/>
        <v>#N/A</v>
      </c>
      <c r="H684" s="116" t="e">
        <f t="shared" ca="1" si="143"/>
        <v>#N/A</v>
      </c>
      <c r="I684" s="57" t="e">
        <f t="shared" ca="1" si="144"/>
        <v>#N/A</v>
      </c>
      <c r="J684" s="131">
        <f t="shared" ca="1" si="151"/>
        <v>996</v>
      </c>
      <c r="K684" s="122" t="str">
        <f t="shared" ca="1" si="145"/>
        <v/>
      </c>
      <c r="L684" s="130" t="str">
        <f t="shared" ca="1" si="146"/>
        <v/>
      </c>
      <c r="M684" s="126">
        <f t="shared" ca="1" si="147"/>
        <v>995</v>
      </c>
      <c r="N684" s="58">
        <f t="shared" ca="1" si="152"/>
        <v>1100000</v>
      </c>
      <c r="O684" s="160">
        <f t="shared" ca="1" si="152"/>
        <v>1048808.8481701517</v>
      </c>
    </row>
    <row r="685" spans="1:15" x14ac:dyDescent="0.25">
      <c r="A685" s="55">
        <f t="shared" ca="1" si="148"/>
        <v>240</v>
      </c>
      <c r="B685" s="55">
        <f t="shared" ca="1" si="139"/>
        <v>26.1</v>
      </c>
      <c r="C685" s="55">
        <f t="shared" ca="1" si="140"/>
        <v>26.099437028672359</v>
      </c>
      <c r="D685" s="55" t="str">
        <f t="shared" ca="1" si="141"/>
        <v>26.100 || 1210000.000</v>
      </c>
      <c r="E685" s="120">
        <f t="shared" ca="1" si="149"/>
        <v>4.3977481146894348</v>
      </c>
      <c r="F685" s="56" t="e">
        <f t="shared" ca="1" si="150"/>
        <v>#N/A</v>
      </c>
      <c r="G685" s="56" t="e">
        <f t="shared" ca="1" si="142"/>
        <v>#N/A</v>
      </c>
      <c r="H685" s="116" t="e">
        <f t="shared" ca="1" si="143"/>
        <v>#N/A</v>
      </c>
      <c r="I685" s="57" t="e">
        <f t="shared" ca="1" si="144"/>
        <v>#N/A</v>
      </c>
      <c r="J685" s="131">
        <f t="shared" ca="1" si="151"/>
        <v>996</v>
      </c>
      <c r="K685" s="122" t="str">
        <f t="shared" ca="1" si="145"/>
        <v/>
      </c>
      <c r="L685" s="130" t="str">
        <f t="shared" ca="1" si="146"/>
        <v/>
      </c>
      <c r="M685" s="126">
        <f t="shared" ca="1" si="147"/>
        <v>995</v>
      </c>
      <c r="N685" s="58">
        <f t="shared" ca="1" si="152"/>
        <v>1210000</v>
      </c>
      <c r="O685" s="160">
        <f t="shared" ca="1" si="152"/>
        <v>1153689.7329871666</v>
      </c>
    </row>
    <row r="686" spans="1:15" x14ac:dyDescent="0.25">
      <c r="A686" s="55">
        <f t="shared" ca="1" si="148"/>
        <v>240</v>
      </c>
      <c r="B686" s="55">
        <f t="shared" ca="1" si="139"/>
        <v>26.1</v>
      </c>
      <c r="C686" s="55">
        <f t="shared" ca="1" si="140"/>
        <v>26.099437028672359</v>
      </c>
      <c r="D686" s="55" t="str">
        <f t="shared" ca="1" si="141"/>
        <v>26.100 || 1210000.000</v>
      </c>
      <c r="E686" s="120">
        <f t="shared" ca="1" si="149"/>
        <v>4.3977481146894348</v>
      </c>
      <c r="F686" s="56" t="e">
        <f t="shared" ca="1" si="150"/>
        <v>#N/A</v>
      </c>
      <c r="G686" s="56" t="e">
        <f t="shared" ca="1" si="142"/>
        <v>#N/A</v>
      </c>
      <c r="H686" s="116" t="e">
        <f t="shared" ca="1" si="143"/>
        <v>#N/A</v>
      </c>
      <c r="I686" s="57" t="e">
        <f t="shared" ca="1" si="144"/>
        <v>#N/A</v>
      </c>
      <c r="J686" s="131">
        <f t="shared" ca="1" si="151"/>
        <v>996</v>
      </c>
      <c r="K686" s="122" t="str">
        <f t="shared" ca="1" si="145"/>
        <v/>
      </c>
      <c r="L686" s="130" t="str">
        <f t="shared" ca="1" si="146"/>
        <v/>
      </c>
      <c r="M686" s="126">
        <f t="shared" ca="1" si="147"/>
        <v>995</v>
      </c>
      <c r="N686" s="58">
        <f t="shared" ca="1" si="152"/>
        <v>1210000</v>
      </c>
      <c r="O686" s="160">
        <f t="shared" ca="1" si="152"/>
        <v>1153689.7329871666</v>
      </c>
    </row>
    <row r="687" spans="1:15" x14ac:dyDescent="0.25">
      <c r="A687" s="55">
        <f t="shared" ca="1" si="148"/>
        <v>240</v>
      </c>
      <c r="B687" s="55">
        <f t="shared" ca="1" si="139"/>
        <v>26.1</v>
      </c>
      <c r="C687" s="55">
        <f t="shared" ca="1" si="140"/>
        <v>26.099437028672359</v>
      </c>
      <c r="D687" s="55" t="str">
        <f t="shared" ca="1" si="141"/>
        <v>26.100 || 1210000.000</v>
      </c>
      <c r="E687" s="120">
        <f t="shared" ca="1" si="149"/>
        <v>4.3977481146894348</v>
      </c>
      <c r="F687" s="56" t="e">
        <f t="shared" ca="1" si="150"/>
        <v>#N/A</v>
      </c>
      <c r="G687" s="56" t="e">
        <f t="shared" ca="1" si="142"/>
        <v>#N/A</v>
      </c>
      <c r="H687" s="116" t="e">
        <f t="shared" ca="1" si="143"/>
        <v>#N/A</v>
      </c>
      <c r="I687" s="57" t="e">
        <f t="shared" ca="1" si="144"/>
        <v>#N/A</v>
      </c>
      <c r="J687" s="131">
        <f t="shared" ca="1" si="151"/>
        <v>996</v>
      </c>
      <c r="K687" s="122" t="str">
        <f t="shared" ca="1" si="145"/>
        <v/>
      </c>
      <c r="L687" s="130" t="str">
        <f t="shared" ca="1" si="146"/>
        <v/>
      </c>
      <c r="M687" s="126">
        <f t="shared" ca="1" si="147"/>
        <v>995</v>
      </c>
      <c r="N687" s="58">
        <f t="shared" ca="1" si="152"/>
        <v>1210000</v>
      </c>
      <c r="O687" s="160">
        <f t="shared" ca="1" si="152"/>
        <v>1153689.7329871666</v>
      </c>
    </row>
    <row r="688" spans="1:15" x14ac:dyDescent="0.25">
      <c r="A688" s="55">
        <f t="shared" ca="1" si="148"/>
        <v>240</v>
      </c>
      <c r="B688" s="55">
        <f t="shared" ca="1" si="139"/>
        <v>26.1</v>
      </c>
      <c r="C688" s="55">
        <f t="shared" ca="1" si="140"/>
        <v>26.099437028672359</v>
      </c>
      <c r="D688" s="55" t="str">
        <f t="shared" ca="1" si="141"/>
        <v>26.100 || 1210000.000</v>
      </c>
      <c r="E688" s="120">
        <f t="shared" ca="1" si="149"/>
        <v>4.3977481146894348</v>
      </c>
      <c r="F688" s="56" t="e">
        <f t="shared" ca="1" si="150"/>
        <v>#N/A</v>
      </c>
      <c r="G688" s="56" t="e">
        <f t="shared" ca="1" si="142"/>
        <v>#N/A</v>
      </c>
      <c r="H688" s="116" t="e">
        <f t="shared" ca="1" si="143"/>
        <v>#N/A</v>
      </c>
      <c r="I688" s="57" t="e">
        <f t="shared" ca="1" si="144"/>
        <v>#N/A</v>
      </c>
      <c r="J688" s="131">
        <f t="shared" ca="1" si="151"/>
        <v>996</v>
      </c>
      <c r="K688" s="122" t="str">
        <f t="shared" ca="1" si="145"/>
        <v/>
      </c>
      <c r="L688" s="130" t="str">
        <f t="shared" ca="1" si="146"/>
        <v/>
      </c>
      <c r="M688" s="126">
        <f t="shared" ca="1" si="147"/>
        <v>995</v>
      </c>
      <c r="N688" s="58">
        <f t="shared" ca="1" si="152"/>
        <v>1210000</v>
      </c>
      <c r="O688" s="160">
        <f t="shared" ca="1" si="152"/>
        <v>1153689.7329871666</v>
      </c>
    </row>
    <row r="689" spans="1:15" x14ac:dyDescent="0.25">
      <c r="A689" s="55">
        <f t="shared" ca="1" si="148"/>
        <v>240</v>
      </c>
      <c r="B689" s="55">
        <f t="shared" ca="1" si="139"/>
        <v>26.1</v>
      </c>
      <c r="C689" s="55">
        <f t="shared" ca="1" si="140"/>
        <v>26.099487822081084</v>
      </c>
      <c r="D689" s="55" t="str">
        <f t="shared" ca="1" si="141"/>
        <v>26.100 || 1330000.000</v>
      </c>
      <c r="E689" s="120">
        <f t="shared" ca="1" si="149"/>
        <v>4.3979512883243359</v>
      </c>
      <c r="F689" s="56" t="e">
        <f t="shared" ca="1" si="150"/>
        <v>#N/A</v>
      </c>
      <c r="G689" s="56" t="e">
        <f t="shared" ca="1" si="142"/>
        <v>#N/A</v>
      </c>
      <c r="H689" s="116" t="e">
        <f t="shared" ca="1" si="143"/>
        <v>#N/A</v>
      </c>
      <c r="I689" s="57" t="e">
        <f t="shared" ca="1" si="144"/>
        <v>#N/A</v>
      </c>
      <c r="J689" s="131">
        <f t="shared" ca="1" si="151"/>
        <v>996</v>
      </c>
      <c r="K689" s="122" t="str">
        <f t="shared" ca="1" si="145"/>
        <v/>
      </c>
      <c r="L689" s="130" t="str">
        <f t="shared" ca="1" si="146"/>
        <v/>
      </c>
      <c r="M689" s="126">
        <f t="shared" ca="1" si="147"/>
        <v>995</v>
      </c>
      <c r="N689" s="58">
        <f t="shared" ca="1" si="152"/>
        <v>1330000</v>
      </c>
      <c r="O689" s="160">
        <f t="shared" ca="1" si="152"/>
        <v>1268581.8854137873</v>
      </c>
    </row>
    <row r="690" spans="1:15" x14ac:dyDescent="0.25">
      <c r="A690" s="55">
        <f t="shared" ca="1" si="148"/>
        <v>240</v>
      </c>
      <c r="B690" s="55">
        <f t="shared" ca="1" si="139"/>
        <v>26.1</v>
      </c>
      <c r="C690" s="55">
        <f t="shared" ca="1" si="140"/>
        <v>26.099487822081084</v>
      </c>
      <c r="D690" s="55" t="str">
        <f t="shared" ca="1" si="141"/>
        <v>26.100 || 1330000.000</v>
      </c>
      <c r="E690" s="120">
        <f t="shared" ca="1" si="149"/>
        <v>4.3979512883243359</v>
      </c>
      <c r="F690" s="56" t="e">
        <f t="shared" ca="1" si="150"/>
        <v>#N/A</v>
      </c>
      <c r="G690" s="56" t="e">
        <f t="shared" ca="1" si="142"/>
        <v>#N/A</v>
      </c>
      <c r="H690" s="116" t="e">
        <f t="shared" ca="1" si="143"/>
        <v>#N/A</v>
      </c>
      <c r="I690" s="57" t="e">
        <f t="shared" ca="1" si="144"/>
        <v>#N/A</v>
      </c>
      <c r="J690" s="131">
        <f t="shared" ca="1" si="151"/>
        <v>996</v>
      </c>
      <c r="K690" s="122" t="str">
        <f t="shared" ca="1" si="145"/>
        <v/>
      </c>
      <c r="L690" s="130" t="str">
        <f t="shared" ca="1" si="146"/>
        <v/>
      </c>
      <c r="M690" s="126">
        <f t="shared" ca="1" si="147"/>
        <v>995</v>
      </c>
      <c r="N690" s="58">
        <f t="shared" ca="1" si="152"/>
        <v>1330000</v>
      </c>
      <c r="O690" s="160">
        <f t="shared" ca="1" si="152"/>
        <v>1268581.8854137873</v>
      </c>
    </row>
    <row r="691" spans="1:15" x14ac:dyDescent="0.25">
      <c r="A691" s="55">
        <f t="shared" ca="1" si="148"/>
        <v>240</v>
      </c>
      <c r="B691" s="55">
        <f t="shared" ca="1" si="139"/>
        <v>26.1</v>
      </c>
      <c r="C691" s="55">
        <f t="shared" ca="1" si="140"/>
        <v>26.099487822081084</v>
      </c>
      <c r="D691" s="55" t="str">
        <f t="shared" ca="1" si="141"/>
        <v>26.100 || 1330000.000</v>
      </c>
      <c r="E691" s="120">
        <f t="shared" ca="1" si="149"/>
        <v>4.3979512883243359</v>
      </c>
      <c r="F691" s="56" t="e">
        <f t="shared" ca="1" si="150"/>
        <v>#N/A</v>
      </c>
      <c r="G691" s="56" t="e">
        <f t="shared" ca="1" si="142"/>
        <v>#N/A</v>
      </c>
      <c r="H691" s="116" t="e">
        <f t="shared" ca="1" si="143"/>
        <v>#N/A</v>
      </c>
      <c r="I691" s="57" t="e">
        <f t="shared" ca="1" si="144"/>
        <v>#N/A</v>
      </c>
      <c r="J691" s="131">
        <f t="shared" ca="1" si="151"/>
        <v>996</v>
      </c>
      <c r="K691" s="122" t="str">
        <f t="shared" ca="1" si="145"/>
        <v/>
      </c>
      <c r="L691" s="130" t="str">
        <f t="shared" ca="1" si="146"/>
        <v/>
      </c>
      <c r="M691" s="126">
        <f t="shared" ca="1" si="147"/>
        <v>995</v>
      </c>
      <c r="N691" s="58">
        <f t="shared" ca="1" si="152"/>
        <v>1330000</v>
      </c>
      <c r="O691" s="160">
        <f t="shared" ca="1" si="152"/>
        <v>1268581.8854137873</v>
      </c>
    </row>
    <row r="692" spans="1:15" x14ac:dyDescent="0.25">
      <c r="A692" s="55">
        <f t="shared" ca="1" si="148"/>
        <v>240</v>
      </c>
      <c r="B692" s="55">
        <f t="shared" ca="1" si="139"/>
        <v>26.1</v>
      </c>
      <c r="C692" s="55">
        <f t="shared" ca="1" si="140"/>
        <v>26.099487822081084</v>
      </c>
      <c r="D692" s="55" t="str">
        <f t="shared" ca="1" si="141"/>
        <v>26.100 || 1330000.000</v>
      </c>
      <c r="E692" s="120">
        <f t="shared" ca="1" si="149"/>
        <v>4.3979512883243359</v>
      </c>
      <c r="F692" s="56" t="e">
        <f t="shared" ca="1" si="150"/>
        <v>#N/A</v>
      </c>
      <c r="G692" s="56" t="e">
        <f t="shared" ca="1" si="142"/>
        <v>#N/A</v>
      </c>
      <c r="H692" s="116" t="e">
        <f t="shared" ca="1" si="143"/>
        <v>#N/A</v>
      </c>
      <c r="I692" s="57" t="e">
        <f t="shared" ca="1" si="144"/>
        <v>#N/A</v>
      </c>
      <c r="J692" s="131">
        <f t="shared" ca="1" si="151"/>
        <v>996</v>
      </c>
      <c r="K692" s="122" t="str">
        <f t="shared" ca="1" si="145"/>
        <v/>
      </c>
      <c r="L692" s="130" t="str">
        <f t="shared" ca="1" si="146"/>
        <v/>
      </c>
      <c r="M692" s="126">
        <f t="shared" ca="1" si="147"/>
        <v>995</v>
      </c>
      <c r="N692" s="58">
        <f t="shared" ca="1" si="152"/>
        <v>1330000</v>
      </c>
      <c r="O692" s="160">
        <f t="shared" ca="1" si="152"/>
        <v>1268581.8854137873</v>
      </c>
    </row>
    <row r="693" spans="1:15" x14ac:dyDescent="0.25">
      <c r="A693" s="55">
        <f t="shared" ca="1" si="148"/>
        <v>240</v>
      </c>
      <c r="B693" s="55">
        <f t="shared" ca="1" si="139"/>
        <v>26.1</v>
      </c>
      <c r="C693" s="55">
        <f t="shared" ca="1" si="140"/>
        <v>26.09953660006445</v>
      </c>
      <c r="D693" s="55" t="str">
        <f t="shared" ca="1" si="141"/>
        <v>26.100 || 1470000.000</v>
      </c>
      <c r="E693" s="120">
        <f t="shared" ca="1" si="149"/>
        <v>4.3981464002578008</v>
      </c>
      <c r="F693" s="56" t="e">
        <f t="shared" ca="1" si="150"/>
        <v>#N/A</v>
      </c>
      <c r="G693" s="56" t="e">
        <f t="shared" ca="1" si="142"/>
        <v>#N/A</v>
      </c>
      <c r="H693" s="116" t="e">
        <f t="shared" ca="1" si="143"/>
        <v>#N/A</v>
      </c>
      <c r="I693" s="57" t="e">
        <f t="shared" ca="1" si="144"/>
        <v>#N/A</v>
      </c>
      <c r="J693" s="131">
        <f t="shared" ca="1" si="151"/>
        <v>996</v>
      </c>
      <c r="K693" s="122" t="str">
        <f t="shared" ca="1" si="145"/>
        <v/>
      </c>
      <c r="L693" s="130" t="str">
        <f t="shared" ca="1" si="146"/>
        <v/>
      </c>
      <c r="M693" s="126">
        <f t="shared" ca="1" si="147"/>
        <v>995</v>
      </c>
      <c r="N693" s="58">
        <f t="shared" ca="1" si="152"/>
        <v>1470000</v>
      </c>
      <c r="O693" s="160">
        <f t="shared" ca="1" si="152"/>
        <v>1398248.9048806722</v>
      </c>
    </row>
    <row r="694" spans="1:15" x14ac:dyDescent="0.25">
      <c r="A694" s="55">
        <f t="shared" ca="1" si="148"/>
        <v>240</v>
      </c>
      <c r="B694" s="55">
        <f t="shared" ca="1" si="139"/>
        <v>26.1</v>
      </c>
      <c r="C694" s="55">
        <f t="shared" ca="1" si="140"/>
        <v>26.09953660006445</v>
      </c>
      <c r="D694" s="55" t="str">
        <f t="shared" ca="1" si="141"/>
        <v>26.100 || 1470000.000</v>
      </c>
      <c r="E694" s="120">
        <f t="shared" ca="1" si="149"/>
        <v>4.3981464002578008</v>
      </c>
      <c r="F694" s="56" t="e">
        <f t="shared" ca="1" si="150"/>
        <v>#N/A</v>
      </c>
      <c r="G694" s="56" t="e">
        <f t="shared" ca="1" si="142"/>
        <v>#N/A</v>
      </c>
      <c r="H694" s="116" t="e">
        <f t="shared" ca="1" si="143"/>
        <v>#N/A</v>
      </c>
      <c r="I694" s="57" t="e">
        <f t="shared" ca="1" si="144"/>
        <v>#N/A</v>
      </c>
      <c r="J694" s="131">
        <f t="shared" ca="1" si="151"/>
        <v>996</v>
      </c>
      <c r="K694" s="122" t="str">
        <f t="shared" ca="1" si="145"/>
        <v/>
      </c>
      <c r="L694" s="130" t="str">
        <f t="shared" ca="1" si="146"/>
        <v/>
      </c>
      <c r="M694" s="126">
        <f t="shared" ca="1" si="147"/>
        <v>995</v>
      </c>
      <c r="N694" s="58">
        <f t="shared" ca="1" si="152"/>
        <v>1470000</v>
      </c>
      <c r="O694" s="160">
        <f t="shared" ca="1" si="152"/>
        <v>1398248.9048806722</v>
      </c>
    </row>
    <row r="695" spans="1:15" x14ac:dyDescent="0.25">
      <c r="A695" s="55">
        <f t="shared" ca="1" si="148"/>
        <v>240</v>
      </c>
      <c r="B695" s="55">
        <f t="shared" ca="1" si="139"/>
        <v>26.1</v>
      </c>
      <c r="C695" s="55">
        <f t="shared" ca="1" si="140"/>
        <v>26.09953660006445</v>
      </c>
      <c r="D695" s="55" t="str">
        <f t="shared" ca="1" si="141"/>
        <v>26.100 || 1470000.000</v>
      </c>
      <c r="E695" s="120">
        <f t="shared" ca="1" si="149"/>
        <v>4.3981464002578008</v>
      </c>
      <c r="F695" s="56" t="e">
        <f t="shared" ca="1" si="150"/>
        <v>#N/A</v>
      </c>
      <c r="G695" s="56" t="e">
        <f t="shared" ca="1" si="142"/>
        <v>#N/A</v>
      </c>
      <c r="H695" s="116" t="e">
        <f t="shared" ca="1" si="143"/>
        <v>#N/A</v>
      </c>
      <c r="I695" s="57" t="e">
        <f t="shared" ca="1" si="144"/>
        <v>#N/A</v>
      </c>
      <c r="J695" s="131">
        <f t="shared" ca="1" si="151"/>
        <v>996</v>
      </c>
      <c r="K695" s="122" t="str">
        <f t="shared" ca="1" si="145"/>
        <v/>
      </c>
      <c r="L695" s="130" t="str">
        <f t="shared" ca="1" si="146"/>
        <v/>
      </c>
      <c r="M695" s="126">
        <f t="shared" ca="1" si="147"/>
        <v>995</v>
      </c>
      <c r="N695" s="58">
        <f t="shared" ca="1" si="152"/>
        <v>1470000</v>
      </c>
      <c r="O695" s="160">
        <f t="shared" ca="1" si="152"/>
        <v>1398248.9048806722</v>
      </c>
    </row>
    <row r="696" spans="1:15" x14ac:dyDescent="0.25">
      <c r="A696" s="55">
        <f t="shared" ca="1" si="148"/>
        <v>240</v>
      </c>
      <c r="B696" s="55">
        <f t="shared" ca="1" si="139"/>
        <v>26.1</v>
      </c>
      <c r="C696" s="55">
        <f t="shared" ca="1" si="140"/>
        <v>26.09953660006445</v>
      </c>
      <c r="D696" s="55" t="str">
        <f t="shared" ca="1" si="141"/>
        <v>26.100 || 1470000.000</v>
      </c>
      <c r="E696" s="120">
        <f t="shared" ca="1" si="149"/>
        <v>4.3981464002578008</v>
      </c>
      <c r="F696" s="56" t="e">
        <f t="shared" ca="1" si="150"/>
        <v>#N/A</v>
      </c>
      <c r="G696" s="56" t="e">
        <f t="shared" ca="1" si="142"/>
        <v>#N/A</v>
      </c>
      <c r="H696" s="116" t="e">
        <f t="shared" ca="1" si="143"/>
        <v>#N/A</v>
      </c>
      <c r="I696" s="57" t="e">
        <f t="shared" ca="1" si="144"/>
        <v>#N/A</v>
      </c>
      <c r="J696" s="131">
        <f t="shared" ca="1" si="151"/>
        <v>996</v>
      </c>
      <c r="K696" s="122" t="str">
        <f t="shared" ca="1" si="145"/>
        <v/>
      </c>
      <c r="L696" s="130" t="str">
        <f t="shared" ca="1" si="146"/>
        <v/>
      </c>
      <c r="M696" s="126">
        <f t="shared" ca="1" si="147"/>
        <v>995</v>
      </c>
      <c r="N696" s="58">
        <f t="shared" ca="1" si="152"/>
        <v>1470000</v>
      </c>
      <c r="O696" s="160">
        <f t="shared" ca="1" si="152"/>
        <v>1398248.9048806722</v>
      </c>
    </row>
    <row r="697" spans="1:15" x14ac:dyDescent="0.25">
      <c r="A697" s="55">
        <f t="shared" ca="1" si="148"/>
        <v>240</v>
      </c>
      <c r="B697" s="55">
        <f t="shared" ca="1" si="139"/>
        <v>26.1</v>
      </c>
      <c r="C697" s="55">
        <f t="shared" ca="1" si="140"/>
        <v>26.099579506774617</v>
      </c>
      <c r="D697" s="55" t="str">
        <f t="shared" ca="1" si="141"/>
        <v>26.100 || 1620000.000</v>
      </c>
      <c r="E697" s="120">
        <f t="shared" ca="1" si="149"/>
        <v>4.398318027098469</v>
      </c>
      <c r="F697" s="56" t="e">
        <f t="shared" ca="1" si="150"/>
        <v>#N/A</v>
      </c>
      <c r="G697" s="56" t="e">
        <f t="shared" ca="1" si="142"/>
        <v>#N/A</v>
      </c>
      <c r="H697" s="116" t="e">
        <f t="shared" ca="1" si="143"/>
        <v>#N/A</v>
      </c>
      <c r="I697" s="57" t="e">
        <f t="shared" ca="1" si="144"/>
        <v>#N/A</v>
      </c>
      <c r="J697" s="131">
        <f t="shared" ca="1" si="151"/>
        <v>996</v>
      </c>
      <c r="K697" s="122" t="str">
        <f t="shared" ca="1" si="145"/>
        <v/>
      </c>
      <c r="L697" s="130" t="str">
        <f t="shared" ca="1" si="146"/>
        <v/>
      </c>
      <c r="M697" s="126">
        <f t="shared" ca="1" si="147"/>
        <v>995</v>
      </c>
      <c r="N697" s="58">
        <f t="shared" ca="1" si="152"/>
        <v>1620000.0000000002</v>
      </c>
      <c r="O697" s="160">
        <f t="shared" ca="1" si="152"/>
        <v>1543178.5379534019</v>
      </c>
    </row>
    <row r="698" spans="1:15" x14ac:dyDescent="0.25">
      <c r="A698" s="55">
        <f t="shared" ca="1" si="148"/>
        <v>240</v>
      </c>
      <c r="B698" s="55">
        <f t="shared" ca="1" si="139"/>
        <v>26.1</v>
      </c>
      <c r="C698" s="55">
        <f t="shared" ca="1" si="140"/>
        <v>26.099579506774617</v>
      </c>
      <c r="D698" s="55" t="str">
        <f t="shared" ca="1" si="141"/>
        <v>26.100 || 1620000.000</v>
      </c>
      <c r="E698" s="120">
        <f t="shared" ca="1" si="149"/>
        <v>4.398318027098469</v>
      </c>
      <c r="F698" s="56" t="e">
        <f t="shared" ca="1" si="150"/>
        <v>#N/A</v>
      </c>
      <c r="G698" s="56" t="e">
        <f t="shared" ca="1" si="142"/>
        <v>#N/A</v>
      </c>
      <c r="H698" s="116" t="e">
        <f t="shared" ca="1" si="143"/>
        <v>#N/A</v>
      </c>
      <c r="I698" s="57" t="e">
        <f t="shared" ca="1" si="144"/>
        <v>#N/A</v>
      </c>
      <c r="J698" s="131">
        <f t="shared" ca="1" si="151"/>
        <v>996</v>
      </c>
      <c r="K698" s="122" t="str">
        <f t="shared" ca="1" si="145"/>
        <v/>
      </c>
      <c r="L698" s="130" t="str">
        <f t="shared" ca="1" si="146"/>
        <v/>
      </c>
      <c r="M698" s="126">
        <f t="shared" ca="1" si="147"/>
        <v>995</v>
      </c>
      <c r="N698" s="58">
        <f t="shared" ca="1" si="152"/>
        <v>1620000.0000000002</v>
      </c>
      <c r="O698" s="160">
        <f t="shared" ca="1" si="152"/>
        <v>1543178.5379534019</v>
      </c>
    </row>
    <row r="699" spans="1:15" x14ac:dyDescent="0.25">
      <c r="A699" s="55">
        <f t="shared" ca="1" si="148"/>
        <v>240</v>
      </c>
      <c r="B699" s="55">
        <f t="shared" ca="1" si="139"/>
        <v>26.1</v>
      </c>
      <c r="C699" s="55">
        <f t="shared" ca="1" si="140"/>
        <v>26.099579506774617</v>
      </c>
      <c r="D699" s="55" t="str">
        <f t="shared" ca="1" si="141"/>
        <v>26.100 || 1620000.000</v>
      </c>
      <c r="E699" s="120">
        <f t="shared" ca="1" si="149"/>
        <v>4.398318027098469</v>
      </c>
      <c r="F699" s="56" t="e">
        <f t="shared" ca="1" si="150"/>
        <v>#N/A</v>
      </c>
      <c r="G699" s="56" t="e">
        <f t="shared" ca="1" si="142"/>
        <v>#N/A</v>
      </c>
      <c r="H699" s="116" t="e">
        <f t="shared" ca="1" si="143"/>
        <v>#N/A</v>
      </c>
      <c r="I699" s="57" t="e">
        <f t="shared" ca="1" si="144"/>
        <v>#N/A</v>
      </c>
      <c r="J699" s="131">
        <f t="shared" ca="1" si="151"/>
        <v>996</v>
      </c>
      <c r="K699" s="122" t="str">
        <f t="shared" ca="1" si="145"/>
        <v/>
      </c>
      <c r="L699" s="130" t="str">
        <f t="shared" ca="1" si="146"/>
        <v/>
      </c>
      <c r="M699" s="126">
        <f t="shared" ca="1" si="147"/>
        <v>995</v>
      </c>
      <c r="N699" s="58">
        <f t="shared" ca="1" si="152"/>
        <v>1620000.0000000002</v>
      </c>
      <c r="O699" s="160">
        <f t="shared" ca="1" si="152"/>
        <v>1543178.5379534019</v>
      </c>
    </row>
    <row r="700" spans="1:15" x14ac:dyDescent="0.25">
      <c r="A700" s="55">
        <f t="shared" ca="1" si="148"/>
        <v>240</v>
      </c>
      <c r="B700" s="55">
        <f t="shared" ca="1" si="139"/>
        <v>26.1</v>
      </c>
      <c r="C700" s="55">
        <f t="shared" ca="1" si="140"/>
        <v>26.099579506774617</v>
      </c>
      <c r="D700" s="55" t="str">
        <f t="shared" ca="1" si="141"/>
        <v>26.100 || 1620000.000</v>
      </c>
      <c r="E700" s="120">
        <f t="shared" ca="1" si="149"/>
        <v>4.398318027098469</v>
      </c>
      <c r="F700" s="56" t="e">
        <f t="shared" ca="1" si="150"/>
        <v>#N/A</v>
      </c>
      <c r="G700" s="56" t="e">
        <f t="shared" ca="1" si="142"/>
        <v>#N/A</v>
      </c>
      <c r="H700" s="116" t="e">
        <f t="shared" ca="1" si="143"/>
        <v>#N/A</v>
      </c>
      <c r="I700" s="57" t="e">
        <f t="shared" ca="1" si="144"/>
        <v>#N/A</v>
      </c>
      <c r="J700" s="131">
        <f t="shared" ca="1" si="151"/>
        <v>996</v>
      </c>
      <c r="K700" s="122" t="str">
        <f t="shared" ca="1" si="145"/>
        <v/>
      </c>
      <c r="L700" s="130" t="str">
        <f t="shared" ca="1" si="146"/>
        <v/>
      </c>
      <c r="M700" s="126">
        <f t="shared" ca="1" si="147"/>
        <v>995</v>
      </c>
      <c r="N700" s="58">
        <f t="shared" ca="1" si="152"/>
        <v>1620000.0000000002</v>
      </c>
      <c r="O700" s="160">
        <f t="shared" ca="1" si="152"/>
        <v>1543178.5379534019</v>
      </c>
    </row>
    <row r="701" spans="1:15" x14ac:dyDescent="0.25">
      <c r="A701" s="55">
        <f t="shared" ca="1" si="148"/>
        <v>240</v>
      </c>
      <c r="B701" s="55">
        <f t="shared" ca="1" si="139"/>
        <v>26.1</v>
      </c>
      <c r="C701" s="55">
        <f t="shared" ca="1" si="140"/>
        <v>26.099617303364258</v>
      </c>
      <c r="D701" s="55" t="str">
        <f t="shared" ca="1" si="141"/>
        <v>26.100 || 1780000.000</v>
      </c>
      <c r="E701" s="120">
        <f t="shared" ca="1" si="149"/>
        <v>4.3984692134570338</v>
      </c>
      <c r="F701" s="56" t="e">
        <f t="shared" ca="1" si="150"/>
        <v>#N/A</v>
      </c>
      <c r="G701" s="56" t="e">
        <f t="shared" ca="1" si="142"/>
        <v>#N/A</v>
      </c>
      <c r="H701" s="116" t="e">
        <f t="shared" ca="1" si="143"/>
        <v>#N/A</v>
      </c>
      <c r="I701" s="57" t="e">
        <f t="shared" ca="1" si="144"/>
        <v>#N/A</v>
      </c>
      <c r="J701" s="131">
        <f t="shared" ca="1" si="151"/>
        <v>996</v>
      </c>
      <c r="K701" s="122" t="str">
        <f t="shared" ca="1" si="145"/>
        <v/>
      </c>
      <c r="L701" s="130" t="str">
        <f t="shared" ca="1" si="146"/>
        <v/>
      </c>
      <c r="M701" s="126">
        <f t="shared" ca="1" si="147"/>
        <v>995</v>
      </c>
      <c r="N701" s="58">
        <f t="shared" ca="1" si="152"/>
        <v>1779999.9999999998</v>
      </c>
      <c r="O701" s="160">
        <f t="shared" ca="1" si="152"/>
        <v>1698116.6037701885</v>
      </c>
    </row>
    <row r="702" spans="1:15" x14ac:dyDescent="0.25">
      <c r="A702" s="55">
        <f t="shared" ca="1" si="148"/>
        <v>240</v>
      </c>
      <c r="B702" s="55">
        <f t="shared" ca="1" si="139"/>
        <v>26.1</v>
      </c>
      <c r="C702" s="55">
        <f t="shared" ca="1" si="140"/>
        <v>26.099617303364258</v>
      </c>
      <c r="D702" s="55" t="str">
        <f t="shared" ca="1" si="141"/>
        <v>26.100 || 1780000.000</v>
      </c>
      <c r="E702" s="120">
        <f t="shared" ca="1" si="149"/>
        <v>4.3984692134570338</v>
      </c>
      <c r="F702" s="56" t="e">
        <f t="shared" ca="1" si="150"/>
        <v>#N/A</v>
      </c>
      <c r="G702" s="56" t="e">
        <f t="shared" ca="1" si="142"/>
        <v>#N/A</v>
      </c>
      <c r="H702" s="116" t="e">
        <f t="shared" ca="1" si="143"/>
        <v>#N/A</v>
      </c>
      <c r="I702" s="57" t="e">
        <f t="shared" ca="1" si="144"/>
        <v>#N/A</v>
      </c>
      <c r="J702" s="131">
        <f t="shared" ca="1" si="151"/>
        <v>996</v>
      </c>
      <c r="K702" s="122" t="str">
        <f t="shared" ca="1" si="145"/>
        <v/>
      </c>
      <c r="L702" s="130" t="str">
        <f t="shared" ca="1" si="146"/>
        <v/>
      </c>
      <c r="M702" s="126">
        <f t="shared" ca="1" si="147"/>
        <v>995</v>
      </c>
      <c r="N702" s="58">
        <f t="shared" ca="1" si="152"/>
        <v>1779999.9999999998</v>
      </c>
      <c r="O702" s="160">
        <f t="shared" ca="1" si="152"/>
        <v>1698116.6037701885</v>
      </c>
    </row>
    <row r="703" spans="1:15" x14ac:dyDescent="0.25">
      <c r="A703" s="55">
        <f t="shared" ca="1" si="148"/>
        <v>240</v>
      </c>
      <c r="B703" s="55">
        <f t="shared" ca="1" si="139"/>
        <v>26.1</v>
      </c>
      <c r="C703" s="55">
        <f t="shared" ca="1" si="140"/>
        <v>26.099617303364258</v>
      </c>
      <c r="D703" s="55" t="str">
        <f t="shared" ca="1" si="141"/>
        <v>26.100 || 1780000.000</v>
      </c>
      <c r="E703" s="120">
        <f t="shared" ca="1" si="149"/>
        <v>4.3984692134570338</v>
      </c>
      <c r="F703" s="56" t="e">
        <f t="shared" ca="1" si="150"/>
        <v>#N/A</v>
      </c>
      <c r="G703" s="56" t="e">
        <f t="shared" ca="1" si="142"/>
        <v>#N/A</v>
      </c>
      <c r="H703" s="116" t="e">
        <f t="shared" ca="1" si="143"/>
        <v>#N/A</v>
      </c>
      <c r="I703" s="57" t="e">
        <f t="shared" ca="1" si="144"/>
        <v>#N/A</v>
      </c>
      <c r="J703" s="131">
        <f t="shared" ca="1" si="151"/>
        <v>996</v>
      </c>
      <c r="K703" s="122" t="str">
        <f t="shared" ca="1" si="145"/>
        <v/>
      </c>
      <c r="L703" s="130" t="str">
        <f t="shared" ca="1" si="146"/>
        <v/>
      </c>
      <c r="M703" s="126">
        <f t="shared" ca="1" si="147"/>
        <v>995</v>
      </c>
      <c r="N703" s="58">
        <f t="shared" ca="1" si="152"/>
        <v>1779999.9999999998</v>
      </c>
      <c r="O703" s="160">
        <f t="shared" ca="1" si="152"/>
        <v>1698116.6037701885</v>
      </c>
    </row>
    <row r="704" spans="1:15" x14ac:dyDescent="0.25">
      <c r="A704" s="55">
        <f t="shared" ca="1" si="148"/>
        <v>240</v>
      </c>
      <c r="B704" s="55">
        <f t="shared" ca="1" si="139"/>
        <v>26.1</v>
      </c>
      <c r="C704" s="55">
        <f t="shared" ca="1" si="140"/>
        <v>26.099617303364258</v>
      </c>
      <c r="D704" s="55" t="str">
        <f t="shared" ca="1" si="141"/>
        <v>26.100 || 1780000.000</v>
      </c>
      <c r="E704" s="120">
        <f t="shared" ca="1" si="149"/>
        <v>4.3984692134570338</v>
      </c>
      <c r="F704" s="56" t="e">
        <f t="shared" ca="1" si="150"/>
        <v>#N/A</v>
      </c>
      <c r="G704" s="56" t="e">
        <f t="shared" ca="1" si="142"/>
        <v>#N/A</v>
      </c>
      <c r="H704" s="116" t="e">
        <f t="shared" ca="1" si="143"/>
        <v>#N/A</v>
      </c>
      <c r="I704" s="57" t="e">
        <f t="shared" ca="1" si="144"/>
        <v>#N/A</v>
      </c>
      <c r="J704" s="131">
        <f t="shared" ca="1" si="151"/>
        <v>996</v>
      </c>
      <c r="K704" s="122" t="str">
        <f t="shared" ca="1" si="145"/>
        <v/>
      </c>
      <c r="L704" s="130" t="str">
        <f t="shared" ca="1" si="146"/>
        <v/>
      </c>
      <c r="M704" s="126">
        <f t="shared" ca="1" si="147"/>
        <v>995</v>
      </c>
      <c r="N704" s="58">
        <f t="shared" ca="1" si="152"/>
        <v>1779999.9999999998</v>
      </c>
      <c r="O704" s="160">
        <f t="shared" ca="1" si="152"/>
        <v>1698116.6037701885</v>
      </c>
    </row>
    <row r="705" spans="1:15" x14ac:dyDescent="0.25">
      <c r="A705" s="55">
        <f t="shared" ca="1" si="148"/>
        <v>240</v>
      </c>
      <c r="B705" s="55">
        <f t="shared" ca="1" si="139"/>
        <v>26.1</v>
      </c>
      <c r="C705" s="55">
        <f t="shared" ca="1" si="140"/>
        <v>26.099652448505662</v>
      </c>
      <c r="D705" s="55" t="str">
        <f t="shared" ca="1" si="141"/>
        <v>26.100 || 1960000.000</v>
      </c>
      <c r="E705" s="120">
        <f t="shared" ca="1" si="149"/>
        <v>4.3986097940226472</v>
      </c>
      <c r="F705" s="56" t="e">
        <f t="shared" ca="1" si="150"/>
        <v>#N/A</v>
      </c>
      <c r="G705" s="56" t="e">
        <f t="shared" ca="1" si="142"/>
        <v>#N/A</v>
      </c>
      <c r="H705" s="116" t="e">
        <f t="shared" ca="1" si="143"/>
        <v>#N/A</v>
      </c>
      <c r="I705" s="57" t="e">
        <f t="shared" ca="1" si="144"/>
        <v>#N/A</v>
      </c>
      <c r="J705" s="131">
        <f t="shared" ca="1" si="151"/>
        <v>996</v>
      </c>
      <c r="K705" s="122" t="str">
        <f t="shared" ca="1" si="145"/>
        <v/>
      </c>
      <c r="L705" s="130" t="str">
        <f t="shared" ca="1" si="146"/>
        <v/>
      </c>
      <c r="M705" s="126">
        <f t="shared" ca="1" si="147"/>
        <v>995</v>
      </c>
      <c r="N705" s="58">
        <f t="shared" ca="1" si="152"/>
        <v>1960000</v>
      </c>
      <c r="O705" s="160">
        <f t="shared" ca="1" si="152"/>
        <v>1867832.9689776872</v>
      </c>
    </row>
    <row r="706" spans="1:15" x14ac:dyDescent="0.25">
      <c r="A706" s="55">
        <f t="shared" ca="1" si="148"/>
        <v>240</v>
      </c>
      <c r="B706" s="55">
        <f t="shared" ca="1" si="139"/>
        <v>26.1</v>
      </c>
      <c r="C706" s="55">
        <f t="shared" ca="1" si="140"/>
        <v>26.099652448505662</v>
      </c>
      <c r="D706" s="55" t="str">
        <f t="shared" ca="1" si="141"/>
        <v>26.100 || 1960000.000</v>
      </c>
      <c r="E706" s="120">
        <f t="shared" ca="1" si="149"/>
        <v>4.3986097940226472</v>
      </c>
      <c r="F706" s="56" t="e">
        <f t="shared" ca="1" si="150"/>
        <v>#N/A</v>
      </c>
      <c r="G706" s="56" t="e">
        <f t="shared" ca="1" si="142"/>
        <v>#N/A</v>
      </c>
      <c r="H706" s="116" t="e">
        <f t="shared" ca="1" si="143"/>
        <v>#N/A</v>
      </c>
      <c r="I706" s="57" t="e">
        <f t="shared" ca="1" si="144"/>
        <v>#N/A</v>
      </c>
      <c r="J706" s="131">
        <f t="shared" ca="1" si="151"/>
        <v>996</v>
      </c>
      <c r="K706" s="122" t="str">
        <f t="shared" ca="1" si="145"/>
        <v/>
      </c>
      <c r="L706" s="130" t="str">
        <f t="shared" ca="1" si="146"/>
        <v/>
      </c>
      <c r="M706" s="126">
        <f t="shared" ca="1" si="147"/>
        <v>995</v>
      </c>
      <c r="N706" s="58">
        <f t="shared" ca="1" si="152"/>
        <v>1960000</v>
      </c>
      <c r="O706" s="160">
        <f t="shared" ca="1" si="152"/>
        <v>1867832.9689776872</v>
      </c>
    </row>
    <row r="707" spans="1:15" x14ac:dyDescent="0.25">
      <c r="A707" s="55">
        <f t="shared" ca="1" si="148"/>
        <v>240</v>
      </c>
      <c r="B707" s="55">
        <f t="shared" ca="1" si="139"/>
        <v>26.1</v>
      </c>
      <c r="C707" s="55">
        <f t="shared" ca="1" si="140"/>
        <v>26.099652448505662</v>
      </c>
      <c r="D707" s="55" t="str">
        <f t="shared" ca="1" si="141"/>
        <v>26.100 || 1960000.000</v>
      </c>
      <c r="E707" s="120">
        <f t="shared" ca="1" si="149"/>
        <v>4.3986097940226472</v>
      </c>
      <c r="F707" s="56" t="e">
        <f t="shared" ca="1" si="150"/>
        <v>#N/A</v>
      </c>
      <c r="G707" s="56" t="e">
        <f t="shared" ca="1" si="142"/>
        <v>#N/A</v>
      </c>
      <c r="H707" s="116" t="e">
        <f t="shared" ca="1" si="143"/>
        <v>#N/A</v>
      </c>
      <c r="I707" s="57" t="e">
        <f t="shared" ca="1" si="144"/>
        <v>#N/A</v>
      </c>
      <c r="J707" s="131">
        <f t="shared" ca="1" si="151"/>
        <v>996</v>
      </c>
      <c r="K707" s="122" t="str">
        <f t="shared" ca="1" si="145"/>
        <v/>
      </c>
      <c r="L707" s="130" t="str">
        <f t="shared" ca="1" si="146"/>
        <v/>
      </c>
      <c r="M707" s="126">
        <f t="shared" ca="1" si="147"/>
        <v>995</v>
      </c>
      <c r="N707" s="58">
        <f t="shared" ca="1" si="152"/>
        <v>1960000</v>
      </c>
      <c r="O707" s="160">
        <f t="shared" ca="1" si="152"/>
        <v>1867832.9689776872</v>
      </c>
    </row>
    <row r="708" spans="1:15" x14ac:dyDescent="0.25">
      <c r="A708" s="55">
        <f t="shared" ca="1" si="148"/>
        <v>240</v>
      </c>
      <c r="B708" s="55">
        <f t="shared" ca="1" si="139"/>
        <v>26.1</v>
      </c>
      <c r="C708" s="55">
        <f t="shared" ca="1" si="140"/>
        <v>26.099652448505662</v>
      </c>
      <c r="D708" s="55" t="str">
        <f t="shared" ca="1" si="141"/>
        <v>26.100 || 1960000.000</v>
      </c>
      <c r="E708" s="120">
        <f t="shared" ca="1" si="149"/>
        <v>4.3986097940226472</v>
      </c>
      <c r="F708" s="56" t="e">
        <f t="shared" ca="1" si="150"/>
        <v>#N/A</v>
      </c>
      <c r="G708" s="56" t="e">
        <f t="shared" ca="1" si="142"/>
        <v>#N/A</v>
      </c>
      <c r="H708" s="116" t="e">
        <f t="shared" ca="1" si="143"/>
        <v>#N/A</v>
      </c>
      <c r="I708" s="57" t="e">
        <f t="shared" ca="1" si="144"/>
        <v>#N/A</v>
      </c>
      <c r="J708" s="131">
        <f t="shared" ca="1" si="151"/>
        <v>996</v>
      </c>
      <c r="K708" s="122" t="str">
        <f t="shared" ca="1" si="145"/>
        <v/>
      </c>
      <c r="L708" s="130" t="str">
        <f t="shared" ca="1" si="146"/>
        <v/>
      </c>
      <c r="M708" s="126">
        <f t="shared" ca="1" si="147"/>
        <v>995</v>
      </c>
      <c r="N708" s="58">
        <f t="shared" ca="1" si="152"/>
        <v>1960000</v>
      </c>
      <c r="O708" s="160">
        <f t="shared" ca="1" si="152"/>
        <v>1867832.9689776872</v>
      </c>
    </row>
    <row r="709" spans="1:15" x14ac:dyDescent="0.25">
      <c r="A709" s="55">
        <f t="shared" ca="1" si="148"/>
        <v>240</v>
      </c>
      <c r="B709" s="55">
        <f t="shared" ca="1" si="139"/>
        <v>26.1</v>
      </c>
      <c r="C709" s="55">
        <f t="shared" ca="1" si="140"/>
        <v>26.099683161985805</v>
      </c>
      <c r="D709" s="55" t="str">
        <f t="shared" ca="1" si="141"/>
        <v>26.100 || 2150000.000</v>
      </c>
      <c r="E709" s="120">
        <f t="shared" ca="1" si="149"/>
        <v>4.3987326479432198</v>
      </c>
      <c r="F709" s="56" t="e">
        <f t="shared" ca="1" si="150"/>
        <v>#N/A</v>
      </c>
      <c r="G709" s="56" t="e">
        <f t="shared" ca="1" si="142"/>
        <v>#N/A</v>
      </c>
      <c r="H709" s="116" t="e">
        <f t="shared" ca="1" si="143"/>
        <v>#N/A</v>
      </c>
      <c r="I709" s="57" t="e">
        <f t="shared" ca="1" si="144"/>
        <v>#N/A</v>
      </c>
      <c r="J709" s="131">
        <f t="shared" ca="1" si="151"/>
        <v>996</v>
      </c>
      <c r="K709" s="122" t="str">
        <f t="shared" ca="1" si="145"/>
        <v/>
      </c>
      <c r="L709" s="130" t="str">
        <f t="shared" ca="1" si="146"/>
        <v/>
      </c>
      <c r="M709" s="126">
        <f t="shared" ca="1" si="147"/>
        <v>995</v>
      </c>
      <c r="N709" s="58">
        <f t="shared" ca="1" si="152"/>
        <v>2150000</v>
      </c>
      <c r="O709" s="160">
        <f t="shared" ca="1" si="152"/>
        <v>2052802.9618061259</v>
      </c>
    </row>
    <row r="710" spans="1:15" x14ac:dyDescent="0.25">
      <c r="A710" s="55">
        <f t="shared" ca="1" si="148"/>
        <v>240</v>
      </c>
      <c r="B710" s="55">
        <f t="shared" ref="B710:B773" ca="1" si="153">INDEX($N$1:$N$774,A710)</f>
        <v>26.1</v>
      </c>
      <c r="C710" s="55">
        <f t="shared" ref="C710:C773" ca="1" si="154">1/(1/B710+1/N710)</f>
        <v>26.099683161985805</v>
      </c>
      <c r="D710" s="55" t="str">
        <f t="shared" ref="D710:D774" ca="1" si="155">CONCATENATE(TEXT(MIN(B710,N710),"#0.000#")," || ",TEXT(MAX(B710,N710),"#0.000#"))</f>
        <v>26.100 || 2150000.000</v>
      </c>
      <c r="E710" s="120">
        <f t="shared" ca="1" si="149"/>
        <v>4.3987326479432198</v>
      </c>
      <c r="F710" s="56" t="e">
        <f t="shared" ca="1" si="150"/>
        <v>#N/A</v>
      </c>
      <c r="G710" s="56" t="e">
        <f t="shared" ref="G710:G773" ca="1" si="156">INDEX($N$1:$N$774,F710)</f>
        <v>#N/A</v>
      </c>
      <c r="H710" s="116" t="e">
        <f t="shared" ref="H710:H773" ca="1" si="157">G710+N710</f>
        <v>#N/A</v>
      </c>
      <c r="I710" s="57" t="e">
        <f t="shared" ref="I710:I774" ca="1" si="158">CONCATENATE(TEXT(MIN(G710,N710),"#0.000#")," + ",TEXT(MAX(G710,N710),"#0.000#"))</f>
        <v>#N/A</v>
      </c>
      <c r="J710" s="131">
        <f t="shared" ca="1" si="151"/>
        <v>996</v>
      </c>
      <c r="K710" s="122" t="str">
        <f t="shared" ref="K710:K773" ca="1" si="159">IF(E710&lt;$C$4,D710,IF(J710&lt;$C$4,I710,""))</f>
        <v/>
      </c>
      <c r="L710" s="130" t="str">
        <f t="shared" ref="L710:L774" ca="1" si="160">IF(E710&lt;$C$4,C710,IF(J710&lt;$C$4,H710,""))</f>
        <v/>
      </c>
      <c r="M710" s="126">
        <f t="shared" ref="M710:M774" ca="1" si="161">IF(E710&lt;=$C$4,E710,IF(J710&lt;=$C$4,J710,995))</f>
        <v>995</v>
      </c>
      <c r="N710" s="58">
        <f t="shared" ca="1" si="152"/>
        <v>2150000</v>
      </c>
      <c r="O710" s="160">
        <f t="shared" ca="1" si="152"/>
        <v>2052802.9618061259</v>
      </c>
    </row>
    <row r="711" spans="1:15" x14ac:dyDescent="0.25">
      <c r="A711" s="55">
        <f t="shared" ref="A711:A774" ca="1" si="162">MATCH(1/($A$5-(1/N711)),$O$1:$O$775,1)</f>
        <v>240</v>
      </c>
      <c r="B711" s="55">
        <f t="shared" ca="1" si="153"/>
        <v>26.1</v>
      </c>
      <c r="C711" s="55">
        <f t="shared" ca="1" si="154"/>
        <v>26.099683161985805</v>
      </c>
      <c r="D711" s="55" t="str">
        <f t="shared" ca="1" si="155"/>
        <v>26.100 || 2150000.000</v>
      </c>
      <c r="E711" s="120">
        <f t="shared" ref="E711:E774" ca="1" si="163">IFERROR(IF(OR(B711=0,AND(B711&lt;&gt;$A$4,N711&lt;&gt;$A$4)),ABS($A$4-C711)/$E$5,999),998)</f>
        <v>4.3987326479432198</v>
      </c>
      <c r="F711" s="56" t="e">
        <f t="shared" ref="F711:F774" ca="1" si="164">MATCH($A$4-N711,$O$1:$O$774,1)</f>
        <v>#N/A</v>
      </c>
      <c r="G711" s="56" t="e">
        <f t="shared" ca="1" si="156"/>
        <v>#N/A</v>
      </c>
      <c r="H711" s="116" t="e">
        <f t="shared" ca="1" si="157"/>
        <v>#N/A</v>
      </c>
      <c r="I711" s="57" t="e">
        <f t="shared" ca="1" si="158"/>
        <v>#N/A</v>
      </c>
      <c r="J711" s="131">
        <f t="shared" ref="J711:J774" ca="1" si="165">IFERROR(IF(OR(G711=0,AND(G711&lt;&gt;$A$4,N711&lt;&gt;$A$4)),ABS($A$4-H711)/$E$5,997),996)</f>
        <v>996</v>
      </c>
      <c r="K711" s="122" t="str">
        <f t="shared" ca="1" si="159"/>
        <v/>
      </c>
      <c r="L711" s="130" t="str">
        <f t="shared" ca="1" si="160"/>
        <v/>
      </c>
      <c r="M711" s="126">
        <f t="shared" ca="1" si="161"/>
        <v>995</v>
      </c>
      <c r="N711" s="58">
        <f t="shared" ca="1" si="152"/>
        <v>2150000</v>
      </c>
      <c r="O711" s="160">
        <f t="shared" ca="1" si="152"/>
        <v>2052802.9618061259</v>
      </c>
    </row>
    <row r="712" spans="1:15" x14ac:dyDescent="0.25">
      <c r="A712" s="55">
        <f t="shared" ca="1" si="162"/>
        <v>240</v>
      </c>
      <c r="B712" s="55">
        <f t="shared" ca="1" si="153"/>
        <v>26.1</v>
      </c>
      <c r="C712" s="55">
        <f t="shared" ca="1" si="154"/>
        <v>26.099683161985805</v>
      </c>
      <c r="D712" s="55" t="str">
        <f t="shared" ca="1" si="155"/>
        <v>26.100 || 2150000.000</v>
      </c>
      <c r="E712" s="120">
        <f t="shared" ca="1" si="163"/>
        <v>4.3987326479432198</v>
      </c>
      <c r="F712" s="56" t="e">
        <f t="shared" ca="1" si="164"/>
        <v>#N/A</v>
      </c>
      <c r="G712" s="56" t="e">
        <f t="shared" ca="1" si="156"/>
        <v>#N/A</v>
      </c>
      <c r="H712" s="116" t="e">
        <f t="shared" ca="1" si="157"/>
        <v>#N/A</v>
      </c>
      <c r="I712" s="57" t="e">
        <f t="shared" ca="1" si="158"/>
        <v>#N/A</v>
      </c>
      <c r="J712" s="131">
        <f t="shared" ca="1" si="165"/>
        <v>996</v>
      </c>
      <c r="K712" s="122" t="str">
        <f t="shared" ca="1" si="159"/>
        <v/>
      </c>
      <c r="L712" s="130" t="str">
        <f t="shared" ca="1" si="160"/>
        <v/>
      </c>
      <c r="M712" s="126">
        <f t="shared" ca="1" si="161"/>
        <v>995</v>
      </c>
      <c r="N712" s="58">
        <f t="shared" ca="1" si="152"/>
        <v>2150000</v>
      </c>
      <c r="O712" s="160">
        <f t="shared" ca="1" si="152"/>
        <v>2052802.9618061259</v>
      </c>
    </row>
    <row r="713" spans="1:15" x14ac:dyDescent="0.25">
      <c r="A713" s="55">
        <f t="shared" ca="1" si="162"/>
        <v>240</v>
      </c>
      <c r="B713" s="55">
        <f t="shared" ca="1" si="153"/>
        <v>26.1</v>
      </c>
      <c r="C713" s="55">
        <f t="shared" ca="1" si="154"/>
        <v>26.099712572785592</v>
      </c>
      <c r="D713" s="55" t="str">
        <f t="shared" ca="1" si="155"/>
        <v>26.100 || 2370000.000</v>
      </c>
      <c r="E713" s="120">
        <f t="shared" ca="1" si="163"/>
        <v>4.3988502911423666</v>
      </c>
      <c r="F713" s="56" t="e">
        <f t="shared" ca="1" si="164"/>
        <v>#N/A</v>
      </c>
      <c r="G713" s="56" t="e">
        <f t="shared" ca="1" si="156"/>
        <v>#N/A</v>
      </c>
      <c r="H713" s="116" t="e">
        <f t="shared" ca="1" si="157"/>
        <v>#N/A</v>
      </c>
      <c r="I713" s="57" t="e">
        <f t="shared" ca="1" si="158"/>
        <v>#N/A</v>
      </c>
      <c r="J713" s="131">
        <f t="shared" ca="1" si="165"/>
        <v>996</v>
      </c>
      <c r="K713" s="122" t="str">
        <f t="shared" ca="1" si="159"/>
        <v/>
      </c>
      <c r="L713" s="130" t="str">
        <f t="shared" ca="1" si="160"/>
        <v/>
      </c>
      <c r="M713" s="126">
        <f t="shared" ca="1" si="161"/>
        <v>995</v>
      </c>
      <c r="N713" s="58">
        <f t="shared" ca="1" si="152"/>
        <v>2370000.0000000005</v>
      </c>
      <c r="O713" s="160">
        <f t="shared" ca="1" si="152"/>
        <v>2257321.4215082442</v>
      </c>
    </row>
    <row r="714" spans="1:15" x14ac:dyDescent="0.25">
      <c r="A714" s="55">
        <f t="shared" ca="1" si="162"/>
        <v>240</v>
      </c>
      <c r="B714" s="55">
        <f t="shared" ca="1" si="153"/>
        <v>26.1</v>
      </c>
      <c r="C714" s="55">
        <f t="shared" ca="1" si="154"/>
        <v>26.099712572785592</v>
      </c>
      <c r="D714" s="55" t="str">
        <f t="shared" ca="1" si="155"/>
        <v>26.100 || 2370000.000</v>
      </c>
      <c r="E714" s="120">
        <f t="shared" ca="1" si="163"/>
        <v>4.3988502911423666</v>
      </c>
      <c r="F714" s="56" t="e">
        <f t="shared" ca="1" si="164"/>
        <v>#N/A</v>
      </c>
      <c r="G714" s="56" t="e">
        <f t="shared" ca="1" si="156"/>
        <v>#N/A</v>
      </c>
      <c r="H714" s="116" t="e">
        <f t="shared" ca="1" si="157"/>
        <v>#N/A</v>
      </c>
      <c r="I714" s="57" t="e">
        <f t="shared" ca="1" si="158"/>
        <v>#N/A</v>
      </c>
      <c r="J714" s="131">
        <f t="shared" ca="1" si="165"/>
        <v>996</v>
      </c>
      <c r="K714" s="122" t="str">
        <f t="shared" ca="1" si="159"/>
        <v/>
      </c>
      <c r="L714" s="130" t="str">
        <f t="shared" ca="1" si="160"/>
        <v/>
      </c>
      <c r="M714" s="126">
        <f t="shared" ca="1" si="161"/>
        <v>995</v>
      </c>
      <c r="N714" s="58">
        <f t="shared" ca="1" si="152"/>
        <v>2370000.0000000005</v>
      </c>
      <c r="O714" s="160">
        <f t="shared" ca="1" si="152"/>
        <v>2257321.4215082442</v>
      </c>
    </row>
    <row r="715" spans="1:15" x14ac:dyDescent="0.25">
      <c r="A715" s="55">
        <f t="shared" ca="1" si="162"/>
        <v>240</v>
      </c>
      <c r="B715" s="55">
        <f t="shared" ca="1" si="153"/>
        <v>26.1</v>
      </c>
      <c r="C715" s="55">
        <f t="shared" ca="1" si="154"/>
        <v>26.099712572785592</v>
      </c>
      <c r="D715" s="55" t="str">
        <f t="shared" ca="1" si="155"/>
        <v>26.100 || 2370000.000</v>
      </c>
      <c r="E715" s="120">
        <f t="shared" ca="1" si="163"/>
        <v>4.3988502911423666</v>
      </c>
      <c r="F715" s="56" t="e">
        <f t="shared" ca="1" si="164"/>
        <v>#N/A</v>
      </c>
      <c r="G715" s="56" t="e">
        <f t="shared" ca="1" si="156"/>
        <v>#N/A</v>
      </c>
      <c r="H715" s="116" t="e">
        <f t="shared" ca="1" si="157"/>
        <v>#N/A</v>
      </c>
      <c r="I715" s="57" t="e">
        <f t="shared" ca="1" si="158"/>
        <v>#N/A</v>
      </c>
      <c r="J715" s="131">
        <f t="shared" ca="1" si="165"/>
        <v>996</v>
      </c>
      <c r="K715" s="122" t="str">
        <f t="shared" ca="1" si="159"/>
        <v/>
      </c>
      <c r="L715" s="130" t="str">
        <f t="shared" ca="1" si="160"/>
        <v/>
      </c>
      <c r="M715" s="126">
        <f t="shared" ca="1" si="161"/>
        <v>995</v>
      </c>
      <c r="N715" s="58">
        <f t="shared" ca="1" si="152"/>
        <v>2370000.0000000005</v>
      </c>
      <c r="O715" s="160">
        <f t="shared" ca="1" si="152"/>
        <v>2257321.4215082442</v>
      </c>
    </row>
    <row r="716" spans="1:15" x14ac:dyDescent="0.25">
      <c r="A716" s="55">
        <f t="shared" ca="1" si="162"/>
        <v>240</v>
      </c>
      <c r="B716" s="55">
        <f t="shared" ca="1" si="153"/>
        <v>26.1</v>
      </c>
      <c r="C716" s="55">
        <f t="shared" ca="1" si="154"/>
        <v>26.099712572785592</v>
      </c>
      <c r="D716" s="55" t="str">
        <f t="shared" ca="1" si="155"/>
        <v>26.100 || 2370000.000</v>
      </c>
      <c r="E716" s="120">
        <f t="shared" ca="1" si="163"/>
        <v>4.3988502911423666</v>
      </c>
      <c r="F716" s="56" t="e">
        <f t="shared" ca="1" si="164"/>
        <v>#N/A</v>
      </c>
      <c r="G716" s="56" t="e">
        <f t="shared" ca="1" si="156"/>
        <v>#N/A</v>
      </c>
      <c r="H716" s="116" t="e">
        <f t="shared" ca="1" si="157"/>
        <v>#N/A</v>
      </c>
      <c r="I716" s="57" t="e">
        <f t="shared" ca="1" si="158"/>
        <v>#N/A</v>
      </c>
      <c r="J716" s="131">
        <f t="shared" ca="1" si="165"/>
        <v>996</v>
      </c>
      <c r="K716" s="122" t="str">
        <f t="shared" ca="1" si="159"/>
        <v/>
      </c>
      <c r="L716" s="130" t="str">
        <f t="shared" ca="1" si="160"/>
        <v/>
      </c>
      <c r="M716" s="126">
        <f t="shared" ca="1" si="161"/>
        <v>995</v>
      </c>
      <c r="N716" s="58">
        <f t="shared" ca="1" si="152"/>
        <v>2370000.0000000005</v>
      </c>
      <c r="O716" s="160">
        <f t="shared" ca="1" si="152"/>
        <v>2257321.4215082442</v>
      </c>
    </row>
    <row r="717" spans="1:15" x14ac:dyDescent="0.25">
      <c r="A717" s="55">
        <f t="shared" ca="1" si="162"/>
        <v>240</v>
      </c>
      <c r="B717" s="55">
        <f t="shared" ca="1" si="153"/>
        <v>26.1</v>
      </c>
      <c r="C717" s="55">
        <f t="shared" ca="1" si="154"/>
        <v>26.099739002609972</v>
      </c>
      <c r="D717" s="55" t="str">
        <f t="shared" ca="1" si="155"/>
        <v>26.100 || 2610000.000</v>
      </c>
      <c r="E717" s="120">
        <f t="shared" ca="1" si="163"/>
        <v>4.398956010439889</v>
      </c>
      <c r="F717" s="56" t="e">
        <f t="shared" ca="1" si="164"/>
        <v>#N/A</v>
      </c>
      <c r="G717" s="56" t="e">
        <f t="shared" ca="1" si="156"/>
        <v>#N/A</v>
      </c>
      <c r="H717" s="116" t="e">
        <f t="shared" ca="1" si="157"/>
        <v>#N/A</v>
      </c>
      <c r="I717" s="57" t="e">
        <f t="shared" ca="1" si="158"/>
        <v>#N/A</v>
      </c>
      <c r="J717" s="131">
        <f t="shared" ca="1" si="165"/>
        <v>996</v>
      </c>
      <c r="K717" s="122" t="str">
        <f t="shared" ca="1" si="159"/>
        <v/>
      </c>
      <c r="L717" s="130" t="str">
        <f t="shared" ca="1" si="160"/>
        <v/>
      </c>
      <c r="M717" s="126">
        <f t="shared" ca="1" si="161"/>
        <v>995</v>
      </c>
      <c r="N717" s="58">
        <f t="shared" ca="1" si="152"/>
        <v>2610000</v>
      </c>
      <c r="O717" s="160">
        <f t="shared" ca="1" si="152"/>
        <v>2487106.7528355112</v>
      </c>
    </row>
    <row r="718" spans="1:15" x14ac:dyDescent="0.25">
      <c r="A718" s="55">
        <f t="shared" ca="1" si="162"/>
        <v>240</v>
      </c>
      <c r="B718" s="55">
        <f t="shared" ca="1" si="153"/>
        <v>26.1</v>
      </c>
      <c r="C718" s="55">
        <f t="shared" ca="1" si="154"/>
        <v>26.099739002609972</v>
      </c>
      <c r="D718" s="55" t="str">
        <f t="shared" ca="1" si="155"/>
        <v>26.100 || 2610000.000</v>
      </c>
      <c r="E718" s="120">
        <f t="shared" ca="1" si="163"/>
        <v>4.398956010439889</v>
      </c>
      <c r="F718" s="56" t="e">
        <f t="shared" ca="1" si="164"/>
        <v>#N/A</v>
      </c>
      <c r="G718" s="56" t="e">
        <f t="shared" ca="1" si="156"/>
        <v>#N/A</v>
      </c>
      <c r="H718" s="116" t="e">
        <f t="shared" ca="1" si="157"/>
        <v>#N/A</v>
      </c>
      <c r="I718" s="57" t="e">
        <f t="shared" ca="1" si="158"/>
        <v>#N/A</v>
      </c>
      <c r="J718" s="131">
        <f t="shared" ca="1" si="165"/>
        <v>996</v>
      </c>
      <c r="K718" s="122" t="str">
        <f t="shared" ca="1" si="159"/>
        <v/>
      </c>
      <c r="L718" s="130" t="str">
        <f t="shared" ca="1" si="160"/>
        <v/>
      </c>
      <c r="M718" s="126">
        <f t="shared" ca="1" si="161"/>
        <v>995</v>
      </c>
      <c r="N718" s="58">
        <f t="shared" ca="1" si="152"/>
        <v>2610000</v>
      </c>
      <c r="O718" s="160">
        <f t="shared" ca="1" si="152"/>
        <v>2487106.7528355112</v>
      </c>
    </row>
    <row r="719" spans="1:15" x14ac:dyDescent="0.25">
      <c r="A719" s="55">
        <f t="shared" ca="1" si="162"/>
        <v>240</v>
      </c>
      <c r="B719" s="55">
        <f t="shared" ca="1" si="153"/>
        <v>26.1</v>
      </c>
      <c r="C719" s="55">
        <f t="shared" ca="1" si="154"/>
        <v>26.099739002609972</v>
      </c>
      <c r="D719" s="55" t="str">
        <f t="shared" ca="1" si="155"/>
        <v>26.100 || 2610000.000</v>
      </c>
      <c r="E719" s="120">
        <f t="shared" ca="1" si="163"/>
        <v>4.398956010439889</v>
      </c>
      <c r="F719" s="56" t="e">
        <f t="shared" ca="1" si="164"/>
        <v>#N/A</v>
      </c>
      <c r="G719" s="56" t="e">
        <f t="shared" ca="1" si="156"/>
        <v>#N/A</v>
      </c>
      <c r="H719" s="116" t="e">
        <f t="shared" ca="1" si="157"/>
        <v>#N/A</v>
      </c>
      <c r="I719" s="57" t="e">
        <f t="shared" ca="1" si="158"/>
        <v>#N/A</v>
      </c>
      <c r="J719" s="131">
        <f t="shared" ca="1" si="165"/>
        <v>996</v>
      </c>
      <c r="K719" s="122" t="str">
        <f t="shared" ca="1" si="159"/>
        <v/>
      </c>
      <c r="L719" s="130" t="str">
        <f t="shared" ca="1" si="160"/>
        <v/>
      </c>
      <c r="M719" s="126">
        <f t="shared" ca="1" si="161"/>
        <v>995</v>
      </c>
      <c r="N719" s="58">
        <f t="shared" ca="1" si="152"/>
        <v>2610000</v>
      </c>
      <c r="O719" s="160">
        <f t="shared" ca="1" si="152"/>
        <v>2487106.7528355112</v>
      </c>
    </row>
    <row r="720" spans="1:15" x14ac:dyDescent="0.25">
      <c r="A720" s="55">
        <f t="shared" ca="1" si="162"/>
        <v>240</v>
      </c>
      <c r="B720" s="55">
        <f t="shared" ca="1" si="153"/>
        <v>26.1</v>
      </c>
      <c r="C720" s="55">
        <f t="shared" ca="1" si="154"/>
        <v>26.099739002609972</v>
      </c>
      <c r="D720" s="55" t="str">
        <f t="shared" ca="1" si="155"/>
        <v>26.100 || 2610000.000</v>
      </c>
      <c r="E720" s="120">
        <f t="shared" ca="1" si="163"/>
        <v>4.398956010439889</v>
      </c>
      <c r="F720" s="56" t="e">
        <f t="shared" ca="1" si="164"/>
        <v>#N/A</v>
      </c>
      <c r="G720" s="56" t="e">
        <f t="shared" ca="1" si="156"/>
        <v>#N/A</v>
      </c>
      <c r="H720" s="116" t="e">
        <f t="shared" ca="1" si="157"/>
        <v>#N/A</v>
      </c>
      <c r="I720" s="57" t="e">
        <f t="shared" ca="1" si="158"/>
        <v>#N/A</v>
      </c>
      <c r="J720" s="131">
        <f t="shared" ca="1" si="165"/>
        <v>996</v>
      </c>
      <c r="K720" s="122" t="str">
        <f t="shared" ca="1" si="159"/>
        <v/>
      </c>
      <c r="L720" s="130" t="str">
        <f t="shared" ca="1" si="160"/>
        <v/>
      </c>
      <c r="M720" s="126">
        <f t="shared" ca="1" si="161"/>
        <v>995</v>
      </c>
      <c r="N720" s="58">
        <f t="shared" ca="1" si="152"/>
        <v>2610000</v>
      </c>
      <c r="O720" s="160">
        <f t="shared" ca="1" si="152"/>
        <v>2487106.7528355112</v>
      </c>
    </row>
    <row r="721" spans="1:15" x14ac:dyDescent="0.25">
      <c r="A721" s="55">
        <f t="shared" ca="1" si="162"/>
        <v>240</v>
      </c>
      <c r="B721" s="55">
        <f t="shared" ca="1" si="153"/>
        <v>26.1</v>
      </c>
      <c r="C721" s="55">
        <f t="shared" ca="1" si="154"/>
        <v>26.099762646757814</v>
      </c>
      <c r="D721" s="55" t="str">
        <f t="shared" ca="1" si="155"/>
        <v>26.100 || 2870000.000</v>
      </c>
      <c r="E721" s="120">
        <f t="shared" ca="1" si="163"/>
        <v>4.3990505870312546</v>
      </c>
      <c r="F721" s="56" t="e">
        <f t="shared" ca="1" si="164"/>
        <v>#N/A</v>
      </c>
      <c r="G721" s="56" t="e">
        <f t="shared" ca="1" si="156"/>
        <v>#N/A</v>
      </c>
      <c r="H721" s="116" t="e">
        <f t="shared" ca="1" si="157"/>
        <v>#N/A</v>
      </c>
      <c r="I721" s="57" t="e">
        <f t="shared" ca="1" si="158"/>
        <v>#N/A</v>
      </c>
      <c r="J721" s="131">
        <f t="shared" ca="1" si="165"/>
        <v>996</v>
      </c>
      <c r="K721" s="122" t="str">
        <f t="shared" ca="1" si="159"/>
        <v/>
      </c>
      <c r="L721" s="130" t="str">
        <f t="shared" ca="1" si="160"/>
        <v/>
      </c>
      <c r="M721" s="126">
        <f t="shared" ca="1" si="161"/>
        <v>995</v>
      </c>
      <c r="N721" s="58">
        <f t="shared" ca="1" si="152"/>
        <v>2869999.9999999995</v>
      </c>
      <c r="O721" s="160">
        <f t="shared" ca="1" si="152"/>
        <v>2736914.3209095895</v>
      </c>
    </row>
    <row r="722" spans="1:15" x14ac:dyDescent="0.25">
      <c r="A722" s="55">
        <f t="shared" ca="1" si="162"/>
        <v>240</v>
      </c>
      <c r="B722" s="55">
        <f t="shared" ca="1" si="153"/>
        <v>26.1</v>
      </c>
      <c r="C722" s="55">
        <f t="shared" ca="1" si="154"/>
        <v>26.099762646757814</v>
      </c>
      <c r="D722" s="55" t="str">
        <f t="shared" ca="1" si="155"/>
        <v>26.100 || 2870000.000</v>
      </c>
      <c r="E722" s="120">
        <f t="shared" ca="1" si="163"/>
        <v>4.3990505870312546</v>
      </c>
      <c r="F722" s="56" t="e">
        <f t="shared" ca="1" si="164"/>
        <v>#N/A</v>
      </c>
      <c r="G722" s="56" t="e">
        <f t="shared" ca="1" si="156"/>
        <v>#N/A</v>
      </c>
      <c r="H722" s="116" t="e">
        <f t="shared" ca="1" si="157"/>
        <v>#N/A</v>
      </c>
      <c r="I722" s="57" t="e">
        <f t="shared" ca="1" si="158"/>
        <v>#N/A</v>
      </c>
      <c r="J722" s="131">
        <f t="shared" ca="1" si="165"/>
        <v>996</v>
      </c>
      <c r="K722" s="122" t="str">
        <f t="shared" ca="1" si="159"/>
        <v/>
      </c>
      <c r="L722" s="130" t="str">
        <f t="shared" ca="1" si="160"/>
        <v/>
      </c>
      <c r="M722" s="126">
        <f t="shared" ca="1" si="161"/>
        <v>995</v>
      </c>
      <c r="N722" s="58">
        <f t="shared" ca="1" si="152"/>
        <v>2869999.9999999995</v>
      </c>
      <c r="O722" s="160">
        <f t="shared" ca="1" si="152"/>
        <v>2736914.3209095895</v>
      </c>
    </row>
    <row r="723" spans="1:15" x14ac:dyDescent="0.25">
      <c r="A723" s="55">
        <f t="shared" ca="1" si="162"/>
        <v>240</v>
      </c>
      <c r="B723" s="55">
        <f t="shared" ca="1" si="153"/>
        <v>26.1</v>
      </c>
      <c r="C723" s="55">
        <f t="shared" ca="1" si="154"/>
        <v>26.099762646757814</v>
      </c>
      <c r="D723" s="55" t="str">
        <f t="shared" ca="1" si="155"/>
        <v>26.100 || 2870000.000</v>
      </c>
      <c r="E723" s="120">
        <f t="shared" ca="1" si="163"/>
        <v>4.3990505870312546</v>
      </c>
      <c r="F723" s="56" t="e">
        <f t="shared" ca="1" si="164"/>
        <v>#N/A</v>
      </c>
      <c r="G723" s="56" t="e">
        <f t="shared" ca="1" si="156"/>
        <v>#N/A</v>
      </c>
      <c r="H723" s="116" t="e">
        <f t="shared" ca="1" si="157"/>
        <v>#N/A</v>
      </c>
      <c r="I723" s="57" t="e">
        <f t="shared" ca="1" si="158"/>
        <v>#N/A</v>
      </c>
      <c r="J723" s="131">
        <f t="shared" ca="1" si="165"/>
        <v>996</v>
      </c>
      <c r="K723" s="122" t="str">
        <f t="shared" ca="1" si="159"/>
        <v/>
      </c>
      <c r="L723" s="130" t="str">
        <f t="shared" ca="1" si="160"/>
        <v/>
      </c>
      <c r="M723" s="126">
        <f t="shared" ca="1" si="161"/>
        <v>995</v>
      </c>
      <c r="N723" s="58">
        <f t="shared" ca="1" si="152"/>
        <v>2869999.9999999995</v>
      </c>
      <c r="O723" s="160">
        <f t="shared" ca="1" si="152"/>
        <v>2736914.3209095895</v>
      </c>
    </row>
    <row r="724" spans="1:15" x14ac:dyDescent="0.25">
      <c r="A724" s="55">
        <f t="shared" ca="1" si="162"/>
        <v>240</v>
      </c>
      <c r="B724" s="55">
        <f t="shared" ca="1" si="153"/>
        <v>26.1</v>
      </c>
      <c r="C724" s="55">
        <f t="shared" ca="1" si="154"/>
        <v>26.099762646757814</v>
      </c>
      <c r="D724" s="55" t="str">
        <f t="shared" ca="1" si="155"/>
        <v>26.100 || 2870000.000</v>
      </c>
      <c r="E724" s="120">
        <f t="shared" ca="1" si="163"/>
        <v>4.3990505870312546</v>
      </c>
      <c r="F724" s="56" t="e">
        <f t="shared" ca="1" si="164"/>
        <v>#N/A</v>
      </c>
      <c r="G724" s="56" t="e">
        <f t="shared" ca="1" si="156"/>
        <v>#N/A</v>
      </c>
      <c r="H724" s="116" t="e">
        <f t="shared" ca="1" si="157"/>
        <v>#N/A</v>
      </c>
      <c r="I724" s="57" t="e">
        <f t="shared" ca="1" si="158"/>
        <v>#N/A</v>
      </c>
      <c r="J724" s="131">
        <f t="shared" ca="1" si="165"/>
        <v>996</v>
      </c>
      <c r="K724" s="122" t="str">
        <f t="shared" ca="1" si="159"/>
        <v/>
      </c>
      <c r="L724" s="130" t="str">
        <f t="shared" ca="1" si="160"/>
        <v/>
      </c>
      <c r="M724" s="126">
        <f t="shared" ca="1" si="161"/>
        <v>995</v>
      </c>
      <c r="N724" s="58">
        <f t="shared" ca="1" si="152"/>
        <v>2869999.9999999995</v>
      </c>
      <c r="O724" s="160">
        <f t="shared" ca="1" si="152"/>
        <v>2736914.3209095895</v>
      </c>
    </row>
    <row r="725" spans="1:15" x14ac:dyDescent="0.25">
      <c r="A725" s="55">
        <f t="shared" ca="1" si="162"/>
        <v>240</v>
      </c>
      <c r="B725" s="55">
        <f t="shared" ca="1" si="153"/>
        <v>26.1</v>
      </c>
      <c r="C725" s="55">
        <f t="shared" ca="1" si="154"/>
        <v>26.099784428995697</v>
      </c>
      <c r="D725" s="55" t="str">
        <f t="shared" ca="1" si="155"/>
        <v>26.100 || 3160000.000</v>
      </c>
      <c r="E725" s="120">
        <f t="shared" ca="1" si="163"/>
        <v>4.3991377159827891</v>
      </c>
      <c r="F725" s="56" t="e">
        <f t="shared" ca="1" si="164"/>
        <v>#N/A</v>
      </c>
      <c r="G725" s="56" t="e">
        <f t="shared" ca="1" si="156"/>
        <v>#N/A</v>
      </c>
      <c r="H725" s="116" t="e">
        <f t="shared" ca="1" si="157"/>
        <v>#N/A</v>
      </c>
      <c r="I725" s="57" t="e">
        <f t="shared" ca="1" si="158"/>
        <v>#N/A</v>
      </c>
      <c r="J725" s="131">
        <f t="shared" ca="1" si="165"/>
        <v>996</v>
      </c>
      <c r="K725" s="122" t="str">
        <f t="shared" ca="1" si="159"/>
        <v/>
      </c>
      <c r="L725" s="130" t="str">
        <f t="shared" ca="1" si="160"/>
        <v/>
      </c>
      <c r="M725" s="126">
        <f t="shared" ca="1" si="161"/>
        <v>995</v>
      </c>
      <c r="N725" s="58">
        <f t="shared" ca="1" si="152"/>
        <v>3160000</v>
      </c>
      <c r="O725" s="160">
        <f t="shared" ca="1" si="152"/>
        <v>3011511.2485262281</v>
      </c>
    </row>
    <row r="726" spans="1:15" x14ac:dyDescent="0.25">
      <c r="A726" s="55">
        <f t="shared" ca="1" si="162"/>
        <v>240</v>
      </c>
      <c r="B726" s="55">
        <f t="shared" ca="1" si="153"/>
        <v>26.1</v>
      </c>
      <c r="C726" s="55">
        <f t="shared" ca="1" si="154"/>
        <v>26.099784428995697</v>
      </c>
      <c r="D726" s="55" t="str">
        <f t="shared" ca="1" si="155"/>
        <v>26.100 || 3160000.000</v>
      </c>
      <c r="E726" s="120">
        <f t="shared" ca="1" si="163"/>
        <v>4.3991377159827891</v>
      </c>
      <c r="F726" s="56" t="e">
        <f t="shared" ca="1" si="164"/>
        <v>#N/A</v>
      </c>
      <c r="G726" s="56" t="e">
        <f t="shared" ca="1" si="156"/>
        <v>#N/A</v>
      </c>
      <c r="H726" s="116" t="e">
        <f t="shared" ca="1" si="157"/>
        <v>#N/A</v>
      </c>
      <c r="I726" s="57" t="e">
        <f t="shared" ca="1" si="158"/>
        <v>#N/A</v>
      </c>
      <c r="J726" s="131">
        <f t="shared" ca="1" si="165"/>
        <v>996</v>
      </c>
      <c r="K726" s="122" t="str">
        <f t="shared" ca="1" si="159"/>
        <v/>
      </c>
      <c r="L726" s="130" t="str">
        <f t="shared" ca="1" si="160"/>
        <v/>
      </c>
      <c r="M726" s="126">
        <f t="shared" ca="1" si="161"/>
        <v>995</v>
      </c>
      <c r="N726" s="58">
        <f t="shared" ca="1" si="152"/>
        <v>3160000</v>
      </c>
      <c r="O726" s="160">
        <f t="shared" ca="1" si="152"/>
        <v>3011511.2485262281</v>
      </c>
    </row>
    <row r="727" spans="1:15" x14ac:dyDescent="0.25">
      <c r="A727" s="55">
        <f t="shared" ca="1" si="162"/>
        <v>240</v>
      </c>
      <c r="B727" s="55">
        <f t="shared" ca="1" si="153"/>
        <v>26.1</v>
      </c>
      <c r="C727" s="55">
        <f t="shared" ca="1" si="154"/>
        <v>26.099784428995697</v>
      </c>
      <c r="D727" s="55" t="str">
        <f t="shared" ca="1" si="155"/>
        <v>26.100 || 3160000.000</v>
      </c>
      <c r="E727" s="120">
        <f t="shared" ca="1" si="163"/>
        <v>4.3991377159827891</v>
      </c>
      <c r="F727" s="56" t="e">
        <f t="shared" ca="1" si="164"/>
        <v>#N/A</v>
      </c>
      <c r="G727" s="56" t="e">
        <f t="shared" ca="1" si="156"/>
        <v>#N/A</v>
      </c>
      <c r="H727" s="116" t="e">
        <f t="shared" ca="1" si="157"/>
        <v>#N/A</v>
      </c>
      <c r="I727" s="57" t="e">
        <f t="shared" ca="1" si="158"/>
        <v>#N/A</v>
      </c>
      <c r="J727" s="131">
        <f t="shared" ca="1" si="165"/>
        <v>996</v>
      </c>
      <c r="K727" s="122" t="str">
        <f t="shared" ca="1" si="159"/>
        <v/>
      </c>
      <c r="L727" s="130" t="str">
        <f t="shared" ca="1" si="160"/>
        <v/>
      </c>
      <c r="M727" s="126">
        <f t="shared" ca="1" si="161"/>
        <v>995</v>
      </c>
      <c r="N727" s="58">
        <f t="shared" ca="1" si="152"/>
        <v>3160000</v>
      </c>
      <c r="O727" s="160">
        <f t="shared" ca="1" si="152"/>
        <v>3011511.2485262281</v>
      </c>
    </row>
    <row r="728" spans="1:15" x14ac:dyDescent="0.25">
      <c r="A728" s="55">
        <f t="shared" ca="1" si="162"/>
        <v>240</v>
      </c>
      <c r="B728" s="55">
        <f t="shared" ca="1" si="153"/>
        <v>26.1</v>
      </c>
      <c r="C728" s="55">
        <f t="shared" ca="1" si="154"/>
        <v>26.099784428995697</v>
      </c>
      <c r="D728" s="55" t="str">
        <f t="shared" ca="1" si="155"/>
        <v>26.100 || 3160000.000</v>
      </c>
      <c r="E728" s="120">
        <f t="shared" ca="1" si="163"/>
        <v>4.3991377159827891</v>
      </c>
      <c r="F728" s="56" t="e">
        <f t="shared" ca="1" si="164"/>
        <v>#N/A</v>
      </c>
      <c r="G728" s="56" t="e">
        <f t="shared" ca="1" si="156"/>
        <v>#N/A</v>
      </c>
      <c r="H728" s="116" t="e">
        <f t="shared" ca="1" si="157"/>
        <v>#N/A</v>
      </c>
      <c r="I728" s="57" t="e">
        <f t="shared" ca="1" si="158"/>
        <v>#N/A</v>
      </c>
      <c r="J728" s="131">
        <f t="shared" ca="1" si="165"/>
        <v>996</v>
      </c>
      <c r="K728" s="122" t="str">
        <f t="shared" ca="1" si="159"/>
        <v/>
      </c>
      <c r="L728" s="130" t="str">
        <f t="shared" ca="1" si="160"/>
        <v/>
      </c>
      <c r="M728" s="126">
        <f t="shared" ca="1" si="161"/>
        <v>995</v>
      </c>
      <c r="N728" s="58">
        <f t="shared" ca="1" si="152"/>
        <v>3160000</v>
      </c>
      <c r="O728" s="160">
        <f t="shared" ca="1" si="152"/>
        <v>3011511.2485262281</v>
      </c>
    </row>
    <row r="729" spans="1:15" x14ac:dyDescent="0.25">
      <c r="A729" s="55">
        <f t="shared" ca="1" si="162"/>
        <v>240</v>
      </c>
      <c r="B729" s="55">
        <f t="shared" ca="1" si="153"/>
        <v>26.1</v>
      </c>
      <c r="C729" s="55">
        <f t="shared" ca="1" si="154"/>
        <v>26.099804251468115</v>
      </c>
      <c r="D729" s="55" t="str">
        <f t="shared" ca="1" si="155"/>
        <v>26.100 || 3480000.000</v>
      </c>
      <c r="E729" s="120">
        <f t="shared" ca="1" si="163"/>
        <v>4.3992170058724582</v>
      </c>
      <c r="F729" s="56" t="e">
        <f t="shared" ca="1" si="164"/>
        <v>#N/A</v>
      </c>
      <c r="G729" s="56" t="e">
        <f t="shared" ca="1" si="156"/>
        <v>#N/A</v>
      </c>
      <c r="H729" s="116" t="e">
        <f t="shared" ca="1" si="157"/>
        <v>#N/A</v>
      </c>
      <c r="I729" s="57" t="e">
        <f t="shared" ca="1" si="158"/>
        <v>#N/A</v>
      </c>
      <c r="J729" s="131">
        <f t="shared" ca="1" si="165"/>
        <v>996</v>
      </c>
      <c r="K729" s="122" t="str">
        <f t="shared" ca="1" si="159"/>
        <v/>
      </c>
      <c r="L729" s="130" t="str">
        <f t="shared" ca="1" si="160"/>
        <v/>
      </c>
      <c r="M729" s="126">
        <f t="shared" ca="1" si="161"/>
        <v>995</v>
      </c>
      <c r="N729" s="58">
        <f t="shared" ca="1" si="152"/>
        <v>3480000</v>
      </c>
      <c r="O729" s="160">
        <f t="shared" ca="1" si="152"/>
        <v>3316142.3371140147</v>
      </c>
    </row>
    <row r="730" spans="1:15" x14ac:dyDescent="0.25">
      <c r="A730" s="55">
        <f t="shared" ca="1" si="162"/>
        <v>240</v>
      </c>
      <c r="B730" s="55">
        <f t="shared" ca="1" si="153"/>
        <v>26.1</v>
      </c>
      <c r="C730" s="55">
        <f t="shared" ca="1" si="154"/>
        <v>26.099804251468115</v>
      </c>
      <c r="D730" s="55" t="str">
        <f t="shared" ca="1" si="155"/>
        <v>26.100 || 3480000.000</v>
      </c>
      <c r="E730" s="120">
        <f t="shared" ca="1" si="163"/>
        <v>4.3992170058724582</v>
      </c>
      <c r="F730" s="56" t="e">
        <f t="shared" ca="1" si="164"/>
        <v>#N/A</v>
      </c>
      <c r="G730" s="56" t="e">
        <f t="shared" ca="1" si="156"/>
        <v>#N/A</v>
      </c>
      <c r="H730" s="116" t="e">
        <f t="shared" ca="1" si="157"/>
        <v>#N/A</v>
      </c>
      <c r="I730" s="57" t="e">
        <f t="shared" ca="1" si="158"/>
        <v>#N/A</v>
      </c>
      <c r="J730" s="131">
        <f t="shared" ca="1" si="165"/>
        <v>996</v>
      </c>
      <c r="K730" s="122" t="str">
        <f t="shared" ca="1" si="159"/>
        <v/>
      </c>
      <c r="L730" s="130" t="str">
        <f t="shared" ca="1" si="160"/>
        <v/>
      </c>
      <c r="M730" s="126">
        <f t="shared" ca="1" si="161"/>
        <v>995</v>
      </c>
      <c r="N730" s="58">
        <f t="shared" ca="1" si="152"/>
        <v>3480000</v>
      </c>
      <c r="O730" s="160">
        <f t="shared" ca="1" si="152"/>
        <v>3316142.3371140147</v>
      </c>
    </row>
    <row r="731" spans="1:15" x14ac:dyDescent="0.25">
      <c r="A731" s="55">
        <f t="shared" ca="1" si="162"/>
        <v>240</v>
      </c>
      <c r="B731" s="55">
        <f t="shared" ca="1" si="153"/>
        <v>26.1</v>
      </c>
      <c r="C731" s="55">
        <f t="shared" ca="1" si="154"/>
        <v>26.099804251468115</v>
      </c>
      <c r="D731" s="55" t="str">
        <f t="shared" ca="1" si="155"/>
        <v>26.100 || 3480000.000</v>
      </c>
      <c r="E731" s="120">
        <f t="shared" ca="1" si="163"/>
        <v>4.3992170058724582</v>
      </c>
      <c r="F731" s="56" t="e">
        <f t="shared" ca="1" si="164"/>
        <v>#N/A</v>
      </c>
      <c r="G731" s="56" t="e">
        <f t="shared" ca="1" si="156"/>
        <v>#N/A</v>
      </c>
      <c r="H731" s="116" t="e">
        <f t="shared" ca="1" si="157"/>
        <v>#N/A</v>
      </c>
      <c r="I731" s="57" t="e">
        <f t="shared" ca="1" si="158"/>
        <v>#N/A</v>
      </c>
      <c r="J731" s="131">
        <f t="shared" ca="1" si="165"/>
        <v>996</v>
      </c>
      <c r="K731" s="122" t="str">
        <f t="shared" ca="1" si="159"/>
        <v/>
      </c>
      <c r="L731" s="130" t="str">
        <f t="shared" ca="1" si="160"/>
        <v/>
      </c>
      <c r="M731" s="126">
        <f t="shared" ca="1" si="161"/>
        <v>995</v>
      </c>
      <c r="N731" s="58">
        <f t="shared" ca="1" si="152"/>
        <v>3480000</v>
      </c>
      <c r="O731" s="160">
        <f t="shared" ca="1" si="152"/>
        <v>3316142.3371140147</v>
      </c>
    </row>
    <row r="732" spans="1:15" x14ac:dyDescent="0.25">
      <c r="A732" s="55">
        <f t="shared" ca="1" si="162"/>
        <v>240</v>
      </c>
      <c r="B732" s="55">
        <f t="shared" ca="1" si="153"/>
        <v>26.1</v>
      </c>
      <c r="C732" s="55">
        <f t="shared" ca="1" si="154"/>
        <v>26.099804251468115</v>
      </c>
      <c r="D732" s="55" t="str">
        <f t="shared" ca="1" si="155"/>
        <v>26.100 || 3480000.000</v>
      </c>
      <c r="E732" s="120">
        <f t="shared" ca="1" si="163"/>
        <v>4.3992170058724582</v>
      </c>
      <c r="F732" s="56" t="e">
        <f t="shared" ca="1" si="164"/>
        <v>#N/A</v>
      </c>
      <c r="G732" s="56" t="e">
        <f t="shared" ca="1" si="156"/>
        <v>#N/A</v>
      </c>
      <c r="H732" s="116" t="e">
        <f t="shared" ca="1" si="157"/>
        <v>#N/A</v>
      </c>
      <c r="I732" s="57" t="e">
        <f t="shared" ca="1" si="158"/>
        <v>#N/A</v>
      </c>
      <c r="J732" s="131">
        <f t="shared" ca="1" si="165"/>
        <v>996</v>
      </c>
      <c r="K732" s="122" t="str">
        <f t="shared" ca="1" si="159"/>
        <v/>
      </c>
      <c r="L732" s="130" t="str">
        <f t="shared" ca="1" si="160"/>
        <v/>
      </c>
      <c r="M732" s="126">
        <f t="shared" ca="1" si="161"/>
        <v>995</v>
      </c>
      <c r="N732" s="58">
        <f t="shared" ca="1" si="152"/>
        <v>3480000</v>
      </c>
      <c r="O732" s="160">
        <f t="shared" ca="1" si="152"/>
        <v>3316142.3371140147</v>
      </c>
    </row>
    <row r="733" spans="1:15" x14ac:dyDescent="0.25">
      <c r="A733" s="55">
        <f t="shared" ca="1" si="162"/>
        <v>240</v>
      </c>
      <c r="B733" s="55">
        <f t="shared" ca="1" si="153"/>
        <v>26.1</v>
      </c>
      <c r="C733" s="55">
        <f t="shared" ca="1" si="154"/>
        <v>26.099822139593254</v>
      </c>
      <c r="D733" s="55" t="str">
        <f t="shared" ca="1" si="155"/>
        <v>26.100 || 3830000.000</v>
      </c>
      <c r="E733" s="120">
        <f t="shared" ca="1" si="163"/>
        <v>4.3992885583730157</v>
      </c>
      <c r="F733" s="56" t="e">
        <f t="shared" ca="1" si="164"/>
        <v>#N/A</v>
      </c>
      <c r="G733" s="56" t="e">
        <f t="shared" ca="1" si="156"/>
        <v>#N/A</v>
      </c>
      <c r="H733" s="116" t="e">
        <f t="shared" ca="1" si="157"/>
        <v>#N/A</v>
      </c>
      <c r="I733" s="57" t="e">
        <f t="shared" ca="1" si="158"/>
        <v>#N/A</v>
      </c>
      <c r="J733" s="131">
        <f t="shared" ca="1" si="165"/>
        <v>996</v>
      </c>
      <c r="K733" s="122" t="str">
        <f t="shared" ca="1" si="159"/>
        <v/>
      </c>
      <c r="L733" s="130" t="str">
        <f t="shared" ca="1" si="160"/>
        <v/>
      </c>
      <c r="M733" s="126">
        <f t="shared" ca="1" si="161"/>
        <v>995</v>
      </c>
      <c r="N733" s="58">
        <f t="shared" ca="1" si="152"/>
        <v>3830000</v>
      </c>
      <c r="O733" s="160">
        <f t="shared" ca="1" si="152"/>
        <v>3650808.1297159381</v>
      </c>
    </row>
    <row r="734" spans="1:15" x14ac:dyDescent="0.25">
      <c r="A734" s="55">
        <f t="shared" ca="1" si="162"/>
        <v>240</v>
      </c>
      <c r="B734" s="55">
        <f t="shared" ca="1" si="153"/>
        <v>26.1</v>
      </c>
      <c r="C734" s="55">
        <f t="shared" ca="1" si="154"/>
        <v>26.099822139593254</v>
      </c>
      <c r="D734" s="55" t="str">
        <f t="shared" ca="1" si="155"/>
        <v>26.100 || 3830000.000</v>
      </c>
      <c r="E734" s="120">
        <f t="shared" ca="1" si="163"/>
        <v>4.3992885583730157</v>
      </c>
      <c r="F734" s="56" t="e">
        <f t="shared" ca="1" si="164"/>
        <v>#N/A</v>
      </c>
      <c r="G734" s="56" t="e">
        <f t="shared" ca="1" si="156"/>
        <v>#N/A</v>
      </c>
      <c r="H734" s="116" t="e">
        <f t="shared" ca="1" si="157"/>
        <v>#N/A</v>
      </c>
      <c r="I734" s="57" t="e">
        <f t="shared" ca="1" si="158"/>
        <v>#N/A</v>
      </c>
      <c r="J734" s="131">
        <f t="shared" ca="1" si="165"/>
        <v>996</v>
      </c>
      <c r="K734" s="122" t="str">
        <f t="shared" ca="1" si="159"/>
        <v/>
      </c>
      <c r="L734" s="130" t="str">
        <f t="shared" ca="1" si="160"/>
        <v/>
      </c>
      <c r="M734" s="126">
        <f t="shared" ca="1" si="161"/>
        <v>995</v>
      </c>
      <c r="N734" s="58">
        <f t="shared" ca="1" si="152"/>
        <v>3830000</v>
      </c>
      <c r="O734" s="160">
        <f t="shared" ca="1" si="152"/>
        <v>3650808.1297159381</v>
      </c>
    </row>
    <row r="735" spans="1:15" x14ac:dyDescent="0.25">
      <c r="A735" s="55">
        <f t="shared" ca="1" si="162"/>
        <v>240</v>
      </c>
      <c r="B735" s="55">
        <f t="shared" ca="1" si="153"/>
        <v>26.1</v>
      </c>
      <c r="C735" s="55">
        <f t="shared" ca="1" si="154"/>
        <v>26.099822139593254</v>
      </c>
      <c r="D735" s="55" t="str">
        <f t="shared" ca="1" si="155"/>
        <v>26.100 || 3830000.000</v>
      </c>
      <c r="E735" s="120">
        <f t="shared" ca="1" si="163"/>
        <v>4.3992885583730157</v>
      </c>
      <c r="F735" s="56" t="e">
        <f t="shared" ca="1" si="164"/>
        <v>#N/A</v>
      </c>
      <c r="G735" s="56" t="e">
        <f t="shared" ca="1" si="156"/>
        <v>#N/A</v>
      </c>
      <c r="H735" s="116" t="e">
        <f t="shared" ca="1" si="157"/>
        <v>#N/A</v>
      </c>
      <c r="I735" s="57" t="e">
        <f t="shared" ca="1" si="158"/>
        <v>#N/A</v>
      </c>
      <c r="J735" s="131">
        <f t="shared" ca="1" si="165"/>
        <v>996</v>
      </c>
      <c r="K735" s="122" t="str">
        <f t="shared" ca="1" si="159"/>
        <v/>
      </c>
      <c r="L735" s="130" t="str">
        <f t="shared" ca="1" si="160"/>
        <v/>
      </c>
      <c r="M735" s="126">
        <f t="shared" ca="1" si="161"/>
        <v>995</v>
      </c>
      <c r="N735" s="58">
        <f t="shared" ca="1" si="152"/>
        <v>3830000</v>
      </c>
      <c r="O735" s="160">
        <f t="shared" ca="1" si="152"/>
        <v>3650808.1297159381</v>
      </c>
    </row>
    <row r="736" spans="1:15" x14ac:dyDescent="0.25">
      <c r="A736" s="55">
        <f t="shared" ca="1" si="162"/>
        <v>240</v>
      </c>
      <c r="B736" s="55">
        <f t="shared" ca="1" si="153"/>
        <v>26.1</v>
      </c>
      <c r="C736" s="55">
        <f t="shared" ca="1" si="154"/>
        <v>26.099822139593254</v>
      </c>
      <c r="D736" s="55" t="str">
        <f t="shared" ca="1" si="155"/>
        <v>26.100 || 3830000.000</v>
      </c>
      <c r="E736" s="120">
        <f t="shared" ca="1" si="163"/>
        <v>4.3992885583730157</v>
      </c>
      <c r="F736" s="56" t="e">
        <f t="shared" ca="1" si="164"/>
        <v>#N/A</v>
      </c>
      <c r="G736" s="56" t="e">
        <f t="shared" ca="1" si="156"/>
        <v>#N/A</v>
      </c>
      <c r="H736" s="116" t="e">
        <f t="shared" ca="1" si="157"/>
        <v>#N/A</v>
      </c>
      <c r="I736" s="57" t="e">
        <f t="shared" ca="1" si="158"/>
        <v>#N/A</v>
      </c>
      <c r="J736" s="131">
        <f t="shared" ca="1" si="165"/>
        <v>996</v>
      </c>
      <c r="K736" s="122" t="str">
        <f t="shared" ca="1" si="159"/>
        <v/>
      </c>
      <c r="L736" s="130" t="str">
        <f t="shared" ca="1" si="160"/>
        <v/>
      </c>
      <c r="M736" s="126">
        <f t="shared" ca="1" si="161"/>
        <v>995</v>
      </c>
      <c r="N736" s="58">
        <f t="shared" ca="1" si="152"/>
        <v>3830000</v>
      </c>
      <c r="O736" s="160">
        <f t="shared" ca="1" si="152"/>
        <v>3650808.1297159381</v>
      </c>
    </row>
    <row r="737" spans="1:15" x14ac:dyDescent="0.25">
      <c r="A737" s="55">
        <f t="shared" ca="1" si="162"/>
        <v>240</v>
      </c>
      <c r="B737" s="55">
        <f t="shared" ca="1" si="153"/>
        <v>26.1</v>
      </c>
      <c r="C737" s="55">
        <f t="shared" ca="1" si="154"/>
        <v>26.099838576827764</v>
      </c>
      <c r="D737" s="55" t="str">
        <f t="shared" ca="1" si="155"/>
        <v>26.100 || 4220000.000</v>
      </c>
      <c r="E737" s="120">
        <f t="shared" ca="1" si="163"/>
        <v>4.3993543073110573</v>
      </c>
      <c r="F737" s="56" t="e">
        <f t="shared" ca="1" si="164"/>
        <v>#N/A</v>
      </c>
      <c r="G737" s="56" t="e">
        <f t="shared" ca="1" si="156"/>
        <v>#N/A</v>
      </c>
      <c r="H737" s="116" t="e">
        <f t="shared" ca="1" si="157"/>
        <v>#N/A</v>
      </c>
      <c r="I737" s="57" t="e">
        <f t="shared" ca="1" si="158"/>
        <v>#N/A</v>
      </c>
      <c r="J737" s="131">
        <f t="shared" ca="1" si="165"/>
        <v>996</v>
      </c>
      <c r="K737" s="122" t="str">
        <f t="shared" ca="1" si="159"/>
        <v/>
      </c>
      <c r="L737" s="130" t="str">
        <f t="shared" ca="1" si="160"/>
        <v/>
      </c>
      <c r="M737" s="126">
        <f t="shared" ca="1" si="161"/>
        <v>995</v>
      </c>
      <c r="N737" s="58">
        <f t="shared" ca="1" si="152"/>
        <v>4219999.9999999991</v>
      </c>
      <c r="O737" s="160">
        <f t="shared" ca="1" si="152"/>
        <v>4020273.6225286941</v>
      </c>
    </row>
    <row r="738" spans="1:15" x14ac:dyDescent="0.25">
      <c r="A738" s="55">
        <f t="shared" ca="1" si="162"/>
        <v>240</v>
      </c>
      <c r="B738" s="55">
        <f t="shared" ca="1" si="153"/>
        <v>26.1</v>
      </c>
      <c r="C738" s="55">
        <f t="shared" ca="1" si="154"/>
        <v>26.099838576827764</v>
      </c>
      <c r="D738" s="55" t="str">
        <f t="shared" ca="1" si="155"/>
        <v>26.100 || 4220000.000</v>
      </c>
      <c r="E738" s="120">
        <f t="shared" ca="1" si="163"/>
        <v>4.3993543073110573</v>
      </c>
      <c r="F738" s="56" t="e">
        <f t="shared" ca="1" si="164"/>
        <v>#N/A</v>
      </c>
      <c r="G738" s="56" t="e">
        <f t="shared" ca="1" si="156"/>
        <v>#N/A</v>
      </c>
      <c r="H738" s="116" t="e">
        <f t="shared" ca="1" si="157"/>
        <v>#N/A</v>
      </c>
      <c r="I738" s="57" t="e">
        <f t="shared" ca="1" si="158"/>
        <v>#N/A</v>
      </c>
      <c r="J738" s="131">
        <f t="shared" ca="1" si="165"/>
        <v>996</v>
      </c>
      <c r="K738" s="122" t="str">
        <f t="shared" ca="1" si="159"/>
        <v/>
      </c>
      <c r="L738" s="130" t="str">
        <f t="shared" ca="1" si="160"/>
        <v/>
      </c>
      <c r="M738" s="126">
        <f t="shared" ca="1" si="161"/>
        <v>995</v>
      </c>
      <c r="N738" s="58">
        <f t="shared" ca="1" si="152"/>
        <v>4219999.9999999991</v>
      </c>
      <c r="O738" s="160">
        <f t="shared" ca="1" si="152"/>
        <v>4020273.6225286941</v>
      </c>
    </row>
    <row r="739" spans="1:15" x14ac:dyDescent="0.25">
      <c r="A739" s="55">
        <f t="shared" ca="1" si="162"/>
        <v>240</v>
      </c>
      <c r="B739" s="55">
        <f t="shared" ca="1" si="153"/>
        <v>26.1</v>
      </c>
      <c r="C739" s="55">
        <f t="shared" ca="1" si="154"/>
        <v>26.099838576827764</v>
      </c>
      <c r="D739" s="55" t="str">
        <f t="shared" ca="1" si="155"/>
        <v>26.100 || 4220000.000</v>
      </c>
      <c r="E739" s="120">
        <f t="shared" ca="1" si="163"/>
        <v>4.3993543073110573</v>
      </c>
      <c r="F739" s="56" t="e">
        <f t="shared" ca="1" si="164"/>
        <v>#N/A</v>
      </c>
      <c r="G739" s="56" t="e">
        <f t="shared" ca="1" si="156"/>
        <v>#N/A</v>
      </c>
      <c r="H739" s="116" t="e">
        <f t="shared" ca="1" si="157"/>
        <v>#N/A</v>
      </c>
      <c r="I739" s="57" t="e">
        <f t="shared" ca="1" si="158"/>
        <v>#N/A</v>
      </c>
      <c r="J739" s="131">
        <f t="shared" ca="1" si="165"/>
        <v>996</v>
      </c>
      <c r="K739" s="122" t="str">
        <f t="shared" ca="1" si="159"/>
        <v/>
      </c>
      <c r="L739" s="130" t="str">
        <f t="shared" ca="1" si="160"/>
        <v/>
      </c>
      <c r="M739" s="126">
        <f t="shared" ca="1" si="161"/>
        <v>995</v>
      </c>
      <c r="N739" s="58">
        <f t="shared" ca="1" si="152"/>
        <v>4219999.9999999991</v>
      </c>
      <c r="O739" s="160">
        <f t="shared" ca="1" si="152"/>
        <v>4020273.6225286941</v>
      </c>
    </row>
    <row r="740" spans="1:15" x14ac:dyDescent="0.25">
      <c r="A740" s="55">
        <f t="shared" ca="1" si="162"/>
        <v>240</v>
      </c>
      <c r="B740" s="55">
        <f t="shared" ca="1" si="153"/>
        <v>26.1</v>
      </c>
      <c r="C740" s="55">
        <f t="shared" ca="1" si="154"/>
        <v>26.099838576827764</v>
      </c>
      <c r="D740" s="55" t="str">
        <f t="shared" ca="1" si="155"/>
        <v>26.100 || 4220000.000</v>
      </c>
      <c r="E740" s="120">
        <f t="shared" ca="1" si="163"/>
        <v>4.3993543073110573</v>
      </c>
      <c r="F740" s="56" t="e">
        <f t="shared" ca="1" si="164"/>
        <v>#N/A</v>
      </c>
      <c r="G740" s="56" t="e">
        <f t="shared" ca="1" si="156"/>
        <v>#N/A</v>
      </c>
      <c r="H740" s="116" t="e">
        <f t="shared" ca="1" si="157"/>
        <v>#N/A</v>
      </c>
      <c r="I740" s="57" t="e">
        <f t="shared" ca="1" si="158"/>
        <v>#N/A</v>
      </c>
      <c r="J740" s="131">
        <f t="shared" ca="1" si="165"/>
        <v>996</v>
      </c>
      <c r="K740" s="122" t="str">
        <f t="shared" ca="1" si="159"/>
        <v/>
      </c>
      <c r="L740" s="130" t="str">
        <f t="shared" ca="1" si="160"/>
        <v/>
      </c>
      <c r="M740" s="126">
        <f t="shared" ca="1" si="161"/>
        <v>995</v>
      </c>
      <c r="N740" s="58">
        <f t="shared" ca="1" si="152"/>
        <v>4219999.9999999991</v>
      </c>
      <c r="O740" s="160">
        <f t="shared" ca="1" si="152"/>
        <v>4020273.6225286941</v>
      </c>
    </row>
    <row r="741" spans="1:15" x14ac:dyDescent="0.25">
      <c r="A741" s="55">
        <f t="shared" ca="1" si="162"/>
        <v>240</v>
      </c>
      <c r="B741" s="55">
        <f t="shared" ca="1" si="153"/>
        <v>26.1</v>
      </c>
      <c r="C741" s="55">
        <f t="shared" ca="1" si="154"/>
        <v>26.099853188325817</v>
      </c>
      <c r="D741" s="55" t="str">
        <f t="shared" ca="1" si="155"/>
        <v>26.100 || 4640000.000</v>
      </c>
      <c r="E741" s="120">
        <f t="shared" ca="1" si="163"/>
        <v>4.3994127533032668</v>
      </c>
      <c r="F741" s="56" t="e">
        <f t="shared" ca="1" si="164"/>
        <v>#N/A</v>
      </c>
      <c r="G741" s="56" t="e">
        <f t="shared" ca="1" si="156"/>
        <v>#N/A</v>
      </c>
      <c r="H741" s="116" t="e">
        <f t="shared" ca="1" si="157"/>
        <v>#N/A</v>
      </c>
      <c r="I741" s="57" t="e">
        <f t="shared" ca="1" si="158"/>
        <v>#N/A</v>
      </c>
      <c r="J741" s="131">
        <f t="shared" ca="1" si="165"/>
        <v>996</v>
      </c>
      <c r="K741" s="122" t="str">
        <f t="shared" ca="1" si="159"/>
        <v/>
      </c>
      <c r="L741" s="130" t="str">
        <f t="shared" ca="1" si="160"/>
        <v/>
      </c>
      <c r="M741" s="126">
        <f t="shared" ca="1" si="161"/>
        <v>995</v>
      </c>
      <c r="N741" s="58">
        <f t="shared" ca="1" si="152"/>
        <v>4640000.0000000009</v>
      </c>
      <c r="O741" s="160">
        <f t="shared" ca="1" si="152"/>
        <v>4425019.7739671189</v>
      </c>
    </row>
    <row r="742" spans="1:15" x14ac:dyDescent="0.25">
      <c r="A742" s="55">
        <f t="shared" ca="1" si="162"/>
        <v>240</v>
      </c>
      <c r="B742" s="55">
        <f t="shared" ca="1" si="153"/>
        <v>26.1</v>
      </c>
      <c r="C742" s="55">
        <f t="shared" ca="1" si="154"/>
        <v>26.099853188325817</v>
      </c>
      <c r="D742" s="55" t="str">
        <f t="shared" ca="1" si="155"/>
        <v>26.100 || 4640000.000</v>
      </c>
      <c r="E742" s="120">
        <f t="shared" ca="1" si="163"/>
        <v>4.3994127533032668</v>
      </c>
      <c r="F742" s="56" t="e">
        <f t="shared" ca="1" si="164"/>
        <v>#N/A</v>
      </c>
      <c r="G742" s="56" t="e">
        <f t="shared" ca="1" si="156"/>
        <v>#N/A</v>
      </c>
      <c r="H742" s="116" t="e">
        <f t="shared" ca="1" si="157"/>
        <v>#N/A</v>
      </c>
      <c r="I742" s="57" t="e">
        <f t="shared" ca="1" si="158"/>
        <v>#N/A</v>
      </c>
      <c r="J742" s="131">
        <f t="shared" ca="1" si="165"/>
        <v>996</v>
      </c>
      <c r="K742" s="122" t="str">
        <f t="shared" ca="1" si="159"/>
        <v/>
      </c>
      <c r="L742" s="130" t="str">
        <f t="shared" ca="1" si="160"/>
        <v/>
      </c>
      <c r="M742" s="126">
        <f t="shared" ca="1" si="161"/>
        <v>995</v>
      </c>
      <c r="N742" s="58">
        <f t="shared" ca="1" si="152"/>
        <v>4640000.0000000009</v>
      </c>
      <c r="O742" s="160">
        <f t="shared" ca="1" si="152"/>
        <v>4425019.7739671189</v>
      </c>
    </row>
    <row r="743" spans="1:15" x14ac:dyDescent="0.25">
      <c r="A743" s="55">
        <f t="shared" ca="1" si="162"/>
        <v>240</v>
      </c>
      <c r="B743" s="55">
        <f t="shared" ca="1" si="153"/>
        <v>26.1</v>
      </c>
      <c r="C743" s="55">
        <f t="shared" ca="1" si="154"/>
        <v>26.099853188325817</v>
      </c>
      <c r="D743" s="55" t="str">
        <f t="shared" ca="1" si="155"/>
        <v>26.100 || 4640000.000</v>
      </c>
      <c r="E743" s="120">
        <f t="shared" ca="1" si="163"/>
        <v>4.3994127533032668</v>
      </c>
      <c r="F743" s="56" t="e">
        <f t="shared" ca="1" si="164"/>
        <v>#N/A</v>
      </c>
      <c r="G743" s="56" t="e">
        <f t="shared" ca="1" si="156"/>
        <v>#N/A</v>
      </c>
      <c r="H743" s="116" t="e">
        <f t="shared" ca="1" si="157"/>
        <v>#N/A</v>
      </c>
      <c r="I743" s="57" t="e">
        <f t="shared" ca="1" si="158"/>
        <v>#N/A</v>
      </c>
      <c r="J743" s="131">
        <f t="shared" ca="1" si="165"/>
        <v>996</v>
      </c>
      <c r="K743" s="122" t="str">
        <f t="shared" ca="1" si="159"/>
        <v/>
      </c>
      <c r="L743" s="130" t="str">
        <f t="shared" ca="1" si="160"/>
        <v/>
      </c>
      <c r="M743" s="126">
        <f t="shared" ca="1" si="161"/>
        <v>995</v>
      </c>
      <c r="N743" s="58">
        <f t="shared" ca="1" si="152"/>
        <v>4640000.0000000009</v>
      </c>
      <c r="O743" s="160">
        <f t="shared" ca="1" si="152"/>
        <v>4425019.7739671189</v>
      </c>
    </row>
    <row r="744" spans="1:15" x14ac:dyDescent="0.25">
      <c r="A744" s="55">
        <f t="shared" ca="1" si="162"/>
        <v>240</v>
      </c>
      <c r="B744" s="55">
        <f t="shared" ca="1" si="153"/>
        <v>26.1</v>
      </c>
      <c r="C744" s="55">
        <f t="shared" ca="1" si="154"/>
        <v>26.099853188325817</v>
      </c>
      <c r="D744" s="55" t="str">
        <f t="shared" ca="1" si="155"/>
        <v>26.100 || 4640000.000</v>
      </c>
      <c r="E744" s="120">
        <f t="shared" ca="1" si="163"/>
        <v>4.3994127533032668</v>
      </c>
      <c r="F744" s="56" t="e">
        <f t="shared" ca="1" si="164"/>
        <v>#N/A</v>
      </c>
      <c r="G744" s="56" t="e">
        <f t="shared" ca="1" si="156"/>
        <v>#N/A</v>
      </c>
      <c r="H744" s="116" t="e">
        <f t="shared" ca="1" si="157"/>
        <v>#N/A</v>
      </c>
      <c r="I744" s="57" t="e">
        <f t="shared" ca="1" si="158"/>
        <v>#N/A</v>
      </c>
      <c r="J744" s="131">
        <f t="shared" ca="1" si="165"/>
        <v>996</v>
      </c>
      <c r="K744" s="122" t="str">
        <f t="shared" ca="1" si="159"/>
        <v/>
      </c>
      <c r="L744" s="130" t="str">
        <f t="shared" ca="1" si="160"/>
        <v/>
      </c>
      <c r="M744" s="126">
        <f t="shared" ca="1" si="161"/>
        <v>995</v>
      </c>
      <c r="N744" s="58">
        <f t="shared" ref="N744:O774" ca="1" si="166">N648*10</f>
        <v>4640000.0000000009</v>
      </c>
      <c r="O744" s="160">
        <f t="shared" ca="1" si="166"/>
        <v>4425019.7739671189</v>
      </c>
    </row>
    <row r="745" spans="1:15" x14ac:dyDescent="0.25">
      <c r="A745" s="55">
        <f t="shared" ca="1" si="162"/>
        <v>240</v>
      </c>
      <c r="B745" s="55">
        <f t="shared" ca="1" si="153"/>
        <v>26.1</v>
      </c>
      <c r="C745" s="55">
        <f t="shared" ca="1" si="154"/>
        <v>26.099866691483239</v>
      </c>
      <c r="D745" s="55" t="str">
        <f t="shared" ca="1" si="155"/>
        <v>26.100 || 5110000.000</v>
      </c>
      <c r="E745" s="120">
        <f t="shared" ca="1" si="163"/>
        <v>4.3994667659329565</v>
      </c>
      <c r="F745" s="56" t="e">
        <f t="shared" ca="1" si="164"/>
        <v>#N/A</v>
      </c>
      <c r="G745" s="56" t="e">
        <f t="shared" ca="1" si="156"/>
        <v>#N/A</v>
      </c>
      <c r="H745" s="116" t="e">
        <f t="shared" ca="1" si="157"/>
        <v>#N/A</v>
      </c>
      <c r="I745" s="57" t="e">
        <f t="shared" ca="1" si="158"/>
        <v>#N/A</v>
      </c>
      <c r="J745" s="131">
        <f t="shared" ca="1" si="165"/>
        <v>996</v>
      </c>
      <c r="K745" s="122" t="str">
        <f t="shared" ca="1" si="159"/>
        <v/>
      </c>
      <c r="L745" s="130" t="str">
        <f t="shared" ca="1" si="160"/>
        <v/>
      </c>
      <c r="M745" s="126">
        <f t="shared" ca="1" si="161"/>
        <v>995</v>
      </c>
      <c r="N745" s="58">
        <f t="shared" ca="1" si="166"/>
        <v>5110000</v>
      </c>
      <c r="O745" s="160">
        <f t="shared" ca="1" si="166"/>
        <v>4869332.6031397767</v>
      </c>
    </row>
    <row r="746" spans="1:15" x14ac:dyDescent="0.25">
      <c r="A746" s="55">
        <f t="shared" ca="1" si="162"/>
        <v>240</v>
      </c>
      <c r="B746" s="55">
        <f t="shared" ca="1" si="153"/>
        <v>26.1</v>
      </c>
      <c r="C746" s="55">
        <f t="shared" ca="1" si="154"/>
        <v>26.099866691483239</v>
      </c>
      <c r="D746" s="55" t="str">
        <f t="shared" ca="1" si="155"/>
        <v>26.100 || 5110000.000</v>
      </c>
      <c r="E746" s="120">
        <f t="shared" ca="1" si="163"/>
        <v>4.3994667659329565</v>
      </c>
      <c r="F746" s="56" t="e">
        <f t="shared" ca="1" si="164"/>
        <v>#N/A</v>
      </c>
      <c r="G746" s="56" t="e">
        <f t="shared" ca="1" si="156"/>
        <v>#N/A</v>
      </c>
      <c r="H746" s="116" t="e">
        <f t="shared" ca="1" si="157"/>
        <v>#N/A</v>
      </c>
      <c r="I746" s="57" t="e">
        <f t="shared" ca="1" si="158"/>
        <v>#N/A</v>
      </c>
      <c r="J746" s="131">
        <f t="shared" ca="1" si="165"/>
        <v>996</v>
      </c>
      <c r="K746" s="122" t="str">
        <f t="shared" ca="1" si="159"/>
        <v/>
      </c>
      <c r="L746" s="130" t="str">
        <f t="shared" ca="1" si="160"/>
        <v/>
      </c>
      <c r="M746" s="126">
        <f t="shared" ca="1" si="161"/>
        <v>995</v>
      </c>
      <c r="N746" s="58">
        <f t="shared" ca="1" si="166"/>
        <v>5110000</v>
      </c>
      <c r="O746" s="160">
        <f t="shared" ca="1" si="166"/>
        <v>4869332.6031397767</v>
      </c>
    </row>
    <row r="747" spans="1:15" x14ac:dyDescent="0.25">
      <c r="A747" s="55">
        <f t="shared" ca="1" si="162"/>
        <v>240</v>
      </c>
      <c r="B747" s="55">
        <f t="shared" ca="1" si="153"/>
        <v>26.1</v>
      </c>
      <c r="C747" s="55">
        <f t="shared" ca="1" si="154"/>
        <v>26.099866691483239</v>
      </c>
      <c r="D747" s="55" t="str">
        <f t="shared" ca="1" si="155"/>
        <v>26.100 || 5110000.000</v>
      </c>
      <c r="E747" s="120">
        <f t="shared" ca="1" si="163"/>
        <v>4.3994667659329565</v>
      </c>
      <c r="F747" s="56" t="e">
        <f t="shared" ca="1" si="164"/>
        <v>#N/A</v>
      </c>
      <c r="G747" s="56" t="e">
        <f t="shared" ca="1" si="156"/>
        <v>#N/A</v>
      </c>
      <c r="H747" s="116" t="e">
        <f t="shared" ca="1" si="157"/>
        <v>#N/A</v>
      </c>
      <c r="I747" s="57" t="e">
        <f t="shared" ca="1" si="158"/>
        <v>#N/A</v>
      </c>
      <c r="J747" s="131">
        <f t="shared" ca="1" si="165"/>
        <v>996</v>
      </c>
      <c r="K747" s="122" t="str">
        <f t="shared" ca="1" si="159"/>
        <v/>
      </c>
      <c r="L747" s="130" t="str">
        <f t="shared" ca="1" si="160"/>
        <v/>
      </c>
      <c r="M747" s="126">
        <f t="shared" ca="1" si="161"/>
        <v>995</v>
      </c>
      <c r="N747" s="58">
        <f t="shared" ca="1" si="166"/>
        <v>5110000</v>
      </c>
      <c r="O747" s="160">
        <f t="shared" ca="1" si="166"/>
        <v>4869332.6031397767</v>
      </c>
    </row>
    <row r="748" spans="1:15" x14ac:dyDescent="0.25">
      <c r="A748" s="55">
        <f t="shared" ca="1" si="162"/>
        <v>240</v>
      </c>
      <c r="B748" s="55">
        <f t="shared" ca="1" si="153"/>
        <v>26.1</v>
      </c>
      <c r="C748" s="55">
        <f t="shared" ca="1" si="154"/>
        <v>26.099866691483239</v>
      </c>
      <c r="D748" s="55" t="str">
        <f t="shared" ca="1" si="155"/>
        <v>26.100 || 5110000.000</v>
      </c>
      <c r="E748" s="120">
        <f t="shared" ca="1" si="163"/>
        <v>4.3994667659329565</v>
      </c>
      <c r="F748" s="56" t="e">
        <f t="shared" ca="1" si="164"/>
        <v>#N/A</v>
      </c>
      <c r="G748" s="56" t="e">
        <f t="shared" ca="1" si="156"/>
        <v>#N/A</v>
      </c>
      <c r="H748" s="116" t="e">
        <f t="shared" ca="1" si="157"/>
        <v>#N/A</v>
      </c>
      <c r="I748" s="57" t="e">
        <f t="shared" ca="1" si="158"/>
        <v>#N/A</v>
      </c>
      <c r="J748" s="131">
        <f t="shared" ca="1" si="165"/>
        <v>996</v>
      </c>
      <c r="K748" s="122" t="str">
        <f t="shared" ca="1" si="159"/>
        <v/>
      </c>
      <c r="L748" s="130" t="str">
        <f t="shared" ca="1" si="160"/>
        <v/>
      </c>
      <c r="M748" s="126">
        <f t="shared" ca="1" si="161"/>
        <v>995</v>
      </c>
      <c r="N748" s="58">
        <f t="shared" ca="1" si="166"/>
        <v>5110000</v>
      </c>
      <c r="O748" s="160">
        <f t="shared" ca="1" si="166"/>
        <v>4869332.6031397767</v>
      </c>
    </row>
    <row r="749" spans="1:15" x14ac:dyDescent="0.25">
      <c r="A749" s="55">
        <f t="shared" ca="1" si="162"/>
        <v>240</v>
      </c>
      <c r="B749" s="55">
        <f t="shared" ca="1" si="153"/>
        <v>26.1</v>
      </c>
      <c r="C749" s="55">
        <f t="shared" ca="1" si="154"/>
        <v>26.099878788819147</v>
      </c>
      <c r="D749" s="55" t="str">
        <f t="shared" ca="1" si="155"/>
        <v>26.100 || 5620000.000</v>
      </c>
      <c r="E749" s="120">
        <f t="shared" ca="1" si="163"/>
        <v>4.399515155276589</v>
      </c>
      <c r="F749" s="56" t="e">
        <f t="shared" ca="1" si="164"/>
        <v>#N/A</v>
      </c>
      <c r="G749" s="56" t="e">
        <f t="shared" ca="1" si="156"/>
        <v>#N/A</v>
      </c>
      <c r="H749" s="116" t="e">
        <f t="shared" ca="1" si="157"/>
        <v>#N/A</v>
      </c>
      <c r="I749" s="57" t="e">
        <f t="shared" ca="1" si="158"/>
        <v>#N/A</v>
      </c>
      <c r="J749" s="131">
        <f t="shared" ca="1" si="165"/>
        <v>996</v>
      </c>
      <c r="K749" s="122" t="str">
        <f t="shared" ca="1" si="159"/>
        <v/>
      </c>
      <c r="L749" s="130" t="str">
        <f t="shared" ca="1" si="160"/>
        <v/>
      </c>
      <c r="M749" s="126">
        <f t="shared" ca="1" si="161"/>
        <v>995</v>
      </c>
      <c r="N749" s="58">
        <f t="shared" ca="1" si="166"/>
        <v>5620000.0000000009</v>
      </c>
      <c r="O749" s="160">
        <f t="shared" ca="1" si="166"/>
        <v>5358936.4616498295</v>
      </c>
    </row>
    <row r="750" spans="1:15" x14ac:dyDescent="0.25">
      <c r="A750" s="55">
        <f t="shared" ca="1" si="162"/>
        <v>240</v>
      </c>
      <c r="B750" s="55">
        <f t="shared" ca="1" si="153"/>
        <v>26.1</v>
      </c>
      <c r="C750" s="55">
        <f t="shared" ca="1" si="154"/>
        <v>26.099878788819147</v>
      </c>
      <c r="D750" s="55" t="str">
        <f t="shared" ca="1" si="155"/>
        <v>26.100 || 5620000.000</v>
      </c>
      <c r="E750" s="120">
        <f t="shared" ca="1" si="163"/>
        <v>4.399515155276589</v>
      </c>
      <c r="F750" s="56" t="e">
        <f t="shared" ca="1" si="164"/>
        <v>#N/A</v>
      </c>
      <c r="G750" s="56" t="e">
        <f t="shared" ca="1" si="156"/>
        <v>#N/A</v>
      </c>
      <c r="H750" s="116" t="e">
        <f t="shared" ca="1" si="157"/>
        <v>#N/A</v>
      </c>
      <c r="I750" s="57" t="e">
        <f t="shared" ca="1" si="158"/>
        <v>#N/A</v>
      </c>
      <c r="J750" s="131">
        <f t="shared" ca="1" si="165"/>
        <v>996</v>
      </c>
      <c r="K750" s="122" t="str">
        <f t="shared" ca="1" si="159"/>
        <v/>
      </c>
      <c r="L750" s="130" t="str">
        <f t="shared" ca="1" si="160"/>
        <v/>
      </c>
      <c r="M750" s="126">
        <f t="shared" ca="1" si="161"/>
        <v>995</v>
      </c>
      <c r="N750" s="58">
        <f t="shared" ca="1" si="166"/>
        <v>5620000.0000000009</v>
      </c>
      <c r="O750" s="160">
        <f t="shared" ca="1" si="166"/>
        <v>5358936.4616498295</v>
      </c>
    </row>
    <row r="751" spans="1:15" x14ac:dyDescent="0.25">
      <c r="A751" s="55">
        <f t="shared" ca="1" si="162"/>
        <v>240</v>
      </c>
      <c r="B751" s="55">
        <f t="shared" ca="1" si="153"/>
        <v>26.1</v>
      </c>
      <c r="C751" s="55">
        <f t="shared" ca="1" si="154"/>
        <v>26.099878788819147</v>
      </c>
      <c r="D751" s="55" t="str">
        <f t="shared" ca="1" si="155"/>
        <v>26.100 || 5620000.000</v>
      </c>
      <c r="E751" s="120">
        <f t="shared" ca="1" si="163"/>
        <v>4.399515155276589</v>
      </c>
      <c r="F751" s="56" t="e">
        <f t="shared" ca="1" si="164"/>
        <v>#N/A</v>
      </c>
      <c r="G751" s="56" t="e">
        <f t="shared" ca="1" si="156"/>
        <v>#N/A</v>
      </c>
      <c r="H751" s="116" t="e">
        <f t="shared" ca="1" si="157"/>
        <v>#N/A</v>
      </c>
      <c r="I751" s="57" t="e">
        <f t="shared" ca="1" si="158"/>
        <v>#N/A</v>
      </c>
      <c r="J751" s="131">
        <f t="shared" ca="1" si="165"/>
        <v>996</v>
      </c>
      <c r="K751" s="122" t="str">
        <f t="shared" ca="1" si="159"/>
        <v/>
      </c>
      <c r="L751" s="130" t="str">
        <f t="shared" ca="1" si="160"/>
        <v/>
      </c>
      <c r="M751" s="126">
        <f t="shared" ca="1" si="161"/>
        <v>995</v>
      </c>
      <c r="N751" s="58">
        <f t="shared" ca="1" si="166"/>
        <v>5620000.0000000009</v>
      </c>
      <c r="O751" s="160">
        <f t="shared" ca="1" si="166"/>
        <v>5358936.4616498295</v>
      </c>
    </row>
    <row r="752" spans="1:15" x14ac:dyDescent="0.25">
      <c r="A752" s="55">
        <f t="shared" ca="1" si="162"/>
        <v>240</v>
      </c>
      <c r="B752" s="55">
        <f t="shared" ca="1" si="153"/>
        <v>26.1</v>
      </c>
      <c r="C752" s="55">
        <f t="shared" ca="1" si="154"/>
        <v>26.099878788819147</v>
      </c>
      <c r="D752" s="55" t="str">
        <f t="shared" ca="1" si="155"/>
        <v>26.100 || 5620000.000</v>
      </c>
      <c r="E752" s="120">
        <f t="shared" ca="1" si="163"/>
        <v>4.399515155276589</v>
      </c>
      <c r="F752" s="56" t="e">
        <f t="shared" ca="1" si="164"/>
        <v>#N/A</v>
      </c>
      <c r="G752" s="56" t="e">
        <f t="shared" ca="1" si="156"/>
        <v>#N/A</v>
      </c>
      <c r="H752" s="116" t="e">
        <f t="shared" ca="1" si="157"/>
        <v>#N/A</v>
      </c>
      <c r="I752" s="57" t="e">
        <f t="shared" ca="1" si="158"/>
        <v>#N/A</v>
      </c>
      <c r="J752" s="131">
        <f t="shared" ca="1" si="165"/>
        <v>996</v>
      </c>
      <c r="K752" s="122" t="str">
        <f t="shared" ca="1" si="159"/>
        <v/>
      </c>
      <c r="L752" s="130" t="str">
        <f t="shared" ca="1" si="160"/>
        <v/>
      </c>
      <c r="M752" s="126">
        <f t="shared" ca="1" si="161"/>
        <v>995</v>
      </c>
      <c r="N752" s="58">
        <f t="shared" ca="1" si="166"/>
        <v>5620000.0000000009</v>
      </c>
      <c r="O752" s="160">
        <f t="shared" ca="1" si="166"/>
        <v>5358936.4616498295</v>
      </c>
    </row>
    <row r="753" spans="1:15" x14ac:dyDescent="0.25">
      <c r="A753" s="55">
        <f t="shared" ca="1" si="162"/>
        <v>240</v>
      </c>
      <c r="B753" s="55">
        <f t="shared" ca="1" si="153"/>
        <v>26.1</v>
      </c>
      <c r="C753" s="55">
        <f t="shared" ca="1" si="154"/>
        <v>26.09988995038325</v>
      </c>
      <c r="D753" s="55" t="str">
        <f t="shared" ca="1" si="155"/>
        <v>26.100 || 6190000.000</v>
      </c>
      <c r="E753" s="120">
        <f t="shared" ca="1" si="163"/>
        <v>4.3995598015330017</v>
      </c>
      <c r="F753" s="56" t="e">
        <f t="shared" ca="1" si="164"/>
        <v>#N/A</v>
      </c>
      <c r="G753" s="56" t="e">
        <f t="shared" ca="1" si="156"/>
        <v>#N/A</v>
      </c>
      <c r="H753" s="116" t="e">
        <f t="shared" ca="1" si="157"/>
        <v>#N/A</v>
      </c>
      <c r="I753" s="57" t="e">
        <f t="shared" ca="1" si="158"/>
        <v>#N/A</v>
      </c>
      <c r="J753" s="131">
        <f t="shared" ca="1" si="165"/>
        <v>996</v>
      </c>
      <c r="K753" s="122" t="str">
        <f t="shared" ca="1" si="159"/>
        <v/>
      </c>
      <c r="L753" s="130" t="str">
        <f t="shared" ca="1" si="160"/>
        <v/>
      </c>
      <c r="M753" s="126">
        <f t="shared" ca="1" si="161"/>
        <v>995</v>
      </c>
      <c r="N753" s="58">
        <f t="shared" ca="1" si="166"/>
        <v>6189999.9999999991</v>
      </c>
      <c r="O753" s="160">
        <f t="shared" ca="1" si="166"/>
        <v>5898118.3440144695</v>
      </c>
    </row>
    <row r="754" spans="1:15" x14ac:dyDescent="0.25">
      <c r="A754" s="55">
        <f t="shared" ca="1" si="162"/>
        <v>240</v>
      </c>
      <c r="B754" s="55">
        <f t="shared" ca="1" si="153"/>
        <v>26.1</v>
      </c>
      <c r="C754" s="55">
        <f t="shared" ca="1" si="154"/>
        <v>26.09988995038325</v>
      </c>
      <c r="D754" s="55" t="str">
        <f t="shared" ca="1" si="155"/>
        <v>26.100 || 6190000.000</v>
      </c>
      <c r="E754" s="120">
        <f t="shared" ca="1" si="163"/>
        <v>4.3995598015330017</v>
      </c>
      <c r="F754" s="56" t="e">
        <f t="shared" ca="1" si="164"/>
        <v>#N/A</v>
      </c>
      <c r="G754" s="56" t="e">
        <f t="shared" ca="1" si="156"/>
        <v>#N/A</v>
      </c>
      <c r="H754" s="116" t="e">
        <f t="shared" ca="1" si="157"/>
        <v>#N/A</v>
      </c>
      <c r="I754" s="57" t="e">
        <f t="shared" ca="1" si="158"/>
        <v>#N/A</v>
      </c>
      <c r="J754" s="131">
        <f t="shared" ca="1" si="165"/>
        <v>996</v>
      </c>
      <c r="K754" s="122" t="str">
        <f t="shared" ca="1" si="159"/>
        <v/>
      </c>
      <c r="L754" s="130" t="str">
        <f t="shared" ca="1" si="160"/>
        <v/>
      </c>
      <c r="M754" s="126">
        <f t="shared" ca="1" si="161"/>
        <v>995</v>
      </c>
      <c r="N754" s="58">
        <f t="shared" ca="1" si="166"/>
        <v>6189999.9999999991</v>
      </c>
      <c r="O754" s="160">
        <f t="shared" ca="1" si="166"/>
        <v>5898118.3440144695</v>
      </c>
    </row>
    <row r="755" spans="1:15" x14ac:dyDescent="0.25">
      <c r="A755" s="55">
        <f t="shared" ca="1" si="162"/>
        <v>240</v>
      </c>
      <c r="B755" s="55">
        <f t="shared" ca="1" si="153"/>
        <v>26.1</v>
      </c>
      <c r="C755" s="55">
        <f t="shared" ca="1" si="154"/>
        <v>26.09988995038325</v>
      </c>
      <c r="D755" s="55" t="str">
        <f t="shared" ca="1" si="155"/>
        <v>26.100 || 6190000.000</v>
      </c>
      <c r="E755" s="120">
        <f t="shared" ca="1" si="163"/>
        <v>4.3995598015330017</v>
      </c>
      <c r="F755" s="56" t="e">
        <f t="shared" ca="1" si="164"/>
        <v>#N/A</v>
      </c>
      <c r="G755" s="56" t="e">
        <f t="shared" ca="1" si="156"/>
        <v>#N/A</v>
      </c>
      <c r="H755" s="116" t="e">
        <f t="shared" ca="1" si="157"/>
        <v>#N/A</v>
      </c>
      <c r="I755" s="57" t="e">
        <f t="shared" ca="1" si="158"/>
        <v>#N/A</v>
      </c>
      <c r="J755" s="131">
        <f t="shared" ca="1" si="165"/>
        <v>996</v>
      </c>
      <c r="K755" s="122" t="str">
        <f t="shared" ca="1" si="159"/>
        <v/>
      </c>
      <c r="L755" s="130" t="str">
        <f t="shared" ca="1" si="160"/>
        <v/>
      </c>
      <c r="M755" s="126">
        <f t="shared" ca="1" si="161"/>
        <v>995</v>
      </c>
      <c r="N755" s="58">
        <f t="shared" ca="1" si="166"/>
        <v>6189999.9999999991</v>
      </c>
      <c r="O755" s="160">
        <f t="shared" ca="1" si="166"/>
        <v>5898118.3440144695</v>
      </c>
    </row>
    <row r="756" spans="1:15" x14ac:dyDescent="0.25">
      <c r="A756" s="55">
        <f t="shared" ca="1" si="162"/>
        <v>240</v>
      </c>
      <c r="B756" s="55">
        <f t="shared" ca="1" si="153"/>
        <v>26.1</v>
      </c>
      <c r="C756" s="55">
        <f t="shared" ca="1" si="154"/>
        <v>26.09988995038325</v>
      </c>
      <c r="D756" s="55" t="str">
        <f t="shared" ca="1" si="155"/>
        <v>26.100 || 6190000.000</v>
      </c>
      <c r="E756" s="120">
        <f t="shared" ca="1" si="163"/>
        <v>4.3995598015330017</v>
      </c>
      <c r="F756" s="56" t="e">
        <f t="shared" ca="1" si="164"/>
        <v>#N/A</v>
      </c>
      <c r="G756" s="56" t="e">
        <f t="shared" ca="1" si="156"/>
        <v>#N/A</v>
      </c>
      <c r="H756" s="116" t="e">
        <f t="shared" ca="1" si="157"/>
        <v>#N/A</v>
      </c>
      <c r="I756" s="57" t="e">
        <f t="shared" ca="1" si="158"/>
        <v>#N/A</v>
      </c>
      <c r="J756" s="131">
        <f t="shared" ca="1" si="165"/>
        <v>996</v>
      </c>
      <c r="K756" s="122" t="str">
        <f t="shared" ca="1" si="159"/>
        <v/>
      </c>
      <c r="L756" s="130" t="str">
        <f t="shared" ca="1" si="160"/>
        <v/>
      </c>
      <c r="M756" s="126">
        <f t="shared" ca="1" si="161"/>
        <v>995</v>
      </c>
      <c r="N756" s="58">
        <f t="shared" ca="1" si="166"/>
        <v>6189999.9999999991</v>
      </c>
      <c r="O756" s="160">
        <f t="shared" ca="1" si="166"/>
        <v>5898118.3440144695</v>
      </c>
    </row>
    <row r="757" spans="1:15" x14ac:dyDescent="0.25">
      <c r="A757" s="55">
        <f t="shared" ca="1" si="162"/>
        <v>240</v>
      </c>
      <c r="B757" s="55">
        <f t="shared" ca="1" si="153"/>
        <v>26.1</v>
      </c>
      <c r="C757" s="55">
        <f t="shared" ca="1" si="154"/>
        <v>26.099899969546374</v>
      </c>
      <c r="D757" s="55" t="str">
        <f t="shared" ca="1" si="155"/>
        <v>26.100 || 6810000.000</v>
      </c>
      <c r="E757" s="120">
        <f t="shared" ca="1" si="163"/>
        <v>4.3995998781854979</v>
      </c>
      <c r="F757" s="56" t="e">
        <f t="shared" ca="1" si="164"/>
        <v>#N/A</v>
      </c>
      <c r="G757" s="56" t="e">
        <f t="shared" ca="1" si="156"/>
        <v>#N/A</v>
      </c>
      <c r="H757" s="116" t="e">
        <f t="shared" ca="1" si="157"/>
        <v>#N/A</v>
      </c>
      <c r="I757" s="57" t="e">
        <f t="shared" ca="1" si="158"/>
        <v>#N/A</v>
      </c>
      <c r="J757" s="131">
        <f t="shared" ca="1" si="165"/>
        <v>996</v>
      </c>
      <c r="K757" s="122" t="str">
        <f t="shared" ca="1" si="159"/>
        <v/>
      </c>
      <c r="L757" s="130" t="str">
        <f t="shared" ca="1" si="160"/>
        <v/>
      </c>
      <c r="M757" s="126">
        <f t="shared" ca="1" si="161"/>
        <v>995</v>
      </c>
      <c r="N757" s="58">
        <f t="shared" ca="1" si="166"/>
        <v>6810000.0000000009</v>
      </c>
      <c r="O757" s="160">
        <f t="shared" ca="1" si="166"/>
        <v>6492603.4839654267</v>
      </c>
    </row>
    <row r="758" spans="1:15" x14ac:dyDescent="0.25">
      <c r="A758" s="55">
        <f t="shared" ca="1" si="162"/>
        <v>240</v>
      </c>
      <c r="B758" s="55">
        <f t="shared" ca="1" si="153"/>
        <v>26.1</v>
      </c>
      <c r="C758" s="55">
        <f t="shared" ca="1" si="154"/>
        <v>26.099899969546374</v>
      </c>
      <c r="D758" s="55" t="str">
        <f t="shared" ca="1" si="155"/>
        <v>26.100 || 6810000.000</v>
      </c>
      <c r="E758" s="120">
        <f t="shared" ca="1" si="163"/>
        <v>4.3995998781854979</v>
      </c>
      <c r="F758" s="56" t="e">
        <f t="shared" ca="1" si="164"/>
        <v>#N/A</v>
      </c>
      <c r="G758" s="56" t="e">
        <f t="shared" ca="1" si="156"/>
        <v>#N/A</v>
      </c>
      <c r="H758" s="116" t="e">
        <f t="shared" ca="1" si="157"/>
        <v>#N/A</v>
      </c>
      <c r="I758" s="57" t="e">
        <f t="shared" ca="1" si="158"/>
        <v>#N/A</v>
      </c>
      <c r="J758" s="131">
        <f t="shared" ca="1" si="165"/>
        <v>996</v>
      </c>
      <c r="K758" s="122" t="str">
        <f t="shared" ca="1" si="159"/>
        <v/>
      </c>
      <c r="L758" s="130" t="str">
        <f t="shared" ca="1" si="160"/>
        <v/>
      </c>
      <c r="M758" s="126">
        <f t="shared" ca="1" si="161"/>
        <v>995</v>
      </c>
      <c r="N758" s="58">
        <f t="shared" ca="1" si="166"/>
        <v>6810000.0000000009</v>
      </c>
      <c r="O758" s="160">
        <f t="shared" ca="1" si="166"/>
        <v>6492603.4839654267</v>
      </c>
    </row>
    <row r="759" spans="1:15" x14ac:dyDescent="0.25">
      <c r="A759" s="55">
        <f t="shared" ca="1" si="162"/>
        <v>240</v>
      </c>
      <c r="B759" s="55">
        <f t="shared" ca="1" si="153"/>
        <v>26.1</v>
      </c>
      <c r="C759" s="55">
        <f t="shared" ca="1" si="154"/>
        <v>26.099899969546374</v>
      </c>
      <c r="D759" s="55" t="str">
        <f t="shared" ca="1" si="155"/>
        <v>26.100 || 6810000.000</v>
      </c>
      <c r="E759" s="120">
        <f t="shared" ca="1" si="163"/>
        <v>4.3995998781854979</v>
      </c>
      <c r="F759" s="56" t="e">
        <f t="shared" ca="1" si="164"/>
        <v>#N/A</v>
      </c>
      <c r="G759" s="56" t="e">
        <f t="shared" ca="1" si="156"/>
        <v>#N/A</v>
      </c>
      <c r="H759" s="116" t="e">
        <f t="shared" ca="1" si="157"/>
        <v>#N/A</v>
      </c>
      <c r="I759" s="57" t="e">
        <f t="shared" ca="1" si="158"/>
        <v>#N/A</v>
      </c>
      <c r="J759" s="131">
        <f t="shared" ca="1" si="165"/>
        <v>996</v>
      </c>
      <c r="K759" s="122" t="str">
        <f t="shared" ca="1" si="159"/>
        <v/>
      </c>
      <c r="L759" s="130" t="str">
        <f t="shared" ca="1" si="160"/>
        <v/>
      </c>
      <c r="M759" s="126">
        <f t="shared" ca="1" si="161"/>
        <v>995</v>
      </c>
      <c r="N759" s="58">
        <f t="shared" ca="1" si="166"/>
        <v>6810000.0000000009</v>
      </c>
      <c r="O759" s="160">
        <f t="shared" ca="1" si="166"/>
        <v>6492603.4839654267</v>
      </c>
    </row>
    <row r="760" spans="1:15" x14ac:dyDescent="0.25">
      <c r="A760" s="55">
        <f t="shared" ca="1" si="162"/>
        <v>240</v>
      </c>
      <c r="B760" s="55">
        <f t="shared" ca="1" si="153"/>
        <v>26.1</v>
      </c>
      <c r="C760" s="55">
        <f t="shared" ca="1" si="154"/>
        <v>26.099899969546374</v>
      </c>
      <c r="D760" s="55" t="str">
        <f t="shared" ca="1" si="155"/>
        <v>26.100 || 6810000.000</v>
      </c>
      <c r="E760" s="120">
        <f t="shared" ca="1" si="163"/>
        <v>4.3995998781854979</v>
      </c>
      <c r="F760" s="56" t="e">
        <f t="shared" ca="1" si="164"/>
        <v>#N/A</v>
      </c>
      <c r="G760" s="56" t="e">
        <f t="shared" ca="1" si="156"/>
        <v>#N/A</v>
      </c>
      <c r="H760" s="116" t="e">
        <f t="shared" ca="1" si="157"/>
        <v>#N/A</v>
      </c>
      <c r="I760" s="57" t="e">
        <f t="shared" ca="1" si="158"/>
        <v>#N/A</v>
      </c>
      <c r="J760" s="131">
        <f t="shared" ca="1" si="165"/>
        <v>996</v>
      </c>
      <c r="K760" s="122" t="str">
        <f t="shared" ca="1" si="159"/>
        <v/>
      </c>
      <c r="L760" s="130" t="str">
        <f t="shared" ca="1" si="160"/>
        <v/>
      </c>
      <c r="M760" s="126">
        <f t="shared" ca="1" si="161"/>
        <v>995</v>
      </c>
      <c r="N760" s="58">
        <f t="shared" ca="1" si="166"/>
        <v>6810000.0000000009</v>
      </c>
      <c r="O760" s="160">
        <f t="shared" ca="1" si="166"/>
        <v>6492603.4839654267</v>
      </c>
    </row>
    <row r="761" spans="1:15" x14ac:dyDescent="0.25">
      <c r="A761" s="55">
        <f t="shared" ca="1" si="162"/>
        <v>240</v>
      </c>
      <c r="B761" s="55">
        <f t="shared" ca="1" si="153"/>
        <v>26.1</v>
      </c>
      <c r="C761" s="55">
        <f t="shared" ca="1" si="154"/>
        <v>26.099909172316082</v>
      </c>
      <c r="D761" s="55" t="str">
        <f t="shared" ca="1" si="155"/>
        <v>26.100 || 7500000.000</v>
      </c>
      <c r="E761" s="120">
        <f t="shared" ca="1" si="163"/>
        <v>4.3996366892643266</v>
      </c>
      <c r="F761" s="56" t="e">
        <f t="shared" ca="1" si="164"/>
        <v>#N/A</v>
      </c>
      <c r="G761" s="56" t="e">
        <f t="shared" ca="1" si="156"/>
        <v>#N/A</v>
      </c>
      <c r="H761" s="116" t="e">
        <f t="shared" ca="1" si="157"/>
        <v>#N/A</v>
      </c>
      <c r="I761" s="57" t="e">
        <f t="shared" ca="1" si="158"/>
        <v>#N/A</v>
      </c>
      <c r="J761" s="131">
        <f t="shared" ca="1" si="165"/>
        <v>996</v>
      </c>
      <c r="K761" s="122" t="str">
        <f t="shared" ca="1" si="159"/>
        <v/>
      </c>
      <c r="L761" s="130" t="str">
        <f t="shared" ca="1" si="160"/>
        <v/>
      </c>
      <c r="M761" s="126">
        <f t="shared" ca="1" si="161"/>
        <v>995</v>
      </c>
      <c r="N761" s="58">
        <f t="shared" ca="1" si="166"/>
        <v>7500000</v>
      </c>
      <c r="O761" s="160">
        <f t="shared" ca="1" si="166"/>
        <v>7146677.5497429585</v>
      </c>
    </row>
    <row r="762" spans="1:15" x14ac:dyDescent="0.25">
      <c r="A762" s="55">
        <f t="shared" ca="1" si="162"/>
        <v>240</v>
      </c>
      <c r="B762" s="55">
        <f t="shared" ca="1" si="153"/>
        <v>26.1</v>
      </c>
      <c r="C762" s="55">
        <f t="shared" ca="1" si="154"/>
        <v>26.099909172316082</v>
      </c>
      <c r="D762" s="55" t="str">
        <f t="shared" ca="1" si="155"/>
        <v>26.100 || 7500000.000</v>
      </c>
      <c r="E762" s="120">
        <f t="shared" ca="1" si="163"/>
        <v>4.3996366892643266</v>
      </c>
      <c r="F762" s="56" t="e">
        <f t="shared" ca="1" si="164"/>
        <v>#N/A</v>
      </c>
      <c r="G762" s="56" t="e">
        <f t="shared" ca="1" si="156"/>
        <v>#N/A</v>
      </c>
      <c r="H762" s="116" t="e">
        <f t="shared" ca="1" si="157"/>
        <v>#N/A</v>
      </c>
      <c r="I762" s="57" t="e">
        <f t="shared" ca="1" si="158"/>
        <v>#N/A</v>
      </c>
      <c r="J762" s="131">
        <f t="shared" ca="1" si="165"/>
        <v>996</v>
      </c>
      <c r="K762" s="122" t="str">
        <f t="shared" ca="1" si="159"/>
        <v/>
      </c>
      <c r="L762" s="130" t="str">
        <f t="shared" ca="1" si="160"/>
        <v/>
      </c>
      <c r="M762" s="126">
        <f t="shared" ca="1" si="161"/>
        <v>995</v>
      </c>
      <c r="N762" s="58">
        <f t="shared" ca="1" si="166"/>
        <v>7500000</v>
      </c>
      <c r="O762" s="160">
        <f t="shared" ca="1" si="166"/>
        <v>7146677.5497429585</v>
      </c>
    </row>
    <row r="763" spans="1:15" x14ac:dyDescent="0.25">
      <c r="A763" s="55">
        <f t="shared" ca="1" si="162"/>
        <v>240</v>
      </c>
      <c r="B763" s="55">
        <f t="shared" ca="1" si="153"/>
        <v>26.1</v>
      </c>
      <c r="C763" s="55">
        <f t="shared" ca="1" si="154"/>
        <v>26.099909172316082</v>
      </c>
      <c r="D763" s="55" t="str">
        <f t="shared" ca="1" si="155"/>
        <v>26.100 || 7500000.000</v>
      </c>
      <c r="E763" s="120">
        <f t="shared" ca="1" si="163"/>
        <v>4.3996366892643266</v>
      </c>
      <c r="F763" s="56" t="e">
        <f t="shared" ca="1" si="164"/>
        <v>#N/A</v>
      </c>
      <c r="G763" s="56" t="e">
        <f t="shared" ca="1" si="156"/>
        <v>#N/A</v>
      </c>
      <c r="H763" s="116" t="e">
        <f t="shared" ca="1" si="157"/>
        <v>#N/A</v>
      </c>
      <c r="I763" s="57" t="e">
        <f t="shared" ca="1" si="158"/>
        <v>#N/A</v>
      </c>
      <c r="J763" s="131">
        <f t="shared" ca="1" si="165"/>
        <v>996</v>
      </c>
      <c r="K763" s="122" t="str">
        <f t="shared" ca="1" si="159"/>
        <v/>
      </c>
      <c r="L763" s="130" t="str">
        <f t="shared" ca="1" si="160"/>
        <v/>
      </c>
      <c r="M763" s="126">
        <f t="shared" ca="1" si="161"/>
        <v>995</v>
      </c>
      <c r="N763" s="58">
        <f t="shared" ca="1" si="166"/>
        <v>7500000</v>
      </c>
      <c r="O763" s="160">
        <f t="shared" ca="1" si="166"/>
        <v>7146677.5497429585</v>
      </c>
    </row>
    <row r="764" spans="1:15" x14ac:dyDescent="0.25">
      <c r="A764" s="55">
        <f t="shared" ca="1" si="162"/>
        <v>240</v>
      </c>
      <c r="B764" s="55">
        <f t="shared" ca="1" si="153"/>
        <v>26.1</v>
      </c>
      <c r="C764" s="55">
        <f t="shared" ca="1" si="154"/>
        <v>26.099909172316082</v>
      </c>
      <c r="D764" s="55" t="str">
        <f t="shared" ca="1" si="155"/>
        <v>26.100 || 7500000.000</v>
      </c>
      <c r="E764" s="120">
        <f t="shared" ca="1" si="163"/>
        <v>4.3996366892643266</v>
      </c>
      <c r="F764" s="56" t="e">
        <f t="shared" ca="1" si="164"/>
        <v>#N/A</v>
      </c>
      <c r="G764" s="56" t="e">
        <f t="shared" ca="1" si="156"/>
        <v>#N/A</v>
      </c>
      <c r="H764" s="116" t="e">
        <f t="shared" ca="1" si="157"/>
        <v>#N/A</v>
      </c>
      <c r="I764" s="57" t="e">
        <f t="shared" ca="1" si="158"/>
        <v>#N/A</v>
      </c>
      <c r="J764" s="131">
        <f t="shared" ca="1" si="165"/>
        <v>996</v>
      </c>
      <c r="K764" s="122" t="str">
        <f t="shared" ca="1" si="159"/>
        <v/>
      </c>
      <c r="L764" s="130" t="str">
        <f t="shared" ca="1" si="160"/>
        <v/>
      </c>
      <c r="M764" s="126">
        <f t="shared" ca="1" si="161"/>
        <v>995</v>
      </c>
      <c r="N764" s="58">
        <f t="shared" ca="1" si="166"/>
        <v>7500000</v>
      </c>
      <c r="O764" s="160">
        <f t="shared" ca="1" si="166"/>
        <v>7146677.5497429585</v>
      </c>
    </row>
    <row r="765" spans="1:15" x14ac:dyDescent="0.25">
      <c r="A765" s="55">
        <f t="shared" ca="1" si="162"/>
        <v>240</v>
      </c>
      <c r="B765" s="55">
        <f t="shared" ca="1" si="153"/>
        <v>26.1</v>
      </c>
      <c r="C765" s="55">
        <f t="shared" ca="1" si="154"/>
        <v>26.099917429352132</v>
      </c>
      <c r="D765" s="55" t="str">
        <f t="shared" ca="1" si="155"/>
        <v>26.100 || 8250000.000</v>
      </c>
      <c r="E765" s="120">
        <f t="shared" ca="1" si="163"/>
        <v>4.3996697174085284</v>
      </c>
      <c r="F765" s="56" t="e">
        <f t="shared" ca="1" si="164"/>
        <v>#N/A</v>
      </c>
      <c r="G765" s="56" t="e">
        <f t="shared" ca="1" si="156"/>
        <v>#N/A</v>
      </c>
      <c r="H765" s="116" t="e">
        <f t="shared" ca="1" si="157"/>
        <v>#N/A</v>
      </c>
      <c r="I765" s="57" t="e">
        <f t="shared" ca="1" si="158"/>
        <v>#N/A</v>
      </c>
      <c r="J765" s="131">
        <f t="shared" ca="1" si="165"/>
        <v>996</v>
      </c>
      <c r="K765" s="122" t="str">
        <f t="shared" ca="1" si="159"/>
        <v/>
      </c>
      <c r="L765" s="130" t="str">
        <f t="shared" ca="1" si="160"/>
        <v/>
      </c>
      <c r="M765" s="126">
        <f t="shared" ca="1" si="161"/>
        <v>995</v>
      </c>
      <c r="N765" s="58">
        <f t="shared" ca="1" si="166"/>
        <v>8250000</v>
      </c>
      <c r="O765" s="160">
        <f t="shared" ca="1" si="166"/>
        <v>7866066.3612761358</v>
      </c>
    </row>
    <row r="766" spans="1:15" x14ac:dyDescent="0.25">
      <c r="A766" s="55">
        <f t="shared" ca="1" si="162"/>
        <v>240</v>
      </c>
      <c r="B766" s="55">
        <f t="shared" ca="1" si="153"/>
        <v>26.1</v>
      </c>
      <c r="C766" s="55">
        <f t="shared" ca="1" si="154"/>
        <v>26.099917429352132</v>
      </c>
      <c r="D766" s="55" t="str">
        <f t="shared" ca="1" si="155"/>
        <v>26.100 || 8250000.000</v>
      </c>
      <c r="E766" s="120">
        <f t="shared" ca="1" si="163"/>
        <v>4.3996697174085284</v>
      </c>
      <c r="F766" s="56" t="e">
        <f t="shared" ca="1" si="164"/>
        <v>#N/A</v>
      </c>
      <c r="G766" s="56" t="e">
        <f t="shared" ca="1" si="156"/>
        <v>#N/A</v>
      </c>
      <c r="H766" s="116" t="e">
        <f t="shared" ca="1" si="157"/>
        <v>#N/A</v>
      </c>
      <c r="I766" s="57" t="e">
        <f t="shared" ca="1" si="158"/>
        <v>#N/A</v>
      </c>
      <c r="J766" s="131">
        <f t="shared" ca="1" si="165"/>
        <v>996</v>
      </c>
      <c r="K766" s="122" t="str">
        <f t="shared" ca="1" si="159"/>
        <v/>
      </c>
      <c r="L766" s="130" t="str">
        <f t="shared" ca="1" si="160"/>
        <v/>
      </c>
      <c r="M766" s="126">
        <f t="shared" ca="1" si="161"/>
        <v>995</v>
      </c>
      <c r="N766" s="58">
        <f t="shared" ca="1" si="166"/>
        <v>8250000</v>
      </c>
      <c r="O766" s="160">
        <f t="shared" ca="1" si="166"/>
        <v>7866066.3612761358</v>
      </c>
    </row>
    <row r="767" spans="1:15" x14ac:dyDescent="0.25">
      <c r="A767" s="55">
        <f t="shared" ca="1" si="162"/>
        <v>240</v>
      </c>
      <c r="B767" s="55">
        <f t="shared" ca="1" si="153"/>
        <v>26.1</v>
      </c>
      <c r="C767" s="55">
        <f t="shared" ca="1" si="154"/>
        <v>26.099917429352132</v>
      </c>
      <c r="D767" s="55" t="str">
        <f t="shared" ca="1" si="155"/>
        <v>26.100 || 8250000.000</v>
      </c>
      <c r="E767" s="120">
        <f t="shared" ca="1" si="163"/>
        <v>4.3996697174085284</v>
      </c>
      <c r="F767" s="56" t="e">
        <f t="shared" ca="1" si="164"/>
        <v>#N/A</v>
      </c>
      <c r="G767" s="56" t="e">
        <f t="shared" ca="1" si="156"/>
        <v>#N/A</v>
      </c>
      <c r="H767" s="116" t="e">
        <f t="shared" ca="1" si="157"/>
        <v>#N/A</v>
      </c>
      <c r="I767" s="57" t="e">
        <f t="shared" ca="1" si="158"/>
        <v>#N/A</v>
      </c>
      <c r="J767" s="131">
        <f t="shared" ca="1" si="165"/>
        <v>996</v>
      </c>
      <c r="K767" s="122" t="str">
        <f t="shared" ca="1" si="159"/>
        <v/>
      </c>
      <c r="L767" s="130" t="str">
        <f t="shared" ca="1" si="160"/>
        <v/>
      </c>
      <c r="M767" s="126">
        <f t="shared" ca="1" si="161"/>
        <v>995</v>
      </c>
      <c r="N767" s="58">
        <f t="shared" ca="1" si="166"/>
        <v>8250000</v>
      </c>
      <c r="O767" s="160">
        <f t="shared" ca="1" si="166"/>
        <v>7866066.3612761358</v>
      </c>
    </row>
    <row r="768" spans="1:15" x14ac:dyDescent="0.25">
      <c r="A768" s="55">
        <f t="shared" ca="1" si="162"/>
        <v>240</v>
      </c>
      <c r="B768" s="55">
        <f t="shared" ca="1" si="153"/>
        <v>26.1</v>
      </c>
      <c r="C768" s="55">
        <f t="shared" ca="1" si="154"/>
        <v>26.099917429352132</v>
      </c>
      <c r="D768" s="55" t="str">
        <f t="shared" ca="1" si="155"/>
        <v>26.100 || 8250000.000</v>
      </c>
      <c r="E768" s="120">
        <f t="shared" ca="1" si="163"/>
        <v>4.3996697174085284</v>
      </c>
      <c r="F768" s="56" t="e">
        <f t="shared" ca="1" si="164"/>
        <v>#N/A</v>
      </c>
      <c r="G768" s="56" t="e">
        <f t="shared" ca="1" si="156"/>
        <v>#N/A</v>
      </c>
      <c r="H768" s="116" t="e">
        <f t="shared" ca="1" si="157"/>
        <v>#N/A</v>
      </c>
      <c r="I768" s="57" t="e">
        <f t="shared" ca="1" si="158"/>
        <v>#N/A</v>
      </c>
      <c r="J768" s="131">
        <f t="shared" ca="1" si="165"/>
        <v>996</v>
      </c>
      <c r="K768" s="122" t="str">
        <f t="shared" ca="1" si="159"/>
        <v/>
      </c>
      <c r="L768" s="130" t="str">
        <f t="shared" ca="1" si="160"/>
        <v/>
      </c>
      <c r="M768" s="126">
        <f t="shared" ca="1" si="161"/>
        <v>995</v>
      </c>
      <c r="N768" s="58">
        <f t="shared" ca="1" si="166"/>
        <v>8250000</v>
      </c>
      <c r="O768" s="160">
        <f t="shared" ca="1" si="166"/>
        <v>7866066.3612761358</v>
      </c>
    </row>
    <row r="769" spans="1:15" x14ac:dyDescent="0.25">
      <c r="A769" s="55">
        <f t="shared" ca="1" si="162"/>
        <v>240</v>
      </c>
      <c r="B769" s="55">
        <f t="shared" ca="1" si="153"/>
        <v>26.1</v>
      </c>
      <c r="C769" s="55">
        <f t="shared" ca="1" si="154"/>
        <v>26.099925059621118</v>
      </c>
      <c r="D769" s="55" t="str">
        <f t="shared" ca="1" si="155"/>
        <v>26.100 || 9090000.000</v>
      </c>
      <c r="E769" s="120">
        <f t="shared" ca="1" si="163"/>
        <v>4.3997002384844706</v>
      </c>
      <c r="F769" s="56" t="e">
        <f t="shared" ca="1" si="164"/>
        <v>#N/A</v>
      </c>
      <c r="G769" s="56" t="e">
        <f t="shared" ca="1" si="156"/>
        <v>#N/A</v>
      </c>
      <c r="H769" s="116" t="e">
        <f t="shared" ca="1" si="157"/>
        <v>#N/A</v>
      </c>
      <c r="I769" s="57" t="e">
        <f t="shared" ca="1" si="158"/>
        <v>#N/A</v>
      </c>
      <c r="J769" s="131">
        <f t="shared" ca="1" si="165"/>
        <v>996</v>
      </c>
      <c r="K769" s="122" t="str">
        <f t="shared" ca="1" si="159"/>
        <v/>
      </c>
      <c r="L769" s="130" t="str">
        <f t="shared" ca="1" si="160"/>
        <v/>
      </c>
      <c r="M769" s="126">
        <f t="shared" ca="1" si="161"/>
        <v>995</v>
      </c>
      <c r="N769" s="58">
        <f t="shared" ca="1" si="166"/>
        <v>9090000</v>
      </c>
      <c r="O769" s="160">
        <f t="shared" ca="1" si="166"/>
        <v>8659821.0143166371</v>
      </c>
    </row>
    <row r="770" spans="1:15" x14ac:dyDescent="0.25">
      <c r="A770" s="55">
        <f t="shared" ca="1" si="162"/>
        <v>240</v>
      </c>
      <c r="B770" s="55">
        <f t="shared" ca="1" si="153"/>
        <v>26.1</v>
      </c>
      <c r="C770" s="55">
        <f t="shared" ca="1" si="154"/>
        <v>26.099925059621118</v>
      </c>
      <c r="D770" s="55" t="str">
        <f t="shared" ca="1" si="155"/>
        <v>26.100 || 9090000.000</v>
      </c>
      <c r="E770" s="120">
        <f t="shared" ca="1" si="163"/>
        <v>4.3997002384844706</v>
      </c>
      <c r="F770" s="56" t="e">
        <f t="shared" ca="1" si="164"/>
        <v>#N/A</v>
      </c>
      <c r="G770" s="56" t="e">
        <f t="shared" ca="1" si="156"/>
        <v>#N/A</v>
      </c>
      <c r="H770" s="116" t="e">
        <f t="shared" ca="1" si="157"/>
        <v>#N/A</v>
      </c>
      <c r="I770" s="57" t="e">
        <f t="shared" ca="1" si="158"/>
        <v>#N/A</v>
      </c>
      <c r="J770" s="131">
        <f t="shared" ca="1" si="165"/>
        <v>996</v>
      </c>
      <c r="K770" s="122" t="str">
        <f t="shared" ca="1" si="159"/>
        <v/>
      </c>
      <c r="L770" s="130" t="str">
        <f t="shared" ca="1" si="160"/>
        <v/>
      </c>
      <c r="M770" s="126">
        <f t="shared" ca="1" si="161"/>
        <v>995</v>
      </c>
      <c r="N770" s="58">
        <f t="shared" ca="1" si="166"/>
        <v>9090000</v>
      </c>
      <c r="O770" s="160">
        <f t="shared" ca="1" si="166"/>
        <v>8659821.0143166371</v>
      </c>
    </row>
    <row r="771" spans="1:15" x14ac:dyDescent="0.25">
      <c r="A771" s="55">
        <f t="shared" ca="1" si="162"/>
        <v>240</v>
      </c>
      <c r="B771" s="55">
        <f t="shared" ca="1" si="153"/>
        <v>26.1</v>
      </c>
      <c r="C771" s="55">
        <f t="shared" ca="1" si="154"/>
        <v>26.099925059621118</v>
      </c>
      <c r="D771" s="55" t="str">
        <f t="shared" ca="1" si="155"/>
        <v>26.100 || 9090000.000</v>
      </c>
      <c r="E771" s="120">
        <f t="shared" ca="1" si="163"/>
        <v>4.3997002384844706</v>
      </c>
      <c r="F771" s="56" t="e">
        <f t="shared" ca="1" si="164"/>
        <v>#N/A</v>
      </c>
      <c r="G771" s="56" t="e">
        <f t="shared" ca="1" si="156"/>
        <v>#N/A</v>
      </c>
      <c r="H771" s="116" t="e">
        <f t="shared" ca="1" si="157"/>
        <v>#N/A</v>
      </c>
      <c r="I771" s="57" t="e">
        <f t="shared" ca="1" si="158"/>
        <v>#N/A</v>
      </c>
      <c r="J771" s="131">
        <f t="shared" ca="1" si="165"/>
        <v>996</v>
      </c>
      <c r="K771" s="122" t="str">
        <f t="shared" ca="1" si="159"/>
        <v/>
      </c>
      <c r="L771" s="130" t="str">
        <f t="shared" ca="1" si="160"/>
        <v/>
      </c>
      <c r="M771" s="126">
        <f t="shared" ca="1" si="161"/>
        <v>995</v>
      </c>
      <c r="N771" s="58">
        <f t="shared" ca="1" si="166"/>
        <v>9090000</v>
      </c>
      <c r="O771" s="160">
        <f t="shared" ca="1" si="166"/>
        <v>8659821.0143166371</v>
      </c>
    </row>
    <row r="772" spans="1:15" x14ac:dyDescent="0.25">
      <c r="A772" s="55">
        <f t="shared" ca="1" si="162"/>
        <v>240</v>
      </c>
      <c r="B772" s="55">
        <f t="shared" ca="1" si="153"/>
        <v>26.1</v>
      </c>
      <c r="C772" s="55">
        <f t="shared" ca="1" si="154"/>
        <v>26.099925059621118</v>
      </c>
      <c r="D772" s="55" t="str">
        <f t="shared" ca="1" si="155"/>
        <v>26.100 || 9090000.000</v>
      </c>
      <c r="E772" s="120">
        <f t="shared" ca="1" si="163"/>
        <v>4.3997002384844706</v>
      </c>
      <c r="F772" s="56" t="e">
        <f t="shared" ca="1" si="164"/>
        <v>#N/A</v>
      </c>
      <c r="G772" s="56" t="e">
        <f t="shared" ca="1" si="156"/>
        <v>#N/A</v>
      </c>
      <c r="H772" s="116" t="e">
        <f t="shared" ca="1" si="157"/>
        <v>#N/A</v>
      </c>
      <c r="I772" s="57" t="e">
        <f t="shared" ca="1" si="158"/>
        <v>#N/A</v>
      </c>
      <c r="J772" s="131">
        <f t="shared" ca="1" si="165"/>
        <v>996</v>
      </c>
      <c r="K772" s="122" t="str">
        <f t="shared" ca="1" si="159"/>
        <v/>
      </c>
      <c r="L772" s="130" t="str">
        <f t="shared" ca="1" si="160"/>
        <v/>
      </c>
      <c r="M772" s="126">
        <f t="shared" ca="1" si="161"/>
        <v>995</v>
      </c>
      <c r="N772" s="58">
        <f t="shared" ca="1" si="166"/>
        <v>9090000</v>
      </c>
      <c r="O772" s="160">
        <f t="shared" ca="1" si="166"/>
        <v>8659821.0143166371</v>
      </c>
    </row>
    <row r="773" spans="1:15" x14ac:dyDescent="0.25">
      <c r="A773" s="55">
        <f t="shared" ca="1" si="162"/>
        <v>240</v>
      </c>
      <c r="B773" s="55">
        <f t="shared" ca="1" si="153"/>
        <v>26.1</v>
      </c>
      <c r="C773" s="55">
        <f t="shared" ca="1" si="154"/>
        <v>26.099931879177795</v>
      </c>
      <c r="D773" s="55" t="str">
        <f t="shared" ca="1" si="155"/>
        <v>26.100 || 10000000.000</v>
      </c>
      <c r="E773" s="120">
        <f t="shared" ca="1" si="163"/>
        <v>4.3997275167111809</v>
      </c>
      <c r="F773" s="56" t="e">
        <f t="shared" ca="1" si="164"/>
        <v>#N/A</v>
      </c>
      <c r="G773" s="56" t="e">
        <f t="shared" ca="1" si="156"/>
        <v>#N/A</v>
      </c>
      <c r="H773" s="116" t="e">
        <f t="shared" ca="1" si="157"/>
        <v>#N/A</v>
      </c>
      <c r="I773" s="57" t="e">
        <f t="shared" ca="1" si="158"/>
        <v>#N/A</v>
      </c>
      <c r="J773" s="131">
        <f t="shared" ca="1" si="165"/>
        <v>996</v>
      </c>
      <c r="K773" s="122" t="str">
        <f t="shared" ca="1" si="159"/>
        <v/>
      </c>
      <c r="L773" s="130" t="str">
        <f t="shared" ca="1" si="160"/>
        <v/>
      </c>
      <c r="M773" s="126">
        <f t="shared" ca="1" si="161"/>
        <v>995</v>
      </c>
      <c r="N773" s="58">
        <f t="shared" ca="1" si="166"/>
        <v>10000000</v>
      </c>
      <c r="O773" s="160">
        <f t="shared" ca="1" si="166"/>
        <v>9534149.1492424235</v>
      </c>
    </row>
    <row r="774" spans="1:15" ht="15.75" thickBot="1" x14ac:dyDescent="0.3">
      <c r="A774" s="64">
        <f t="shared" ca="1" si="162"/>
        <v>240</v>
      </c>
      <c r="B774" s="64">
        <f t="shared" ref="B774" ca="1" si="167">INDEX($N$1:$N$774,A774)</f>
        <v>26.1</v>
      </c>
      <c r="C774" s="64">
        <f t="shared" ref="C774" ca="1" si="168">1/(1/B774+1/N774)</f>
        <v>26.099931879177795</v>
      </c>
      <c r="D774" s="64" t="str">
        <f t="shared" ca="1" si="155"/>
        <v>26.100 || 10000000.000</v>
      </c>
      <c r="E774" s="132">
        <f t="shared" ca="1" si="163"/>
        <v>4.3997275167111809</v>
      </c>
      <c r="F774" s="65" t="e">
        <f t="shared" ca="1" si="164"/>
        <v>#N/A</v>
      </c>
      <c r="G774" s="65" t="e">
        <f t="shared" ref="G774" ca="1" si="169">INDEX($N$1:$N$774,F774)</f>
        <v>#N/A</v>
      </c>
      <c r="H774" s="133" t="e">
        <f t="shared" ref="H774" ca="1" si="170">G774+N774</f>
        <v>#N/A</v>
      </c>
      <c r="I774" s="66" t="e">
        <f t="shared" ca="1" si="158"/>
        <v>#N/A</v>
      </c>
      <c r="J774" s="134">
        <f t="shared" ca="1" si="165"/>
        <v>996</v>
      </c>
      <c r="K774" s="63" t="str">
        <f t="shared" ref="K774" ca="1" si="171">IF(E774&lt;$C$4,D774,IF(J774&lt;$C$4,I774,""))</f>
        <v/>
      </c>
      <c r="L774" s="135" t="str">
        <f t="shared" ca="1" si="160"/>
        <v/>
      </c>
      <c r="M774" s="136">
        <f t="shared" ca="1" si="161"/>
        <v>995</v>
      </c>
      <c r="N774" s="62">
        <f t="shared" ca="1" si="166"/>
        <v>10000000</v>
      </c>
      <c r="O774" s="160">
        <f t="shared" ca="1" si="166"/>
        <v>9534149.1492424216</v>
      </c>
    </row>
    <row r="775" spans="1:15" ht="16.5" thickTop="1" thickBot="1" x14ac:dyDescent="0.3">
      <c r="O775" s="163">
        <v>10000000</v>
      </c>
    </row>
    <row r="776" spans="1:15" ht="15.75" thickTop="1" x14ac:dyDescent="0.25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V9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1.42578125" customWidth="1"/>
    <col min="2" max="2" width="8.7109375" customWidth="1"/>
    <col min="3" max="3" width="11.28515625" customWidth="1"/>
    <col min="4" max="4" width="8.85546875" customWidth="1"/>
    <col min="5" max="5" width="11.140625" customWidth="1"/>
    <col min="6" max="6" width="8.42578125" customWidth="1"/>
    <col min="7" max="7" width="10.140625" customWidth="1"/>
    <col min="8" max="8" width="6.42578125" customWidth="1"/>
    <col min="9" max="9" width="9" customWidth="1"/>
    <col min="10" max="10" width="11" customWidth="1"/>
    <col min="11" max="11" width="8.85546875" customWidth="1"/>
    <col min="12" max="12" width="10.42578125" customWidth="1"/>
    <col min="13" max="13" width="8.42578125" customWidth="1"/>
    <col min="14" max="14" width="6.85546875" customWidth="1"/>
    <col min="15" max="15" width="10.7109375" customWidth="1"/>
    <col min="16" max="16" width="8.7109375" customWidth="1"/>
    <col min="17" max="17" width="6.85546875" customWidth="1"/>
    <col min="18" max="18" width="4" customWidth="1"/>
    <col min="19" max="19" width="6.7109375" customWidth="1"/>
    <col min="20" max="20" width="8" customWidth="1"/>
    <col min="21" max="21" width="9.42578125" customWidth="1"/>
    <col min="22" max="22" width="10.28515625" customWidth="1"/>
  </cols>
  <sheetData>
    <row r="1" spans="1:22" x14ac:dyDescent="0.25">
      <c r="A1" s="67" t="s">
        <v>30</v>
      </c>
      <c r="B1" s="68" t="s">
        <v>20</v>
      </c>
      <c r="C1" s="69" t="s">
        <v>30</v>
      </c>
      <c r="D1" s="68" t="s">
        <v>21</v>
      </c>
      <c r="E1" s="69" t="s">
        <v>30</v>
      </c>
      <c r="F1" s="68" t="s">
        <v>22</v>
      </c>
      <c r="G1" s="70" t="s">
        <v>30</v>
      </c>
      <c r="H1" s="71" t="s">
        <v>32</v>
      </c>
      <c r="I1" s="68" t="s">
        <v>23</v>
      </c>
      <c r="J1" s="70" t="s">
        <v>30</v>
      </c>
      <c r="K1" s="68" t="s">
        <v>24</v>
      </c>
      <c r="L1" s="70" t="s">
        <v>30</v>
      </c>
      <c r="M1" s="68" t="s">
        <v>25</v>
      </c>
      <c r="N1" s="68" t="s">
        <v>28</v>
      </c>
      <c r="O1" s="72" t="s">
        <v>29</v>
      </c>
      <c r="P1" s="68" t="s">
        <v>14</v>
      </c>
      <c r="Q1" s="68"/>
      <c r="R1" s="103"/>
      <c r="S1" s="103" t="s">
        <v>31</v>
      </c>
      <c r="T1" s="103" t="s">
        <v>2</v>
      </c>
      <c r="U1" s="104" t="str">
        <f>Q8</f>
        <v>E24x</v>
      </c>
      <c r="V1" s="147" t="s">
        <v>42</v>
      </c>
    </row>
    <row r="2" spans="1:22" x14ac:dyDescent="0.25">
      <c r="A2" s="74">
        <v>100</v>
      </c>
      <c r="B2" s="75">
        <f>ROUND(A2,0)</f>
        <v>100</v>
      </c>
      <c r="C2" s="76">
        <v>100</v>
      </c>
      <c r="D2" s="75">
        <f>ROUND(C2,0)</f>
        <v>100</v>
      </c>
      <c r="E2" s="76">
        <v>100</v>
      </c>
      <c r="F2" s="75">
        <f>ROUND(E2,0)</f>
        <v>100</v>
      </c>
      <c r="G2" s="77">
        <v>100</v>
      </c>
      <c r="H2" s="78"/>
      <c r="I2" s="75">
        <f>10*ROUND(G2/10,0)</f>
        <v>100</v>
      </c>
      <c r="J2" s="77">
        <v>100</v>
      </c>
      <c r="K2" s="75">
        <f>10*ROUND(J2/10,0)</f>
        <v>100</v>
      </c>
      <c r="L2" s="77">
        <v>100</v>
      </c>
      <c r="M2" s="73">
        <f>10*ROUND(L2/10,0)</f>
        <v>100</v>
      </c>
      <c r="N2" s="79">
        <v>96</v>
      </c>
      <c r="O2" s="80">
        <f>EXP(LN(10)/N2)</f>
        <v>1.0242752213815922</v>
      </c>
      <c r="P2" s="81">
        <v>1</v>
      </c>
      <c r="Q2" s="81" t="s">
        <v>20</v>
      </c>
      <c r="R2" s="106" t="s">
        <v>34</v>
      </c>
      <c r="S2" s="108">
        <v>0</v>
      </c>
      <c r="T2" s="111">
        <f>MAX(ROUND(((ROW()-2)-$S$8)/(96/$N$8),0),0)</f>
        <v>0</v>
      </c>
      <c r="U2" s="113">
        <f ca="1">INDIRECT($R$8&amp;(T2+2))</f>
        <v>100</v>
      </c>
      <c r="V2" s="164">
        <f ca="1">IF(U2-$O$10=0,V1,$O$10*SQRT(U2/$O$10))</f>
        <v>95.341491492424211</v>
      </c>
    </row>
    <row r="3" spans="1:22" x14ac:dyDescent="0.25">
      <c r="A3" s="74">
        <f t="shared" ref="A3:A34" si="0">A2*$O$2</f>
        <v>102.42752213815922</v>
      </c>
      <c r="B3" s="75">
        <f>ROUND(A3,0)</f>
        <v>102</v>
      </c>
      <c r="C3" s="82">
        <f t="shared" ref="C3:C50" si="1">C2*$O$3</f>
        <v>104.91397291363099</v>
      </c>
      <c r="D3" s="75">
        <f>ROUND(C3,0)</f>
        <v>105</v>
      </c>
      <c r="E3" s="82">
        <f t="shared" ref="E3:E26" si="2">E2*$O$4</f>
        <v>110.06941712522095</v>
      </c>
      <c r="F3" s="75">
        <f t="shared" ref="F3:F26" si="3">ROUND(E3,0)</f>
        <v>110</v>
      </c>
      <c r="G3" s="77">
        <f>G2*$O$5</f>
        <v>110.06941712522095</v>
      </c>
      <c r="H3" s="78"/>
      <c r="I3" s="75">
        <f t="shared" ref="I3:I26" si="4">10*ROUND(G3/10,0)</f>
        <v>110</v>
      </c>
      <c r="J3" s="83">
        <f>J2*$O$6</f>
        <v>121.15276586285886</v>
      </c>
      <c r="K3" s="75">
        <f t="shared" ref="K3:K14" si="5">10*ROUND(J3/10,0)</f>
        <v>120</v>
      </c>
      <c r="L3" s="83">
        <f>L2*$O$7</f>
        <v>146.77992676220697</v>
      </c>
      <c r="M3" s="73">
        <f t="shared" ref="M3:M8" si="6">10*ROUND(L3/10,0)</f>
        <v>150</v>
      </c>
      <c r="N3" s="79">
        <v>48</v>
      </c>
      <c r="O3" s="80">
        <f t="shared" ref="O3:O7" si="7">EXP(LN(10)/N3)</f>
        <v>1.0491397291363098</v>
      </c>
      <c r="P3" s="81">
        <v>2</v>
      </c>
      <c r="Q3" s="81" t="s">
        <v>21</v>
      </c>
      <c r="R3" s="106" t="s">
        <v>35</v>
      </c>
      <c r="S3" s="108">
        <v>1</v>
      </c>
      <c r="T3" s="111">
        <f t="shared" ref="T3:T66" si="8">MAX(ROUND(((ROW()-2)-$S$8)/(96/$N$8),0),0)</f>
        <v>0</v>
      </c>
      <c r="U3" s="113">
        <f t="shared" ref="U3:U66" ca="1" si="9">INDIRECT($R$8&amp;(T3+2))</f>
        <v>100</v>
      </c>
      <c r="V3" s="149">
        <f t="shared" ref="V2:V5" ca="1" si="10">IF(U3-U2=0,V2,U2*SQRT(U3/U2))</f>
        <v>95.341491492424211</v>
      </c>
    </row>
    <row r="4" spans="1:22" x14ac:dyDescent="0.25">
      <c r="A4" s="74">
        <f t="shared" si="0"/>
        <v>104.91397291363097</v>
      </c>
      <c r="B4" s="75">
        <f t="shared" ref="B4:B67" si="11">ROUND(A4,0)</f>
        <v>105</v>
      </c>
      <c r="C4" s="82">
        <f t="shared" si="1"/>
        <v>110.06941712522095</v>
      </c>
      <c r="D4" s="75">
        <f t="shared" ref="D4:D50" si="12">ROUND(C4,0)</f>
        <v>110</v>
      </c>
      <c r="E4" s="82">
        <f t="shared" si="2"/>
        <v>121.15276586285884</v>
      </c>
      <c r="F4" s="75">
        <f t="shared" si="3"/>
        <v>121</v>
      </c>
      <c r="G4" s="77">
        <f t="shared" ref="G4:G25" si="13">G3*$O$5</f>
        <v>121.15276586285884</v>
      </c>
      <c r="H4" s="78"/>
      <c r="I4" s="75">
        <f t="shared" si="4"/>
        <v>120</v>
      </c>
      <c r="J4" s="83">
        <f t="shared" ref="J4:J13" si="14">J3*$O$6</f>
        <v>146.779926762207</v>
      </c>
      <c r="K4" s="75">
        <f t="shared" si="5"/>
        <v>150</v>
      </c>
      <c r="L4" s="83">
        <f t="shared" ref="L4:L8" si="15">L3*$O$7</f>
        <v>215.44346900318843</v>
      </c>
      <c r="M4" s="73">
        <f t="shared" si="6"/>
        <v>220</v>
      </c>
      <c r="N4" s="79">
        <v>24</v>
      </c>
      <c r="O4" s="80">
        <f t="shared" si="7"/>
        <v>1.1006941712522096</v>
      </c>
      <c r="P4" s="81">
        <v>2</v>
      </c>
      <c r="Q4" s="81" t="s">
        <v>22</v>
      </c>
      <c r="R4" s="106" t="s">
        <v>36</v>
      </c>
      <c r="S4" s="108">
        <v>1</v>
      </c>
      <c r="T4" s="111">
        <f t="shared" si="8"/>
        <v>0</v>
      </c>
      <c r="U4" s="113">
        <f t="shared" ca="1" si="9"/>
        <v>100</v>
      </c>
      <c r="V4" s="149">
        <f t="shared" ca="1" si="10"/>
        <v>95.341491492424211</v>
      </c>
    </row>
    <row r="5" spans="1:22" x14ac:dyDescent="0.25">
      <c r="A5" s="74">
        <f t="shared" si="0"/>
        <v>107.46078283213173</v>
      </c>
      <c r="B5" s="75">
        <f t="shared" si="11"/>
        <v>107</v>
      </c>
      <c r="C5" s="82">
        <f t="shared" si="1"/>
        <v>115.47819846894581</v>
      </c>
      <c r="D5" s="75">
        <f t="shared" si="12"/>
        <v>115</v>
      </c>
      <c r="E5" s="82">
        <f t="shared" si="2"/>
        <v>133.35214321633239</v>
      </c>
      <c r="F5" s="75">
        <f t="shared" si="3"/>
        <v>133</v>
      </c>
      <c r="G5" s="77">
        <f t="shared" si="13"/>
        <v>133.35214321633239</v>
      </c>
      <c r="H5" s="78"/>
      <c r="I5" s="75">
        <f t="shared" si="4"/>
        <v>130</v>
      </c>
      <c r="J5" s="83">
        <f t="shared" si="14"/>
        <v>177.82794100389236</v>
      </c>
      <c r="K5" s="75">
        <f t="shared" si="5"/>
        <v>180</v>
      </c>
      <c r="L5" s="83">
        <f t="shared" si="15"/>
        <v>316.22776601683802</v>
      </c>
      <c r="M5" s="84">
        <f>10*ROUND(L5/10,0)+H14</f>
        <v>330</v>
      </c>
      <c r="N5" s="79">
        <v>24</v>
      </c>
      <c r="O5" s="80">
        <f t="shared" si="7"/>
        <v>1.1006941712522096</v>
      </c>
      <c r="P5" s="81">
        <v>5</v>
      </c>
      <c r="Q5" s="81" t="s">
        <v>23</v>
      </c>
      <c r="R5" s="106" t="s">
        <v>37</v>
      </c>
      <c r="S5" s="108">
        <v>1</v>
      </c>
      <c r="T5" s="111">
        <f t="shared" si="8"/>
        <v>1</v>
      </c>
      <c r="U5" s="113">
        <f t="shared" ca="1" si="9"/>
        <v>110</v>
      </c>
      <c r="V5" s="149">
        <f t="shared" ca="1" si="10"/>
        <v>104.88088481701516</v>
      </c>
    </row>
    <row r="6" spans="1:22" x14ac:dyDescent="0.25">
      <c r="A6" s="74">
        <f t="shared" si="0"/>
        <v>110.06941712522092</v>
      </c>
      <c r="B6" s="75">
        <f t="shared" si="11"/>
        <v>110</v>
      </c>
      <c r="C6" s="82">
        <f t="shared" si="1"/>
        <v>121.15276586285883</v>
      </c>
      <c r="D6" s="75">
        <f t="shared" si="12"/>
        <v>121</v>
      </c>
      <c r="E6" s="82">
        <f t="shared" si="2"/>
        <v>146.77992676220694</v>
      </c>
      <c r="F6" s="75">
        <f t="shared" si="3"/>
        <v>147</v>
      </c>
      <c r="G6" s="77">
        <f t="shared" si="13"/>
        <v>146.77992676220694</v>
      </c>
      <c r="H6" s="78"/>
      <c r="I6" s="75">
        <f t="shared" si="4"/>
        <v>150</v>
      </c>
      <c r="J6" s="83">
        <f t="shared" si="14"/>
        <v>215.44346900318848</v>
      </c>
      <c r="K6" s="75">
        <f t="shared" si="5"/>
        <v>220</v>
      </c>
      <c r="L6" s="83">
        <f t="shared" si="15"/>
        <v>464.15888336127807</v>
      </c>
      <c r="M6" s="84">
        <f>10*ROUND(L6/10,0)+H18</f>
        <v>470</v>
      </c>
      <c r="N6" s="79">
        <v>12</v>
      </c>
      <c r="O6" s="80">
        <f t="shared" si="7"/>
        <v>1.2115276586285886</v>
      </c>
      <c r="P6" s="81">
        <v>10</v>
      </c>
      <c r="Q6" s="81" t="s">
        <v>24</v>
      </c>
      <c r="R6" s="106" t="s">
        <v>38</v>
      </c>
      <c r="S6" s="108">
        <v>0</v>
      </c>
      <c r="T6" s="111">
        <f t="shared" si="8"/>
        <v>1</v>
      </c>
      <c r="U6" s="113">
        <f t="shared" ca="1" si="9"/>
        <v>110</v>
      </c>
      <c r="V6" s="149">
        <f t="shared" ref="V6:V69" ca="1" si="16">IF(U6-U5=0,V5,U5*SQRT(U6/U5))</f>
        <v>104.88088481701516</v>
      </c>
    </row>
    <row r="7" spans="1:22" ht="15.75" thickBot="1" x14ac:dyDescent="0.3">
      <c r="A7" s="74">
        <f t="shared" si="0"/>
        <v>112.74137659327847</v>
      </c>
      <c r="B7" s="75">
        <f t="shared" si="11"/>
        <v>113</v>
      </c>
      <c r="C7" s="82">
        <f t="shared" si="1"/>
        <v>127.10617996147447</v>
      </c>
      <c r="D7" s="75">
        <f t="shared" si="12"/>
        <v>127</v>
      </c>
      <c r="E7" s="82">
        <f t="shared" si="2"/>
        <v>161.55980984398738</v>
      </c>
      <c r="F7" s="75">
        <f t="shared" si="3"/>
        <v>162</v>
      </c>
      <c r="G7" s="77">
        <f t="shared" si="13"/>
        <v>161.55980984398738</v>
      </c>
      <c r="H7" s="78"/>
      <c r="I7" s="75">
        <f t="shared" si="4"/>
        <v>160</v>
      </c>
      <c r="J7" s="83">
        <f t="shared" si="14"/>
        <v>261.01572156825387</v>
      </c>
      <c r="K7" s="85">
        <f>10*ROUND(J7/10,0)+H12</f>
        <v>270</v>
      </c>
      <c r="L7" s="86">
        <f t="shared" si="15"/>
        <v>681.29206905796161</v>
      </c>
      <c r="M7" s="87">
        <f t="shared" si="6"/>
        <v>680</v>
      </c>
      <c r="N7" s="88">
        <v>6</v>
      </c>
      <c r="O7" s="80">
        <f t="shared" si="7"/>
        <v>1.4677992676220697</v>
      </c>
      <c r="P7" s="89">
        <v>20</v>
      </c>
      <c r="Q7" s="89" t="s">
        <v>25</v>
      </c>
      <c r="R7" s="107" t="s">
        <v>39</v>
      </c>
      <c r="S7" s="109">
        <v>0</v>
      </c>
      <c r="T7" s="111">
        <f t="shared" si="8"/>
        <v>1</v>
      </c>
      <c r="U7" s="113">
        <f t="shared" ca="1" si="9"/>
        <v>110</v>
      </c>
      <c r="V7" s="149">
        <f t="shared" ca="1" si="16"/>
        <v>104.88088481701516</v>
      </c>
    </row>
    <row r="8" spans="1:22" ht="16.5" thickTop="1" thickBot="1" x14ac:dyDescent="0.3">
      <c r="A8" s="74">
        <f t="shared" si="0"/>
        <v>115.47819846894576</v>
      </c>
      <c r="B8" s="75">
        <f t="shared" si="11"/>
        <v>115</v>
      </c>
      <c r="C8" s="82">
        <f t="shared" si="1"/>
        <v>133.35214321633237</v>
      </c>
      <c r="D8" s="75">
        <f t="shared" si="12"/>
        <v>133</v>
      </c>
      <c r="E8" s="82">
        <f t="shared" si="2"/>
        <v>177.82794100389225</v>
      </c>
      <c r="F8" s="75">
        <f t="shared" si="3"/>
        <v>178</v>
      </c>
      <c r="G8" s="77">
        <f t="shared" si="13"/>
        <v>177.82794100389225</v>
      </c>
      <c r="H8" s="78"/>
      <c r="I8" s="75">
        <f t="shared" si="4"/>
        <v>180</v>
      </c>
      <c r="J8" s="83">
        <f t="shared" si="14"/>
        <v>316.22776601683819</v>
      </c>
      <c r="K8" s="85">
        <f>10*ROUND(J8/10,0)+H14</f>
        <v>330</v>
      </c>
      <c r="L8" s="83">
        <f t="shared" si="15"/>
        <v>1000.0000000000006</v>
      </c>
      <c r="M8" s="73">
        <f t="shared" si="6"/>
        <v>1000</v>
      </c>
      <c r="N8" s="88">
        <f>INDEX(N2:N7,Calc!$B$4)</f>
        <v>24</v>
      </c>
      <c r="O8" s="90">
        <f>INDEX(O2:O7,Calc!$B$4)</f>
        <v>1.1006941712522096</v>
      </c>
      <c r="P8" s="89">
        <f>INDEX(P2:P7,Calc!$B$4)</f>
        <v>2</v>
      </c>
      <c r="Q8" s="89" t="str">
        <f>INDEX(Q2:Q7,Calc!$B$4)</f>
        <v>E24x</v>
      </c>
      <c r="R8" s="107" t="str">
        <f>INDEX(R2:R7,Calc!$B$4)</f>
        <v>F</v>
      </c>
      <c r="S8" s="110">
        <f>INDEX(S2:S7,Calc!$B$4)</f>
        <v>1</v>
      </c>
      <c r="T8" s="111">
        <f t="shared" si="8"/>
        <v>1</v>
      </c>
      <c r="U8" s="113">
        <f t="shared" ca="1" si="9"/>
        <v>110</v>
      </c>
      <c r="V8" s="149">
        <f t="shared" ca="1" si="16"/>
        <v>104.88088481701516</v>
      </c>
    </row>
    <row r="9" spans="1:22" ht="16.5" thickTop="1" thickBot="1" x14ac:dyDescent="0.3">
      <c r="A9" s="74">
        <f t="shared" si="0"/>
        <v>118.28145730152687</v>
      </c>
      <c r="B9" s="75">
        <f t="shared" si="11"/>
        <v>118</v>
      </c>
      <c r="C9" s="82">
        <f t="shared" si="1"/>
        <v>139.90503141372932</v>
      </c>
      <c r="D9" s="75">
        <f t="shared" si="12"/>
        <v>140</v>
      </c>
      <c r="E9" s="82">
        <f t="shared" si="2"/>
        <v>195.73417814876601</v>
      </c>
      <c r="F9" s="75">
        <f t="shared" si="3"/>
        <v>196</v>
      </c>
      <c r="G9" s="77">
        <f t="shared" si="13"/>
        <v>195.73417814876601</v>
      </c>
      <c r="H9" s="78"/>
      <c r="I9" s="75">
        <f t="shared" si="4"/>
        <v>200</v>
      </c>
      <c r="J9" s="83">
        <f t="shared" si="14"/>
        <v>383.11868495572912</v>
      </c>
      <c r="K9" s="85">
        <f>10*ROUND(J9/10,0)+H16</f>
        <v>390</v>
      </c>
      <c r="L9" s="83"/>
      <c r="M9" s="91"/>
      <c r="N9" s="73"/>
      <c r="O9" s="92">
        <f>SQRT($O$8)</f>
        <v>1.0491397291363098</v>
      </c>
      <c r="P9" s="73"/>
      <c r="Q9" s="73"/>
      <c r="R9" s="105"/>
      <c r="S9" s="105"/>
      <c r="T9" s="111">
        <f t="shared" si="8"/>
        <v>2</v>
      </c>
      <c r="U9" s="113">
        <f t="shared" ca="1" si="9"/>
        <v>121</v>
      </c>
      <c r="V9" s="149">
        <f t="shared" ca="1" si="16"/>
        <v>115.36897329871668</v>
      </c>
    </row>
    <row r="10" spans="1:22" ht="16.5" thickTop="1" thickBot="1" x14ac:dyDescent="0.3">
      <c r="A10" s="74">
        <f t="shared" si="0"/>
        <v>121.15276586285879</v>
      </c>
      <c r="B10" s="75">
        <f t="shared" si="11"/>
        <v>121</v>
      </c>
      <c r="C10" s="82">
        <f t="shared" si="1"/>
        <v>146.77992676220688</v>
      </c>
      <c r="D10" s="75">
        <f t="shared" si="12"/>
        <v>147</v>
      </c>
      <c r="E10" s="82">
        <f t="shared" si="2"/>
        <v>215.44346900318834</v>
      </c>
      <c r="F10" s="75">
        <f t="shared" si="3"/>
        <v>215</v>
      </c>
      <c r="G10" s="77">
        <f t="shared" si="13"/>
        <v>215.44346900318834</v>
      </c>
      <c r="H10" s="78"/>
      <c r="I10" s="75">
        <f t="shared" si="4"/>
        <v>220</v>
      </c>
      <c r="J10" s="83">
        <f t="shared" si="14"/>
        <v>464.15888336127836</v>
      </c>
      <c r="K10" s="85">
        <f>10*ROUND(J10/10,0)+H18</f>
        <v>470</v>
      </c>
      <c r="L10" s="83"/>
      <c r="M10" s="91"/>
      <c r="N10" s="73"/>
      <c r="O10" s="167">
        <f ca="1">INDIRECT($R$8&amp;($N$8+1))/10</f>
        <v>90.9</v>
      </c>
      <c r="P10" s="73"/>
      <c r="Q10" s="73"/>
      <c r="R10" s="105"/>
      <c r="S10" s="105"/>
      <c r="T10" s="111">
        <f t="shared" si="8"/>
        <v>2</v>
      </c>
      <c r="U10" s="113">
        <f t="shared" ca="1" si="9"/>
        <v>121</v>
      </c>
      <c r="V10" s="149">
        <f t="shared" ca="1" si="16"/>
        <v>115.36897329871668</v>
      </c>
    </row>
    <row r="11" spans="1:22" ht="15.75" thickTop="1" x14ac:dyDescent="0.25">
      <c r="A11" s="74">
        <f t="shared" si="0"/>
        <v>124.09377607517189</v>
      </c>
      <c r="B11" s="75">
        <f t="shared" si="11"/>
        <v>124</v>
      </c>
      <c r="C11" s="82">
        <f t="shared" si="1"/>
        <v>153.99265260594913</v>
      </c>
      <c r="D11" s="75">
        <f t="shared" si="12"/>
        <v>154</v>
      </c>
      <c r="E11" s="82">
        <f t="shared" si="2"/>
        <v>237.13737056616549</v>
      </c>
      <c r="F11" s="75">
        <f t="shared" si="3"/>
        <v>237</v>
      </c>
      <c r="G11" s="77">
        <f t="shared" si="13"/>
        <v>237.13737056616549</v>
      </c>
      <c r="H11" s="78"/>
      <c r="I11" s="75">
        <f t="shared" si="4"/>
        <v>240</v>
      </c>
      <c r="J11" s="83">
        <f t="shared" si="14"/>
        <v>562.34132519034972</v>
      </c>
      <c r="K11" s="75">
        <f t="shared" si="5"/>
        <v>560</v>
      </c>
      <c r="L11" s="83"/>
      <c r="M11" s="91"/>
      <c r="N11" s="73"/>
      <c r="O11" s="93"/>
      <c r="P11" s="73"/>
      <c r="Q11" s="73"/>
      <c r="R11" s="105"/>
      <c r="S11" s="105"/>
      <c r="T11" s="111">
        <f t="shared" si="8"/>
        <v>2</v>
      </c>
      <c r="U11" s="113">
        <f t="shared" ca="1" si="9"/>
        <v>121</v>
      </c>
      <c r="V11" s="149">
        <f t="shared" ca="1" si="16"/>
        <v>115.36897329871668</v>
      </c>
    </row>
    <row r="12" spans="1:22" x14ac:dyDescent="0.25">
      <c r="A12" s="74">
        <f t="shared" si="0"/>
        <v>127.10617996147442</v>
      </c>
      <c r="B12" s="75">
        <f t="shared" si="11"/>
        <v>127</v>
      </c>
      <c r="C12" s="82">
        <f t="shared" si="1"/>
        <v>161.55980984398732</v>
      </c>
      <c r="D12" s="75">
        <f t="shared" si="12"/>
        <v>162</v>
      </c>
      <c r="E12" s="82">
        <f t="shared" si="2"/>
        <v>261.01572156825364</v>
      </c>
      <c r="F12" s="75">
        <f t="shared" si="3"/>
        <v>261</v>
      </c>
      <c r="G12" s="77">
        <f t="shared" si="13"/>
        <v>261.01572156825364</v>
      </c>
      <c r="H12" s="78">
        <v>10</v>
      </c>
      <c r="I12" s="85">
        <f>10*ROUND(G12/10,0)+H12</f>
        <v>270</v>
      </c>
      <c r="J12" s="83">
        <f t="shared" si="14"/>
        <v>681.29206905796218</v>
      </c>
      <c r="K12" s="75">
        <f t="shared" si="5"/>
        <v>680</v>
      </c>
      <c r="L12" s="83"/>
      <c r="M12" s="91"/>
      <c r="N12" s="73"/>
      <c r="O12" s="93"/>
      <c r="P12" s="73"/>
      <c r="Q12" s="73"/>
      <c r="R12" s="105"/>
      <c r="S12" s="105"/>
      <c r="T12" s="111">
        <f t="shared" si="8"/>
        <v>2</v>
      </c>
      <c r="U12" s="113">
        <f t="shared" ca="1" si="9"/>
        <v>121</v>
      </c>
      <c r="V12" s="149">
        <f t="shared" ca="1" si="16"/>
        <v>115.36897329871668</v>
      </c>
    </row>
    <row r="13" spans="1:22" ht="15.75" thickBot="1" x14ac:dyDescent="0.3">
      <c r="A13" s="74">
        <f t="shared" si="0"/>
        <v>130.19171061900772</v>
      </c>
      <c r="B13" s="75">
        <f t="shared" si="11"/>
        <v>130</v>
      </c>
      <c r="C13" s="82">
        <f t="shared" si="1"/>
        <v>169.49881513903458</v>
      </c>
      <c r="D13" s="75">
        <f t="shared" si="12"/>
        <v>169</v>
      </c>
      <c r="E13" s="82">
        <f t="shared" si="2"/>
        <v>287.29848333536643</v>
      </c>
      <c r="F13" s="75">
        <f t="shared" si="3"/>
        <v>287</v>
      </c>
      <c r="G13" s="77">
        <f t="shared" si="13"/>
        <v>287.29848333536643</v>
      </c>
      <c r="H13" s="78">
        <v>10</v>
      </c>
      <c r="I13" s="85">
        <f t="shared" ref="I13:I18" si="17">10*ROUND(G13/10,0)+H13</f>
        <v>300</v>
      </c>
      <c r="J13" s="83">
        <f t="shared" si="14"/>
        <v>825.40418526801955</v>
      </c>
      <c r="K13" s="94">
        <f>10*ROUND(J13/10,0)+H24</f>
        <v>820</v>
      </c>
      <c r="L13" s="83"/>
      <c r="M13" s="91"/>
      <c r="N13" s="73"/>
      <c r="O13" s="93"/>
      <c r="P13" s="73"/>
      <c r="Q13" s="73"/>
      <c r="R13" s="105"/>
      <c r="S13" s="105"/>
      <c r="T13" s="111">
        <f t="shared" si="8"/>
        <v>3</v>
      </c>
      <c r="U13" s="113">
        <f t="shared" ca="1" si="9"/>
        <v>133</v>
      </c>
      <c r="V13" s="149">
        <f t="shared" ca="1" si="16"/>
        <v>126.85818854137874</v>
      </c>
    </row>
    <row r="14" spans="1:22" ht="15.75" thickTop="1" x14ac:dyDescent="0.25">
      <c r="A14" s="74">
        <f t="shared" si="0"/>
        <v>133.35214321633234</v>
      </c>
      <c r="B14" s="75">
        <f t="shared" si="11"/>
        <v>133</v>
      </c>
      <c r="C14" s="82">
        <f t="shared" si="1"/>
        <v>177.82794100389219</v>
      </c>
      <c r="D14" s="75">
        <f t="shared" si="12"/>
        <v>178</v>
      </c>
      <c r="E14" s="82">
        <f t="shared" si="2"/>
        <v>316.2277660168379</v>
      </c>
      <c r="F14" s="75">
        <f t="shared" si="3"/>
        <v>316</v>
      </c>
      <c r="G14" s="77">
        <f t="shared" si="13"/>
        <v>316.2277660168379</v>
      </c>
      <c r="H14" s="78">
        <v>10</v>
      </c>
      <c r="I14" s="85">
        <f t="shared" si="17"/>
        <v>330</v>
      </c>
      <c r="J14" s="95">
        <f>J13*$O$6</f>
        <v>1000.0000000000015</v>
      </c>
      <c r="K14" s="75">
        <f t="shared" si="5"/>
        <v>1000</v>
      </c>
      <c r="L14" s="83"/>
      <c r="M14" s="91"/>
      <c r="N14" s="73"/>
      <c r="O14" s="93"/>
      <c r="P14" s="73"/>
      <c r="Q14" s="73"/>
      <c r="R14" s="105"/>
      <c r="S14" s="105"/>
      <c r="T14" s="111">
        <f t="shared" si="8"/>
        <v>3</v>
      </c>
      <c r="U14" s="113">
        <f t="shared" ca="1" si="9"/>
        <v>133</v>
      </c>
      <c r="V14" s="149">
        <f t="shared" ca="1" si="16"/>
        <v>126.85818854137874</v>
      </c>
    </row>
    <row r="15" spans="1:22" x14ac:dyDescent="0.25">
      <c r="A15" s="74">
        <f t="shared" si="0"/>
        <v>136.58929601461858</v>
      </c>
      <c r="B15" s="75">
        <f t="shared" si="11"/>
        <v>137</v>
      </c>
      <c r="C15" s="82">
        <f t="shared" si="1"/>
        <v>186.56635785769114</v>
      </c>
      <c r="D15" s="75">
        <f t="shared" si="12"/>
        <v>187</v>
      </c>
      <c r="E15" s="82">
        <f t="shared" si="2"/>
        <v>348.07005884284104</v>
      </c>
      <c r="F15" s="75">
        <f t="shared" si="3"/>
        <v>348</v>
      </c>
      <c r="G15" s="77">
        <f t="shared" si="13"/>
        <v>348.07005884284104</v>
      </c>
      <c r="H15" s="78">
        <v>10</v>
      </c>
      <c r="I15" s="85">
        <f t="shared" si="17"/>
        <v>360</v>
      </c>
      <c r="J15" s="83"/>
      <c r="K15" s="73"/>
      <c r="L15" s="73"/>
      <c r="M15" s="73"/>
      <c r="N15" s="73"/>
      <c r="P15" s="73"/>
      <c r="Q15" s="73"/>
      <c r="R15" s="105"/>
      <c r="S15" s="105"/>
      <c r="T15" s="111">
        <f t="shared" si="8"/>
        <v>3</v>
      </c>
      <c r="U15" s="113">
        <f t="shared" ca="1" si="9"/>
        <v>133</v>
      </c>
      <c r="V15" s="149">
        <f t="shared" ca="1" si="16"/>
        <v>126.85818854137874</v>
      </c>
    </row>
    <row r="16" spans="1:22" x14ac:dyDescent="0.25">
      <c r="A16" s="74">
        <f t="shared" si="0"/>
        <v>139.90503141372929</v>
      </c>
      <c r="B16" s="75">
        <f t="shared" si="11"/>
        <v>140</v>
      </c>
      <c r="C16" s="82">
        <f t="shared" si="1"/>
        <v>195.73417814876592</v>
      </c>
      <c r="D16" s="75">
        <f t="shared" si="12"/>
        <v>196</v>
      </c>
      <c r="E16" s="82">
        <f t="shared" si="2"/>
        <v>383.11868495572872</v>
      </c>
      <c r="F16" s="75">
        <f t="shared" si="3"/>
        <v>383</v>
      </c>
      <c r="G16" s="77">
        <f t="shared" si="13"/>
        <v>383.11868495572872</v>
      </c>
      <c r="H16" s="78">
        <v>10</v>
      </c>
      <c r="I16" s="85">
        <f t="shared" si="17"/>
        <v>390</v>
      </c>
      <c r="J16" s="83"/>
      <c r="K16" s="73"/>
      <c r="L16" s="73"/>
      <c r="M16" s="73"/>
      <c r="N16" s="73"/>
      <c r="O16" s="93"/>
      <c r="P16" s="73"/>
      <c r="Q16" s="73"/>
      <c r="R16" s="105"/>
      <c r="S16" s="105"/>
      <c r="T16" s="111">
        <f t="shared" si="8"/>
        <v>3</v>
      </c>
      <c r="U16" s="113">
        <f t="shared" ca="1" si="9"/>
        <v>133</v>
      </c>
      <c r="V16" s="149">
        <f t="shared" ca="1" si="16"/>
        <v>126.85818854137874</v>
      </c>
    </row>
    <row r="17" spans="1:22" x14ac:dyDescent="0.25">
      <c r="A17" s="74">
        <f t="shared" si="0"/>
        <v>143.30125702369619</v>
      </c>
      <c r="B17" s="75">
        <f t="shared" si="11"/>
        <v>143</v>
      </c>
      <c r="C17" s="82">
        <f t="shared" si="1"/>
        <v>205.35250264571448</v>
      </c>
      <c r="D17" s="75">
        <f t="shared" si="12"/>
        <v>205</v>
      </c>
      <c r="E17" s="82">
        <f t="shared" si="2"/>
        <v>421.69650342858222</v>
      </c>
      <c r="F17" s="75">
        <f t="shared" si="3"/>
        <v>422</v>
      </c>
      <c r="G17" s="77">
        <f t="shared" si="13"/>
        <v>421.69650342858222</v>
      </c>
      <c r="H17" s="78">
        <v>10</v>
      </c>
      <c r="I17" s="85">
        <f t="shared" si="17"/>
        <v>430</v>
      </c>
      <c r="J17" s="83"/>
      <c r="K17" s="73"/>
      <c r="L17" s="73"/>
      <c r="M17" s="73"/>
      <c r="N17" s="73"/>
      <c r="O17" s="93"/>
      <c r="P17" s="73"/>
      <c r="Q17" s="73"/>
      <c r="R17" s="105"/>
      <c r="S17" s="105"/>
      <c r="T17" s="111">
        <f t="shared" si="8"/>
        <v>4</v>
      </c>
      <c r="U17" s="113">
        <f t="shared" ca="1" si="9"/>
        <v>147</v>
      </c>
      <c r="V17" s="149">
        <f t="shared" ca="1" si="16"/>
        <v>139.82489048806727</v>
      </c>
    </row>
    <row r="18" spans="1:22" x14ac:dyDescent="0.25">
      <c r="A18" s="74">
        <f t="shared" si="0"/>
        <v>146.77992676220686</v>
      </c>
      <c r="B18" s="75">
        <f t="shared" si="11"/>
        <v>147</v>
      </c>
      <c r="C18" s="82">
        <f t="shared" si="1"/>
        <v>215.44346900318823</v>
      </c>
      <c r="D18" s="75">
        <f t="shared" si="12"/>
        <v>215</v>
      </c>
      <c r="E18" s="82">
        <f t="shared" si="2"/>
        <v>464.15888336127784</v>
      </c>
      <c r="F18" s="75">
        <f t="shared" si="3"/>
        <v>464</v>
      </c>
      <c r="G18" s="77">
        <f t="shared" si="13"/>
        <v>464.15888336127784</v>
      </c>
      <c r="H18" s="78">
        <v>10</v>
      </c>
      <c r="I18" s="85">
        <f t="shared" si="17"/>
        <v>470</v>
      </c>
      <c r="J18" s="83"/>
      <c r="K18" s="73"/>
      <c r="L18" s="73"/>
      <c r="M18" s="73"/>
      <c r="N18" s="73"/>
      <c r="O18" s="93"/>
      <c r="P18" s="73"/>
      <c r="Q18" s="73"/>
      <c r="R18" s="105"/>
      <c r="S18" s="105"/>
      <c r="T18" s="111">
        <f t="shared" si="8"/>
        <v>4</v>
      </c>
      <c r="U18" s="113">
        <f t="shared" ca="1" si="9"/>
        <v>147</v>
      </c>
      <c r="V18" s="149">
        <f t="shared" ca="1" si="16"/>
        <v>139.82489048806727</v>
      </c>
    </row>
    <row r="19" spans="1:22" x14ac:dyDescent="0.25">
      <c r="A19" s="74">
        <f t="shared" si="0"/>
        <v>150.34304197873331</v>
      </c>
      <c r="B19" s="75">
        <f t="shared" si="11"/>
        <v>150</v>
      </c>
      <c r="C19" s="82">
        <f t="shared" si="1"/>
        <v>226.03030271419186</v>
      </c>
      <c r="D19" s="75">
        <f t="shared" si="12"/>
        <v>226</v>
      </c>
      <c r="E19" s="82">
        <f t="shared" si="2"/>
        <v>510.8969774506927</v>
      </c>
      <c r="F19" s="75">
        <f t="shared" si="3"/>
        <v>511</v>
      </c>
      <c r="G19" s="77">
        <f t="shared" si="13"/>
        <v>510.8969774506927</v>
      </c>
      <c r="H19" s="78"/>
      <c r="I19" s="75">
        <f t="shared" si="4"/>
        <v>510</v>
      </c>
      <c r="J19" s="83"/>
      <c r="K19" s="73"/>
      <c r="L19" s="73"/>
      <c r="M19" s="73"/>
      <c r="N19" s="73"/>
      <c r="O19" s="93"/>
      <c r="P19" s="73"/>
      <c r="Q19" s="73"/>
      <c r="R19" s="105"/>
      <c r="S19" s="105"/>
      <c r="T19" s="111">
        <f t="shared" si="8"/>
        <v>4</v>
      </c>
      <c r="U19" s="113">
        <f t="shared" ca="1" si="9"/>
        <v>147</v>
      </c>
      <c r="V19" s="149">
        <f t="shared" ca="1" si="16"/>
        <v>139.82489048806727</v>
      </c>
    </row>
    <row r="20" spans="1:22" x14ac:dyDescent="0.25">
      <c r="A20" s="74">
        <f t="shared" si="0"/>
        <v>153.99265260594908</v>
      </c>
      <c r="B20" s="75">
        <f t="shared" si="11"/>
        <v>154</v>
      </c>
      <c r="C20" s="82">
        <f t="shared" si="1"/>
        <v>237.13737056616537</v>
      </c>
      <c r="D20" s="75">
        <f t="shared" si="12"/>
        <v>237</v>
      </c>
      <c r="E20" s="82">
        <f t="shared" si="2"/>
        <v>562.34132519034904</v>
      </c>
      <c r="F20" s="75">
        <f t="shared" si="3"/>
        <v>562</v>
      </c>
      <c r="G20" s="77">
        <f t="shared" si="13"/>
        <v>562.34132519034904</v>
      </c>
      <c r="H20" s="78"/>
      <c r="I20" s="75">
        <f t="shared" si="4"/>
        <v>560</v>
      </c>
      <c r="J20" s="83"/>
      <c r="K20" s="73"/>
      <c r="L20" s="73"/>
      <c r="M20" s="73"/>
      <c r="N20" s="73"/>
      <c r="O20" s="93"/>
      <c r="P20" s="73"/>
      <c r="Q20" s="73"/>
      <c r="R20" s="105"/>
      <c r="S20" s="105"/>
      <c r="T20" s="111">
        <f t="shared" si="8"/>
        <v>4</v>
      </c>
      <c r="U20" s="113">
        <f t="shared" ca="1" si="9"/>
        <v>147</v>
      </c>
      <c r="V20" s="149">
        <f t="shared" ca="1" si="16"/>
        <v>139.82489048806727</v>
      </c>
    </row>
    <row r="21" spans="1:22" x14ac:dyDescent="0.25">
      <c r="A21" s="74">
        <f t="shared" si="0"/>
        <v>157.73085833909713</v>
      </c>
      <c r="B21" s="75">
        <f t="shared" si="11"/>
        <v>158</v>
      </c>
      <c r="C21" s="82">
        <f t="shared" si="1"/>
        <v>248.79023672388348</v>
      </c>
      <c r="D21" s="75">
        <f t="shared" si="12"/>
        <v>249</v>
      </c>
      <c r="E21" s="82">
        <f t="shared" si="2"/>
        <v>618.96581889126048</v>
      </c>
      <c r="F21" s="75">
        <f t="shared" si="3"/>
        <v>619</v>
      </c>
      <c r="G21" s="77">
        <f t="shared" si="13"/>
        <v>618.96581889126048</v>
      </c>
      <c r="H21" s="78"/>
      <c r="I21" s="75">
        <f t="shared" si="4"/>
        <v>620</v>
      </c>
      <c r="J21" s="83"/>
      <c r="K21" s="73"/>
      <c r="L21" s="73"/>
      <c r="M21" s="73"/>
      <c r="N21" s="73"/>
      <c r="O21" s="93"/>
      <c r="P21" s="73"/>
      <c r="Q21" s="73"/>
      <c r="R21" s="105"/>
      <c r="S21" s="105"/>
      <c r="T21" s="111">
        <f t="shared" si="8"/>
        <v>5</v>
      </c>
      <c r="U21" s="113">
        <f t="shared" ca="1" si="9"/>
        <v>162</v>
      </c>
      <c r="V21" s="149">
        <f t="shared" ca="1" si="16"/>
        <v>154.3178537953402</v>
      </c>
    </row>
    <row r="22" spans="1:22" x14ac:dyDescent="0.25">
      <c r="A22" s="74">
        <f t="shared" si="0"/>
        <v>161.55980984398727</v>
      </c>
      <c r="B22" s="75">
        <f t="shared" si="11"/>
        <v>162</v>
      </c>
      <c r="C22" s="82">
        <f t="shared" si="1"/>
        <v>261.01572156825353</v>
      </c>
      <c r="D22" s="75">
        <f t="shared" si="12"/>
        <v>261</v>
      </c>
      <c r="E22" s="82">
        <f t="shared" si="2"/>
        <v>681.29206905796116</v>
      </c>
      <c r="F22" s="75">
        <f t="shared" si="3"/>
        <v>681</v>
      </c>
      <c r="G22" s="77">
        <f t="shared" si="13"/>
        <v>681.29206905796116</v>
      </c>
      <c r="H22" s="78"/>
      <c r="I22" s="75">
        <f t="shared" si="4"/>
        <v>680</v>
      </c>
      <c r="J22" s="83"/>
      <c r="K22" s="73"/>
      <c r="L22" s="73"/>
      <c r="M22" s="73"/>
      <c r="N22" s="73"/>
      <c r="O22" s="93"/>
      <c r="P22" s="73"/>
      <c r="Q22" s="73"/>
      <c r="R22" s="105"/>
      <c r="S22" s="105"/>
      <c r="T22" s="111">
        <f t="shared" si="8"/>
        <v>5</v>
      </c>
      <c r="U22" s="113">
        <f t="shared" ca="1" si="9"/>
        <v>162</v>
      </c>
      <c r="V22" s="149">
        <f t="shared" ca="1" si="16"/>
        <v>154.3178537953402</v>
      </c>
    </row>
    <row r="23" spans="1:22" x14ac:dyDescent="0.25">
      <c r="A23" s="74">
        <f t="shared" si="0"/>
        <v>165.48170999431801</v>
      </c>
      <c r="B23" s="75">
        <f t="shared" si="11"/>
        <v>165</v>
      </c>
      <c r="C23" s="82">
        <f t="shared" si="1"/>
        <v>273.84196342643594</v>
      </c>
      <c r="D23" s="75">
        <f t="shared" si="12"/>
        <v>274</v>
      </c>
      <c r="E23" s="82">
        <f t="shared" si="2"/>
        <v>749.89420933245572</v>
      </c>
      <c r="F23" s="75">
        <f t="shared" si="3"/>
        <v>750</v>
      </c>
      <c r="G23" s="77">
        <f t="shared" si="13"/>
        <v>749.89420933245572</v>
      </c>
      <c r="H23" s="78"/>
      <c r="I23" s="75">
        <f t="shared" si="4"/>
        <v>750</v>
      </c>
      <c r="J23" s="83"/>
      <c r="K23" s="73"/>
      <c r="L23" s="73"/>
      <c r="M23" s="73"/>
      <c r="N23" s="73"/>
      <c r="O23" s="93"/>
      <c r="P23" s="73"/>
      <c r="Q23" s="73"/>
      <c r="R23" s="105"/>
      <c r="S23" s="105"/>
      <c r="T23" s="111">
        <f t="shared" si="8"/>
        <v>5</v>
      </c>
      <c r="U23" s="113">
        <f t="shared" ca="1" si="9"/>
        <v>162</v>
      </c>
      <c r="V23" s="149">
        <f t="shared" ca="1" si="16"/>
        <v>154.3178537953402</v>
      </c>
    </row>
    <row r="24" spans="1:22" x14ac:dyDescent="0.25">
      <c r="A24" s="74">
        <f t="shared" si="0"/>
        <v>169.49881513903452</v>
      </c>
      <c r="B24" s="75">
        <f t="shared" si="11"/>
        <v>169</v>
      </c>
      <c r="C24" s="82">
        <f t="shared" si="1"/>
        <v>287.29848333536626</v>
      </c>
      <c r="D24" s="75">
        <f t="shared" si="12"/>
        <v>287</v>
      </c>
      <c r="E24" s="82">
        <f t="shared" si="2"/>
        <v>825.4041852680183</v>
      </c>
      <c r="F24" s="75">
        <f t="shared" si="3"/>
        <v>825</v>
      </c>
      <c r="G24" s="77">
        <f t="shared" si="13"/>
        <v>825.4041852680183</v>
      </c>
      <c r="H24" s="78">
        <v>-10</v>
      </c>
      <c r="I24" s="85">
        <f>10*ROUND(G24/10,0)+H24</f>
        <v>820</v>
      </c>
      <c r="J24" s="83"/>
      <c r="K24" s="73"/>
      <c r="L24" s="73"/>
      <c r="M24" s="73"/>
      <c r="N24" s="73"/>
      <c r="O24" s="93"/>
      <c r="P24" s="73"/>
      <c r="Q24" s="73"/>
      <c r="R24" s="105"/>
      <c r="S24" s="105"/>
      <c r="T24" s="111">
        <f t="shared" si="8"/>
        <v>5</v>
      </c>
      <c r="U24" s="113">
        <f t="shared" ca="1" si="9"/>
        <v>162</v>
      </c>
      <c r="V24" s="149">
        <f t="shared" ca="1" si="16"/>
        <v>154.3178537953402</v>
      </c>
    </row>
    <row r="25" spans="1:22" ht="15.75" thickBot="1" x14ac:dyDescent="0.3">
      <c r="A25" s="74">
        <f t="shared" si="0"/>
        <v>173.61343640045214</v>
      </c>
      <c r="B25" s="75">
        <f t="shared" si="11"/>
        <v>174</v>
      </c>
      <c r="C25" s="82">
        <f t="shared" si="1"/>
        <v>301.4162529877388</v>
      </c>
      <c r="D25" s="75">
        <f t="shared" si="12"/>
        <v>301</v>
      </c>
      <c r="E25" s="82">
        <f t="shared" si="2"/>
        <v>908.51757565168668</v>
      </c>
      <c r="F25" s="75">
        <f t="shared" si="3"/>
        <v>909</v>
      </c>
      <c r="G25" s="77">
        <f t="shared" si="13"/>
        <v>908.51757565168668</v>
      </c>
      <c r="H25" s="78"/>
      <c r="I25" s="87">
        <f t="shared" si="4"/>
        <v>910</v>
      </c>
      <c r="J25" s="83"/>
      <c r="K25" s="73"/>
      <c r="L25" s="73"/>
      <c r="M25" s="73"/>
      <c r="N25" s="73"/>
      <c r="O25" s="93"/>
      <c r="P25" s="73"/>
      <c r="Q25" s="73"/>
      <c r="R25" s="105"/>
      <c r="S25" s="105"/>
      <c r="T25" s="111">
        <f t="shared" si="8"/>
        <v>6</v>
      </c>
      <c r="U25" s="113">
        <f t="shared" ca="1" si="9"/>
        <v>178</v>
      </c>
      <c r="V25" s="149">
        <f t="shared" ca="1" si="16"/>
        <v>169.81166037701888</v>
      </c>
    </row>
    <row r="26" spans="1:22" ht="15.75" thickTop="1" x14ac:dyDescent="0.25">
      <c r="A26" s="74">
        <f t="shared" si="0"/>
        <v>177.82794100389211</v>
      </c>
      <c r="B26" s="75">
        <f t="shared" si="11"/>
        <v>178</v>
      </c>
      <c r="C26" s="82">
        <f t="shared" si="1"/>
        <v>316.22776601683773</v>
      </c>
      <c r="D26" s="75">
        <f t="shared" si="12"/>
        <v>316</v>
      </c>
      <c r="E26" s="96">
        <f t="shared" si="2"/>
        <v>999.99999999999989</v>
      </c>
      <c r="F26" s="97">
        <f t="shared" si="3"/>
        <v>1000</v>
      </c>
      <c r="G26" s="98">
        <f>G25*$O$5</f>
        <v>999.99999999999989</v>
      </c>
      <c r="H26" s="99"/>
      <c r="I26" s="75">
        <f t="shared" si="4"/>
        <v>1000</v>
      </c>
      <c r="J26" s="83"/>
      <c r="K26" s="73"/>
      <c r="L26" s="73"/>
      <c r="M26" s="73"/>
      <c r="N26" s="73"/>
      <c r="O26" s="93"/>
      <c r="P26" s="73"/>
      <c r="Q26" s="73"/>
      <c r="R26" s="105"/>
      <c r="S26" s="105"/>
      <c r="T26" s="111">
        <f t="shared" si="8"/>
        <v>6</v>
      </c>
      <c r="U26" s="113">
        <f t="shared" ca="1" si="9"/>
        <v>178</v>
      </c>
      <c r="V26" s="149">
        <f t="shared" ca="1" si="16"/>
        <v>169.81166037701888</v>
      </c>
    </row>
    <row r="27" spans="1:22" x14ac:dyDescent="0.25">
      <c r="A27" s="74">
        <f t="shared" si="0"/>
        <v>182.14475363959431</v>
      </c>
      <c r="B27" s="75">
        <f t="shared" si="11"/>
        <v>182</v>
      </c>
      <c r="C27" s="82">
        <f t="shared" si="1"/>
        <v>331.76711278428547</v>
      </c>
      <c r="D27" s="75">
        <f t="shared" si="12"/>
        <v>332</v>
      </c>
      <c r="E27" s="82"/>
      <c r="F27" s="73"/>
      <c r="G27" s="73"/>
      <c r="H27" s="100"/>
      <c r="I27" s="73"/>
      <c r="J27" s="73"/>
      <c r="K27" s="73"/>
      <c r="L27" s="73"/>
      <c r="M27" s="73"/>
      <c r="N27" s="73"/>
      <c r="O27" s="93"/>
      <c r="P27" s="73"/>
      <c r="Q27" s="73"/>
      <c r="R27" s="105"/>
      <c r="S27" s="105"/>
      <c r="T27" s="111">
        <f t="shared" si="8"/>
        <v>6</v>
      </c>
      <c r="U27" s="113">
        <f t="shared" ca="1" si="9"/>
        <v>178</v>
      </c>
      <c r="V27" s="149">
        <f t="shared" ca="1" si="16"/>
        <v>169.81166037701888</v>
      </c>
    </row>
    <row r="28" spans="1:22" x14ac:dyDescent="0.25">
      <c r="A28" s="74">
        <f t="shared" si="0"/>
        <v>186.56635785769103</v>
      </c>
      <c r="B28" s="75">
        <f t="shared" si="11"/>
        <v>187</v>
      </c>
      <c r="C28" s="82">
        <f t="shared" si="1"/>
        <v>348.07005884284081</v>
      </c>
      <c r="D28" s="75">
        <f t="shared" si="12"/>
        <v>348</v>
      </c>
      <c r="E28" s="82"/>
      <c r="F28" s="73"/>
      <c r="G28" s="77"/>
      <c r="H28" s="78"/>
      <c r="I28" s="101"/>
      <c r="J28" s="73"/>
      <c r="K28" s="73"/>
      <c r="L28" s="73"/>
      <c r="M28" s="73"/>
      <c r="N28" s="73"/>
      <c r="O28" s="93"/>
      <c r="P28" s="73"/>
      <c r="Q28" s="73"/>
      <c r="R28" s="105"/>
      <c r="S28" s="105"/>
      <c r="T28" s="111">
        <f t="shared" si="8"/>
        <v>6</v>
      </c>
      <c r="U28" s="113">
        <f t="shared" ca="1" si="9"/>
        <v>178</v>
      </c>
      <c r="V28" s="149">
        <f t="shared" ca="1" si="16"/>
        <v>169.81166037701888</v>
      </c>
    </row>
    <row r="29" spans="1:22" x14ac:dyDescent="0.25">
      <c r="A29" s="74">
        <f t="shared" si="0"/>
        <v>191.09529749704384</v>
      </c>
      <c r="B29" s="75">
        <f t="shared" si="11"/>
        <v>191</v>
      </c>
      <c r="C29" s="82">
        <f t="shared" si="1"/>
        <v>365.1741272548374</v>
      </c>
      <c r="D29" s="75">
        <f t="shared" si="12"/>
        <v>365</v>
      </c>
      <c r="E29" s="82"/>
      <c r="F29" s="73"/>
      <c r="G29" s="77"/>
      <c r="H29" s="78"/>
      <c r="I29" s="84"/>
      <c r="J29" s="73"/>
      <c r="K29" s="73"/>
      <c r="L29" s="73"/>
      <c r="M29" s="73"/>
      <c r="N29" s="73"/>
      <c r="O29" s="93"/>
      <c r="P29" s="73"/>
      <c r="Q29" s="73"/>
      <c r="R29" s="105"/>
      <c r="S29" s="105"/>
      <c r="T29" s="111">
        <f t="shared" si="8"/>
        <v>7</v>
      </c>
      <c r="U29" s="113">
        <f t="shared" ca="1" si="9"/>
        <v>196</v>
      </c>
      <c r="V29" s="149">
        <f t="shared" ca="1" si="16"/>
        <v>186.78329689776868</v>
      </c>
    </row>
    <row r="30" spans="1:22" x14ac:dyDescent="0.25">
      <c r="A30" s="74">
        <f t="shared" si="0"/>
        <v>195.73417814876581</v>
      </c>
      <c r="B30" s="75">
        <f t="shared" si="11"/>
        <v>196</v>
      </c>
      <c r="C30" s="82">
        <f t="shared" si="1"/>
        <v>383.11868495572844</v>
      </c>
      <c r="D30" s="75">
        <f t="shared" si="12"/>
        <v>383</v>
      </c>
      <c r="E30" s="82"/>
      <c r="F30" s="73"/>
      <c r="G30" s="73"/>
      <c r="H30" s="100"/>
      <c r="I30" s="73"/>
      <c r="J30" s="73"/>
      <c r="K30" s="73"/>
      <c r="L30" s="73"/>
      <c r="M30" s="73"/>
      <c r="N30" s="73"/>
      <c r="O30" s="93"/>
      <c r="P30" s="73"/>
      <c r="Q30" s="73"/>
      <c r="R30" s="105"/>
      <c r="S30" s="105"/>
      <c r="T30" s="111">
        <f t="shared" si="8"/>
        <v>7</v>
      </c>
      <c r="U30" s="113">
        <f t="shared" ca="1" si="9"/>
        <v>196</v>
      </c>
      <c r="V30" s="149">
        <f t="shared" ca="1" si="16"/>
        <v>186.78329689776868</v>
      </c>
    </row>
    <row r="31" spans="1:22" x14ac:dyDescent="0.25">
      <c r="A31" s="74">
        <f t="shared" si="0"/>
        <v>200.4856686552711</v>
      </c>
      <c r="B31" s="75">
        <f t="shared" si="11"/>
        <v>200</v>
      </c>
      <c r="C31" s="82">
        <f t="shared" si="1"/>
        <v>401.94503336151217</v>
      </c>
      <c r="D31" s="75">
        <f t="shared" si="12"/>
        <v>402</v>
      </c>
      <c r="E31" s="82"/>
      <c r="F31" s="73"/>
      <c r="G31" s="73"/>
      <c r="H31" s="100"/>
      <c r="I31" s="73"/>
      <c r="J31" s="73"/>
      <c r="K31" s="73"/>
      <c r="L31" s="73"/>
      <c r="M31" s="73"/>
      <c r="N31" s="73"/>
      <c r="O31" s="93"/>
      <c r="P31" s="73"/>
      <c r="Q31" s="73"/>
      <c r="R31" s="105"/>
      <c r="S31" s="105"/>
      <c r="T31" s="111">
        <f t="shared" si="8"/>
        <v>7</v>
      </c>
      <c r="U31" s="113">
        <f t="shared" ca="1" si="9"/>
        <v>196</v>
      </c>
      <c r="V31" s="149">
        <f t="shared" ca="1" si="16"/>
        <v>186.78329689776868</v>
      </c>
    </row>
    <row r="32" spans="1:22" x14ac:dyDescent="0.25">
      <c r="A32" s="74">
        <f t="shared" si="0"/>
        <v>205.35250264571434</v>
      </c>
      <c r="B32" s="75">
        <f t="shared" si="11"/>
        <v>205</v>
      </c>
      <c r="C32" s="82">
        <f t="shared" si="1"/>
        <v>421.69650342858188</v>
      </c>
      <c r="D32" s="75">
        <f t="shared" si="12"/>
        <v>422</v>
      </c>
      <c r="E32" s="82"/>
      <c r="F32" s="73"/>
      <c r="G32" s="73"/>
      <c r="H32" s="100"/>
      <c r="I32" s="73"/>
      <c r="J32" s="73"/>
      <c r="K32" s="73"/>
      <c r="L32" s="73"/>
      <c r="M32" s="73"/>
      <c r="N32" s="73"/>
      <c r="O32" s="93"/>
      <c r="P32" s="73"/>
      <c r="Q32" s="73"/>
      <c r="R32" s="105"/>
      <c r="S32" s="105"/>
      <c r="T32" s="111">
        <f t="shared" si="8"/>
        <v>7</v>
      </c>
      <c r="U32" s="113">
        <f t="shared" ca="1" si="9"/>
        <v>196</v>
      </c>
      <c r="V32" s="149">
        <f t="shared" ca="1" si="16"/>
        <v>186.78329689776868</v>
      </c>
    </row>
    <row r="33" spans="1:22" x14ac:dyDescent="0.25">
      <c r="A33" s="74">
        <f t="shared" si="0"/>
        <v>210.33748010870306</v>
      </c>
      <c r="B33" s="75">
        <f t="shared" si="11"/>
        <v>210</v>
      </c>
      <c r="C33" s="82">
        <f t="shared" si="1"/>
        <v>442.41855538479132</v>
      </c>
      <c r="D33" s="75">
        <f t="shared" si="12"/>
        <v>442</v>
      </c>
      <c r="E33" s="82"/>
      <c r="F33" s="73"/>
      <c r="G33" s="73"/>
      <c r="H33" s="100"/>
      <c r="I33" s="73"/>
      <c r="J33" s="73"/>
      <c r="K33" s="73"/>
      <c r="L33" s="73"/>
      <c r="M33" s="73"/>
      <c r="N33" s="73"/>
      <c r="O33" s="93"/>
      <c r="P33" s="73"/>
      <c r="Q33" s="73"/>
      <c r="R33" s="105"/>
      <c r="S33" s="105"/>
      <c r="T33" s="111">
        <f t="shared" si="8"/>
        <v>8</v>
      </c>
      <c r="U33" s="113">
        <f t="shared" ca="1" si="9"/>
        <v>215</v>
      </c>
      <c r="V33" s="149">
        <f t="shared" ca="1" si="16"/>
        <v>205.28029618061254</v>
      </c>
    </row>
    <row r="34" spans="1:22" x14ac:dyDescent="0.25">
      <c r="A34" s="74">
        <f t="shared" si="0"/>
        <v>215.44346900318808</v>
      </c>
      <c r="B34" s="75">
        <f t="shared" si="11"/>
        <v>215</v>
      </c>
      <c r="C34" s="82">
        <f t="shared" si="1"/>
        <v>464.15888336127745</v>
      </c>
      <c r="D34" s="75">
        <f t="shared" si="12"/>
        <v>464</v>
      </c>
      <c r="E34" s="82"/>
      <c r="F34" s="73"/>
      <c r="G34" s="73"/>
      <c r="H34" s="100"/>
      <c r="I34" s="73"/>
      <c r="J34" s="73"/>
      <c r="K34" s="73"/>
      <c r="L34" s="73"/>
      <c r="M34" s="73"/>
      <c r="N34" s="73"/>
      <c r="O34" s="93"/>
      <c r="P34" s="73"/>
      <c r="Q34" s="73"/>
      <c r="R34" s="105"/>
      <c r="S34" s="105"/>
      <c r="T34" s="111">
        <f t="shared" si="8"/>
        <v>8</v>
      </c>
      <c r="U34" s="113">
        <f t="shared" ca="1" si="9"/>
        <v>215</v>
      </c>
      <c r="V34" s="149">
        <f t="shared" ca="1" si="16"/>
        <v>205.28029618061254</v>
      </c>
    </row>
    <row r="35" spans="1:22" x14ac:dyDescent="0.25">
      <c r="A35" s="74">
        <f t="shared" ref="A35:A66" si="18">A34*$O$2</f>
        <v>220.67340690845867</v>
      </c>
      <c r="B35" s="75">
        <f t="shared" si="11"/>
        <v>221</v>
      </c>
      <c r="C35" s="82">
        <f t="shared" si="1"/>
        <v>486.96752516586264</v>
      </c>
      <c r="D35" s="75">
        <f t="shared" si="12"/>
        <v>487</v>
      </c>
      <c r="E35" s="82"/>
      <c r="F35" s="73"/>
      <c r="G35" s="73"/>
      <c r="H35" s="100"/>
      <c r="I35" s="73"/>
      <c r="J35" s="73"/>
      <c r="K35" s="73"/>
      <c r="L35" s="73"/>
      <c r="M35" s="73"/>
      <c r="N35" s="73"/>
      <c r="O35" s="93"/>
      <c r="P35" s="73"/>
      <c r="Q35" s="73"/>
      <c r="R35" s="105"/>
      <c r="S35" s="105"/>
      <c r="T35" s="111">
        <f t="shared" si="8"/>
        <v>8</v>
      </c>
      <c r="U35" s="113">
        <f t="shared" ca="1" si="9"/>
        <v>215</v>
      </c>
      <c r="V35" s="149">
        <f t="shared" ca="1" si="16"/>
        <v>205.28029618061254</v>
      </c>
    </row>
    <row r="36" spans="1:22" x14ac:dyDescent="0.25">
      <c r="A36" s="74">
        <f t="shared" si="18"/>
        <v>226.03030271419169</v>
      </c>
      <c r="B36" s="75">
        <f t="shared" si="11"/>
        <v>226</v>
      </c>
      <c r="C36" s="82">
        <f t="shared" si="1"/>
        <v>510.89697745069225</v>
      </c>
      <c r="D36" s="75">
        <f t="shared" si="12"/>
        <v>511</v>
      </c>
      <c r="E36" s="82"/>
      <c r="F36" s="73"/>
      <c r="G36" s="73"/>
      <c r="H36" s="100"/>
      <c r="I36" s="73"/>
      <c r="J36" s="73"/>
      <c r="K36" s="73"/>
      <c r="L36" s="73"/>
      <c r="M36" s="73"/>
      <c r="N36" s="73"/>
      <c r="O36" s="93"/>
      <c r="P36" s="73"/>
      <c r="Q36" s="73"/>
      <c r="R36" s="105"/>
      <c r="S36" s="105"/>
      <c r="T36" s="111">
        <f t="shared" si="8"/>
        <v>8</v>
      </c>
      <c r="U36" s="113">
        <f t="shared" ca="1" si="9"/>
        <v>215</v>
      </c>
      <c r="V36" s="149">
        <f t="shared" ca="1" si="16"/>
        <v>205.28029618061254</v>
      </c>
    </row>
    <row r="37" spans="1:22" x14ac:dyDescent="0.25">
      <c r="A37" s="74">
        <f t="shared" si="18"/>
        <v>231.517238351527</v>
      </c>
      <c r="B37" s="75">
        <f t="shared" si="11"/>
        <v>232</v>
      </c>
      <c r="C37" s="82">
        <f t="shared" si="1"/>
        <v>536.00231653917865</v>
      </c>
      <c r="D37" s="75">
        <f t="shared" si="12"/>
        <v>536</v>
      </c>
      <c r="E37" s="82"/>
      <c r="F37" s="73"/>
      <c r="G37" s="73"/>
      <c r="H37" s="100"/>
      <c r="I37" s="73"/>
      <c r="J37" s="73"/>
      <c r="K37" s="73"/>
      <c r="L37" s="73"/>
      <c r="M37" s="73"/>
      <c r="N37" s="73"/>
      <c r="O37" s="93"/>
      <c r="P37" s="73"/>
      <c r="Q37" s="73"/>
      <c r="R37" s="105"/>
      <c r="S37" s="105"/>
      <c r="T37" s="111">
        <f t="shared" si="8"/>
        <v>9</v>
      </c>
      <c r="U37" s="113">
        <f t="shared" ca="1" si="9"/>
        <v>237</v>
      </c>
      <c r="V37" s="149">
        <f t="shared" ca="1" si="16"/>
        <v>225.73214215082442</v>
      </c>
    </row>
    <row r="38" spans="1:22" x14ac:dyDescent="0.25">
      <c r="A38" s="74">
        <f t="shared" si="18"/>
        <v>237.13737056616517</v>
      </c>
      <c r="B38" s="75">
        <f t="shared" si="11"/>
        <v>237</v>
      </c>
      <c r="C38" s="82">
        <f t="shared" si="1"/>
        <v>562.34132519034847</v>
      </c>
      <c r="D38" s="75">
        <f t="shared" si="12"/>
        <v>562</v>
      </c>
      <c r="E38" s="82"/>
      <c r="F38" s="73"/>
      <c r="G38" s="73"/>
      <c r="H38" s="100"/>
      <c r="I38" s="73"/>
      <c r="J38" s="73"/>
      <c r="K38" s="73"/>
      <c r="L38" s="73"/>
      <c r="M38" s="73"/>
      <c r="N38" s="73"/>
      <c r="O38" s="93"/>
      <c r="P38" s="73"/>
      <c r="Q38" s="73"/>
      <c r="R38" s="105"/>
      <c r="S38" s="105"/>
      <c r="T38" s="111">
        <f t="shared" si="8"/>
        <v>9</v>
      </c>
      <c r="U38" s="113">
        <f t="shared" ca="1" si="9"/>
        <v>237</v>
      </c>
      <c r="V38" s="149">
        <f t="shared" ca="1" si="16"/>
        <v>225.73214215082442</v>
      </c>
    </row>
    <row r="39" spans="1:22" x14ac:dyDescent="0.25">
      <c r="A39" s="74">
        <f t="shared" si="18"/>
        <v>242.8939327345075</v>
      </c>
      <c r="B39" s="75">
        <f t="shared" si="11"/>
        <v>243</v>
      </c>
      <c r="C39" s="82">
        <f t="shared" si="1"/>
        <v>589.97462559235566</v>
      </c>
      <c r="D39" s="75">
        <f t="shared" si="12"/>
        <v>590</v>
      </c>
      <c r="E39" s="82"/>
      <c r="F39" s="73"/>
      <c r="G39" s="73"/>
      <c r="H39" s="100"/>
      <c r="I39" s="73"/>
      <c r="J39" s="73"/>
      <c r="K39" s="73"/>
      <c r="L39" s="73"/>
      <c r="M39" s="73"/>
      <c r="N39" s="73"/>
      <c r="O39" s="93"/>
      <c r="P39" s="73"/>
      <c r="Q39" s="73"/>
      <c r="R39" s="105"/>
      <c r="S39" s="105"/>
      <c r="T39" s="111">
        <f t="shared" si="8"/>
        <v>9</v>
      </c>
      <c r="U39" s="113">
        <f t="shared" ca="1" si="9"/>
        <v>237</v>
      </c>
      <c r="V39" s="149">
        <f t="shared" ca="1" si="16"/>
        <v>225.73214215082442</v>
      </c>
    </row>
    <row r="40" spans="1:22" x14ac:dyDescent="0.25">
      <c r="A40" s="74">
        <f t="shared" si="18"/>
        <v>248.79023672388323</v>
      </c>
      <c r="B40" s="75">
        <f t="shared" si="11"/>
        <v>249</v>
      </c>
      <c r="C40" s="82">
        <f t="shared" si="1"/>
        <v>618.9658188912598</v>
      </c>
      <c r="D40" s="75">
        <f t="shared" si="12"/>
        <v>619</v>
      </c>
      <c r="E40" s="82"/>
      <c r="F40" s="73"/>
      <c r="G40" s="73"/>
      <c r="H40" s="100"/>
      <c r="I40" s="73"/>
      <c r="J40" s="73"/>
      <c r="K40" s="73"/>
      <c r="L40" s="73"/>
      <c r="M40" s="73"/>
      <c r="N40" s="73"/>
      <c r="O40" s="93"/>
      <c r="P40" s="73"/>
      <c r="Q40" s="73"/>
      <c r="R40" s="105"/>
      <c r="S40" s="105"/>
      <c r="T40" s="111">
        <f t="shared" si="8"/>
        <v>9</v>
      </c>
      <c r="U40" s="113">
        <f t="shared" ca="1" si="9"/>
        <v>237</v>
      </c>
      <c r="V40" s="149">
        <f t="shared" ca="1" si="16"/>
        <v>225.73214215082442</v>
      </c>
    </row>
    <row r="41" spans="1:22" x14ac:dyDescent="0.25">
      <c r="A41" s="74">
        <f t="shared" si="18"/>
        <v>254.82967479793422</v>
      </c>
      <c r="B41" s="75">
        <f t="shared" si="11"/>
        <v>255</v>
      </c>
      <c r="C41" s="82">
        <f t="shared" si="1"/>
        <v>649.38163157621045</v>
      </c>
      <c r="D41" s="75">
        <f t="shared" si="12"/>
        <v>649</v>
      </c>
      <c r="E41" s="82"/>
      <c r="F41" s="73"/>
      <c r="G41" s="73"/>
      <c r="H41" s="100"/>
      <c r="I41" s="73"/>
      <c r="J41" s="73"/>
      <c r="K41" s="73"/>
      <c r="L41" s="73"/>
      <c r="M41" s="73"/>
      <c r="N41" s="73"/>
      <c r="O41" s="93"/>
      <c r="P41" s="73"/>
      <c r="Q41" s="73"/>
      <c r="R41" s="105"/>
      <c r="S41" s="105"/>
      <c r="T41" s="111">
        <f t="shared" si="8"/>
        <v>10</v>
      </c>
      <c r="U41" s="113">
        <f t="shared" ca="1" si="9"/>
        <v>261</v>
      </c>
      <c r="V41" s="149">
        <f t="shared" ca="1" si="16"/>
        <v>248.71067528355113</v>
      </c>
    </row>
    <row r="42" spans="1:22" x14ac:dyDescent="0.25">
      <c r="A42" s="74">
        <f t="shared" si="18"/>
        <v>261.01572156825324</v>
      </c>
      <c r="B42" s="75">
        <f t="shared" si="11"/>
        <v>261</v>
      </c>
      <c r="C42" s="82">
        <f t="shared" si="1"/>
        <v>681.29206905796036</v>
      </c>
      <c r="D42" s="75">
        <f t="shared" si="12"/>
        <v>681</v>
      </c>
      <c r="E42" s="82"/>
      <c r="F42" s="73"/>
      <c r="G42" s="73"/>
      <c r="H42" s="100"/>
      <c r="I42" s="73"/>
      <c r="J42" s="73"/>
      <c r="K42" s="73"/>
      <c r="L42" s="73"/>
      <c r="M42" s="73"/>
      <c r="N42" s="73"/>
      <c r="O42" s="93"/>
      <c r="P42" s="73"/>
      <c r="Q42" s="73"/>
      <c r="R42" s="105"/>
      <c r="S42" s="105"/>
      <c r="T42" s="111">
        <f t="shared" si="8"/>
        <v>10</v>
      </c>
      <c r="U42" s="113">
        <f t="shared" ca="1" si="9"/>
        <v>261</v>
      </c>
      <c r="V42" s="149">
        <f t="shared" ca="1" si="16"/>
        <v>248.71067528355113</v>
      </c>
    </row>
    <row r="43" spans="1:22" x14ac:dyDescent="0.25">
      <c r="A43" s="74">
        <f t="shared" si="18"/>
        <v>267.35193599339863</v>
      </c>
      <c r="B43" s="75">
        <f t="shared" si="11"/>
        <v>267</v>
      </c>
      <c r="C43" s="82">
        <f t="shared" si="1"/>
        <v>714.77057679418465</v>
      </c>
      <c r="D43" s="75">
        <f t="shared" si="12"/>
        <v>715</v>
      </c>
      <c r="E43" s="82"/>
      <c r="F43" s="73"/>
      <c r="G43" s="73"/>
      <c r="H43" s="100"/>
      <c r="I43" s="73"/>
      <c r="J43" s="73"/>
      <c r="K43" s="73"/>
      <c r="L43" s="73"/>
      <c r="M43" s="73"/>
      <c r="N43" s="73"/>
      <c r="O43" s="93"/>
      <c r="P43" s="73"/>
      <c r="Q43" s="73"/>
      <c r="R43" s="105"/>
      <c r="S43" s="105"/>
      <c r="T43" s="111">
        <f t="shared" si="8"/>
        <v>10</v>
      </c>
      <c r="U43" s="113">
        <f t="shared" ca="1" si="9"/>
        <v>261</v>
      </c>
      <c r="V43" s="149">
        <f t="shared" ca="1" si="16"/>
        <v>248.71067528355113</v>
      </c>
    </row>
    <row r="44" spans="1:22" x14ac:dyDescent="0.25">
      <c r="A44" s="74">
        <f t="shared" si="18"/>
        <v>273.84196342643565</v>
      </c>
      <c r="B44" s="75">
        <f t="shared" si="11"/>
        <v>274</v>
      </c>
      <c r="C44" s="82">
        <f t="shared" si="1"/>
        <v>749.89420933245481</v>
      </c>
      <c r="D44" s="75">
        <f t="shared" si="12"/>
        <v>750</v>
      </c>
      <c r="E44" s="82"/>
      <c r="F44" s="73"/>
      <c r="G44" s="73"/>
      <c r="H44" s="100"/>
      <c r="I44" s="73"/>
      <c r="J44" s="73"/>
      <c r="K44" s="73"/>
      <c r="L44" s="73"/>
      <c r="M44" s="73"/>
      <c r="N44" s="73"/>
      <c r="O44" s="93"/>
      <c r="P44" s="73"/>
      <c r="Q44" s="73"/>
      <c r="R44" s="105"/>
      <c r="S44" s="105"/>
      <c r="T44" s="111">
        <f t="shared" si="8"/>
        <v>10</v>
      </c>
      <c r="U44" s="113">
        <f t="shared" ca="1" si="9"/>
        <v>261</v>
      </c>
      <c r="V44" s="149">
        <f t="shared" ca="1" si="16"/>
        <v>248.71067528355113</v>
      </c>
    </row>
    <row r="45" spans="1:22" x14ac:dyDescent="0.25">
      <c r="A45" s="74">
        <f t="shared" si="18"/>
        <v>280.48953771218225</v>
      </c>
      <c r="B45" s="75">
        <f t="shared" si="11"/>
        <v>280</v>
      </c>
      <c r="C45" s="82">
        <f t="shared" si="1"/>
        <v>786.74380765993885</v>
      </c>
      <c r="D45" s="75">
        <f t="shared" si="12"/>
        <v>787</v>
      </c>
      <c r="E45" s="82"/>
      <c r="F45" s="73"/>
      <c r="G45" s="73"/>
      <c r="H45" s="100"/>
      <c r="I45" s="73"/>
      <c r="J45" s="73"/>
      <c r="K45" s="73"/>
      <c r="L45" s="73"/>
      <c r="M45" s="73"/>
      <c r="N45" s="73"/>
      <c r="O45" s="93"/>
      <c r="P45" s="73"/>
      <c r="Q45" s="73"/>
      <c r="R45" s="105"/>
      <c r="S45" s="105"/>
      <c r="T45" s="111">
        <f t="shared" si="8"/>
        <v>11</v>
      </c>
      <c r="U45" s="113">
        <f t="shared" ca="1" si="9"/>
        <v>287</v>
      </c>
      <c r="V45" s="149">
        <f t="shared" ca="1" si="16"/>
        <v>273.69143209095893</v>
      </c>
    </row>
    <row r="46" spans="1:22" x14ac:dyDescent="0.25">
      <c r="A46" s="74">
        <f t="shared" si="18"/>
        <v>287.29848333536592</v>
      </c>
      <c r="B46" s="75">
        <f t="shared" si="11"/>
        <v>287</v>
      </c>
      <c r="C46" s="82">
        <f t="shared" si="1"/>
        <v>825.40418526801727</v>
      </c>
      <c r="D46" s="75">
        <f t="shared" si="12"/>
        <v>825</v>
      </c>
      <c r="E46" s="82"/>
      <c r="F46" s="73"/>
      <c r="G46" s="73"/>
      <c r="H46" s="100"/>
      <c r="I46" s="73"/>
      <c r="J46" s="73"/>
      <c r="K46" s="73"/>
      <c r="L46" s="73"/>
      <c r="M46" s="73"/>
      <c r="N46" s="73"/>
      <c r="O46" s="93"/>
      <c r="P46" s="73"/>
      <c r="Q46" s="73"/>
      <c r="R46" s="105"/>
      <c r="S46" s="105"/>
      <c r="T46" s="111">
        <f t="shared" si="8"/>
        <v>11</v>
      </c>
      <c r="U46" s="113">
        <f t="shared" ca="1" si="9"/>
        <v>287</v>
      </c>
      <c r="V46" s="149">
        <f t="shared" ca="1" si="16"/>
        <v>273.69143209095893</v>
      </c>
    </row>
    <row r="47" spans="1:22" x14ac:dyDescent="0.25">
      <c r="A47" s="74">
        <f t="shared" si="18"/>
        <v>294.27271762092761</v>
      </c>
      <c r="B47" s="75">
        <f t="shared" si="11"/>
        <v>294</v>
      </c>
      <c r="C47" s="82">
        <f t="shared" si="1"/>
        <v>865.9643233600641</v>
      </c>
      <c r="D47" s="75">
        <f t="shared" si="12"/>
        <v>866</v>
      </c>
      <c r="E47" s="82"/>
      <c r="F47" s="73"/>
      <c r="G47" s="73"/>
      <c r="H47" s="100"/>
      <c r="I47" s="73"/>
      <c r="J47" s="73"/>
      <c r="K47" s="73"/>
      <c r="L47" s="73"/>
      <c r="M47" s="73"/>
      <c r="N47" s="73"/>
      <c r="O47" s="93"/>
      <c r="P47" s="73"/>
      <c r="Q47" s="73"/>
      <c r="R47" s="105"/>
      <c r="S47" s="105"/>
      <c r="T47" s="111">
        <f t="shared" si="8"/>
        <v>11</v>
      </c>
      <c r="U47" s="113">
        <f t="shared" ca="1" si="9"/>
        <v>287</v>
      </c>
      <c r="V47" s="149">
        <f t="shared" ca="1" si="16"/>
        <v>273.69143209095893</v>
      </c>
    </row>
    <row r="48" spans="1:22" x14ac:dyDescent="0.25">
      <c r="A48" s="74">
        <f t="shared" si="18"/>
        <v>301.4162529877384</v>
      </c>
      <c r="B48" s="75">
        <f t="shared" si="11"/>
        <v>301</v>
      </c>
      <c r="C48" s="82">
        <f t="shared" si="1"/>
        <v>908.51757565168543</v>
      </c>
      <c r="D48" s="75">
        <f t="shared" si="12"/>
        <v>909</v>
      </c>
      <c r="E48" s="82"/>
      <c r="F48" s="73"/>
      <c r="G48" s="73"/>
      <c r="H48" s="100"/>
      <c r="I48" s="73"/>
      <c r="J48" s="73"/>
      <c r="K48" s="73"/>
      <c r="L48" s="73"/>
      <c r="M48" s="73"/>
      <c r="N48" s="73"/>
      <c r="O48" s="93"/>
      <c r="P48" s="73"/>
      <c r="Q48" s="73"/>
      <c r="R48" s="105"/>
      <c r="S48" s="105"/>
      <c r="T48" s="111">
        <f t="shared" si="8"/>
        <v>11</v>
      </c>
      <c r="U48" s="113">
        <f t="shared" ca="1" si="9"/>
        <v>287</v>
      </c>
      <c r="V48" s="149">
        <f t="shared" ca="1" si="16"/>
        <v>273.69143209095893</v>
      </c>
    </row>
    <row r="49" spans="1:22" ht="15.75" thickBot="1" x14ac:dyDescent="0.3">
      <c r="A49" s="74">
        <f t="shared" si="18"/>
        <v>308.73319925702577</v>
      </c>
      <c r="B49" s="75">
        <f t="shared" si="11"/>
        <v>309</v>
      </c>
      <c r="C49" s="82">
        <f t="shared" si="1"/>
        <v>953.16188323478616</v>
      </c>
      <c r="D49" s="75">
        <f t="shared" si="12"/>
        <v>953</v>
      </c>
      <c r="E49" s="82"/>
      <c r="F49" s="73"/>
      <c r="G49" s="73"/>
      <c r="H49" s="100"/>
      <c r="I49" s="73"/>
      <c r="J49" s="73"/>
      <c r="K49" s="73"/>
      <c r="L49" s="73"/>
      <c r="M49" s="73"/>
      <c r="N49" s="73"/>
      <c r="O49" s="93"/>
      <c r="P49" s="73"/>
      <c r="Q49" s="73"/>
      <c r="R49" s="105"/>
      <c r="S49" s="105"/>
      <c r="T49" s="111">
        <f t="shared" si="8"/>
        <v>12</v>
      </c>
      <c r="U49" s="113">
        <f t="shared" ca="1" si="9"/>
        <v>316</v>
      </c>
      <c r="V49" s="149">
        <f t="shared" ca="1" si="16"/>
        <v>301.15112485262279</v>
      </c>
    </row>
    <row r="50" spans="1:22" ht="15.75" thickTop="1" x14ac:dyDescent="0.25">
      <c r="A50" s="74">
        <f t="shared" si="18"/>
        <v>316.22776601683728</v>
      </c>
      <c r="B50" s="75">
        <f t="shared" si="11"/>
        <v>316</v>
      </c>
      <c r="C50" s="96">
        <f t="shared" si="1"/>
        <v>999.99999999999852</v>
      </c>
      <c r="D50" s="97">
        <f t="shared" si="12"/>
        <v>1000</v>
      </c>
      <c r="E50" s="82"/>
      <c r="F50" s="73"/>
      <c r="G50" s="73"/>
      <c r="H50" s="100"/>
      <c r="I50" s="73"/>
      <c r="J50" s="73"/>
      <c r="K50" s="73"/>
      <c r="L50" s="73"/>
      <c r="M50" s="73"/>
      <c r="N50" s="73"/>
      <c r="O50" s="93"/>
      <c r="P50" s="73"/>
      <c r="Q50" s="73"/>
      <c r="R50" s="105"/>
      <c r="S50" s="105"/>
      <c r="T50" s="111">
        <f t="shared" si="8"/>
        <v>12</v>
      </c>
      <c r="U50" s="113">
        <f t="shared" ca="1" si="9"/>
        <v>316</v>
      </c>
      <c r="V50" s="149">
        <f t="shared" ca="1" si="16"/>
        <v>301.15112485262279</v>
      </c>
    </row>
    <row r="51" spans="1:22" x14ac:dyDescent="0.25">
      <c r="A51" s="74">
        <f t="shared" si="18"/>
        <v>323.90426504390234</v>
      </c>
      <c r="B51" s="75">
        <f t="shared" si="11"/>
        <v>324</v>
      </c>
      <c r="C51" s="82"/>
      <c r="D51" s="73"/>
      <c r="E51" s="73"/>
      <c r="F51" s="73"/>
      <c r="G51" s="73"/>
      <c r="H51" s="100"/>
      <c r="I51" s="73"/>
      <c r="J51" s="73"/>
      <c r="K51" s="73"/>
      <c r="L51" s="73"/>
      <c r="M51" s="73"/>
      <c r="N51" s="73"/>
      <c r="O51" s="93"/>
      <c r="P51" s="73"/>
      <c r="Q51" s="73"/>
      <c r="R51" s="105"/>
      <c r="S51" s="105"/>
      <c r="T51" s="111">
        <f t="shared" si="8"/>
        <v>12</v>
      </c>
      <c r="U51" s="113">
        <f t="shared" ca="1" si="9"/>
        <v>316</v>
      </c>
      <c r="V51" s="149">
        <f t="shared" ca="1" si="16"/>
        <v>301.15112485262279</v>
      </c>
    </row>
    <row r="52" spans="1:22" x14ac:dyDescent="0.25">
      <c r="A52" s="74">
        <f t="shared" si="18"/>
        <v>331.76711278428502</v>
      </c>
      <c r="B52" s="75">
        <f t="shared" si="11"/>
        <v>332</v>
      </c>
      <c r="C52" s="82"/>
      <c r="D52" s="73"/>
      <c r="E52" s="73"/>
      <c r="F52" s="73"/>
      <c r="G52" s="73"/>
      <c r="H52" s="100"/>
      <c r="I52" s="73"/>
      <c r="J52" s="73"/>
      <c r="K52" s="73"/>
      <c r="L52" s="73"/>
      <c r="M52" s="73"/>
      <c r="N52" s="73"/>
      <c r="O52" s="93"/>
      <c r="P52" s="73"/>
      <c r="Q52" s="73"/>
      <c r="R52" s="105"/>
      <c r="S52" s="105"/>
      <c r="T52" s="111">
        <f t="shared" si="8"/>
        <v>12</v>
      </c>
      <c r="U52" s="113">
        <f t="shared" ca="1" si="9"/>
        <v>316</v>
      </c>
      <c r="V52" s="149">
        <f t="shared" ca="1" si="16"/>
        <v>301.15112485262279</v>
      </c>
    </row>
    <row r="53" spans="1:22" x14ac:dyDescent="0.25">
      <c r="A53" s="74">
        <f t="shared" si="18"/>
        <v>339.8208328942552</v>
      </c>
      <c r="B53" s="75">
        <f t="shared" si="11"/>
        <v>340</v>
      </c>
      <c r="C53" s="82"/>
      <c r="D53" s="73"/>
      <c r="E53" s="73"/>
      <c r="F53" s="73"/>
      <c r="G53" s="73"/>
      <c r="H53" s="100"/>
      <c r="I53" s="73"/>
      <c r="J53" s="73"/>
      <c r="K53" s="73"/>
      <c r="L53" s="73"/>
      <c r="M53" s="73"/>
      <c r="N53" s="73"/>
      <c r="O53" s="93"/>
      <c r="P53" s="73"/>
      <c r="Q53" s="73"/>
      <c r="R53" s="105"/>
      <c r="S53" s="105"/>
      <c r="T53" s="111">
        <f t="shared" si="8"/>
        <v>13</v>
      </c>
      <c r="U53" s="113">
        <f t="shared" ca="1" si="9"/>
        <v>348</v>
      </c>
      <c r="V53" s="149">
        <f t="shared" ca="1" si="16"/>
        <v>331.61423371140148</v>
      </c>
    </row>
    <row r="54" spans="1:22" x14ac:dyDescent="0.25">
      <c r="A54" s="74">
        <f t="shared" si="18"/>
        <v>348.0700588428403</v>
      </c>
      <c r="B54" s="75">
        <f t="shared" si="11"/>
        <v>348</v>
      </c>
      <c r="C54" s="82"/>
      <c r="D54" s="73"/>
      <c r="E54" s="73"/>
      <c r="F54" s="73"/>
      <c r="G54" s="73"/>
      <c r="H54" s="100"/>
      <c r="I54" s="73"/>
      <c r="J54" s="73"/>
      <c r="K54" s="73"/>
      <c r="L54" s="73"/>
      <c r="M54" s="73"/>
      <c r="N54" s="73"/>
      <c r="O54" s="93"/>
      <c r="P54" s="73"/>
      <c r="Q54" s="73"/>
      <c r="R54" s="105"/>
      <c r="S54" s="105"/>
      <c r="T54" s="111">
        <f t="shared" si="8"/>
        <v>13</v>
      </c>
      <c r="U54" s="113">
        <f t="shared" ca="1" si="9"/>
        <v>348</v>
      </c>
      <c r="V54" s="149">
        <f t="shared" ca="1" si="16"/>
        <v>331.61423371140148</v>
      </c>
    </row>
    <row r="55" spans="1:22" x14ac:dyDescent="0.25">
      <c r="A55" s="74">
        <f t="shared" si="18"/>
        <v>356.51953657755405</v>
      </c>
      <c r="B55" s="75">
        <f t="shared" si="11"/>
        <v>357</v>
      </c>
      <c r="C55" s="82"/>
      <c r="D55" s="73"/>
      <c r="E55" s="73"/>
      <c r="F55" s="73"/>
      <c r="G55" s="73"/>
      <c r="H55" s="100"/>
      <c r="I55" s="73"/>
      <c r="J55" s="73"/>
      <c r="K55" s="73"/>
      <c r="L55" s="73"/>
      <c r="M55" s="73"/>
      <c r="N55" s="73"/>
      <c r="O55" s="93"/>
      <c r="P55" s="73"/>
      <c r="Q55" s="73"/>
      <c r="R55" s="105"/>
      <c r="S55" s="105"/>
      <c r="T55" s="111">
        <f t="shared" si="8"/>
        <v>13</v>
      </c>
      <c r="U55" s="113">
        <f t="shared" ca="1" si="9"/>
        <v>348</v>
      </c>
      <c r="V55" s="149">
        <f t="shared" ca="1" si="16"/>
        <v>331.61423371140148</v>
      </c>
    </row>
    <row r="56" spans="1:22" x14ac:dyDescent="0.25">
      <c r="A56" s="74">
        <f t="shared" si="18"/>
        <v>365.17412725483683</v>
      </c>
      <c r="B56" s="75">
        <f t="shared" si="11"/>
        <v>365</v>
      </c>
      <c r="C56" s="82"/>
      <c r="D56" s="73"/>
      <c r="E56" s="73"/>
      <c r="F56" s="73"/>
      <c r="G56" s="73"/>
      <c r="H56" s="100"/>
      <c r="I56" s="73"/>
      <c r="J56" s="73"/>
      <c r="K56" s="73"/>
      <c r="L56" s="73"/>
      <c r="M56" s="73"/>
      <c r="N56" s="73"/>
      <c r="O56" s="93"/>
      <c r="P56" s="73"/>
      <c r="Q56" s="73"/>
      <c r="R56" s="105"/>
      <c r="S56" s="105"/>
      <c r="T56" s="111">
        <f t="shared" si="8"/>
        <v>13</v>
      </c>
      <c r="U56" s="113">
        <f t="shared" ca="1" si="9"/>
        <v>348</v>
      </c>
      <c r="V56" s="149">
        <f t="shared" ca="1" si="16"/>
        <v>331.61423371140148</v>
      </c>
    </row>
    <row r="57" spans="1:22" x14ac:dyDescent="0.25">
      <c r="A57" s="74">
        <f t="shared" si="18"/>
        <v>374.0388100367777</v>
      </c>
      <c r="B57" s="75">
        <f t="shared" si="11"/>
        <v>374</v>
      </c>
      <c r="C57" s="82"/>
      <c r="D57" s="73"/>
      <c r="E57" s="73"/>
      <c r="F57" s="73"/>
      <c r="G57" s="73"/>
      <c r="H57" s="100"/>
      <c r="I57" s="73"/>
      <c r="J57" s="73"/>
      <c r="K57" s="73"/>
      <c r="L57" s="73"/>
      <c r="M57" s="73"/>
      <c r="N57" s="73"/>
      <c r="O57" s="93"/>
      <c r="P57" s="73"/>
      <c r="Q57" s="73"/>
      <c r="R57" s="105"/>
      <c r="S57" s="105"/>
      <c r="T57" s="111">
        <f t="shared" si="8"/>
        <v>14</v>
      </c>
      <c r="U57" s="113">
        <f t="shared" ca="1" si="9"/>
        <v>383</v>
      </c>
      <c r="V57" s="149">
        <f t="shared" ca="1" si="16"/>
        <v>365.08081297159396</v>
      </c>
    </row>
    <row r="58" spans="1:22" x14ac:dyDescent="0.25">
      <c r="A58" s="74">
        <f t="shared" si="18"/>
        <v>383.11868495572782</v>
      </c>
      <c r="B58" s="75">
        <f t="shared" si="11"/>
        <v>383</v>
      </c>
      <c r="C58" s="82"/>
      <c r="D58" s="73"/>
      <c r="E58" s="73"/>
      <c r="F58" s="73"/>
      <c r="G58" s="73"/>
      <c r="H58" s="100"/>
      <c r="I58" s="73"/>
      <c r="J58" s="73"/>
      <c r="K58" s="73"/>
      <c r="L58" s="73"/>
      <c r="M58" s="73"/>
      <c r="N58" s="73"/>
      <c r="O58" s="93"/>
      <c r="P58" s="73"/>
      <c r="Q58" s="73"/>
      <c r="R58" s="105"/>
      <c r="S58" s="105"/>
      <c r="T58" s="111">
        <f t="shared" si="8"/>
        <v>14</v>
      </c>
      <c r="U58" s="113">
        <f t="shared" ca="1" si="9"/>
        <v>383</v>
      </c>
      <c r="V58" s="149">
        <f t="shared" ca="1" si="16"/>
        <v>365.08081297159396</v>
      </c>
    </row>
    <row r="59" spans="1:22" x14ac:dyDescent="0.25">
      <c r="A59" s="74">
        <f t="shared" si="18"/>
        <v>392.41897584845259</v>
      </c>
      <c r="B59" s="75">
        <f t="shared" si="11"/>
        <v>392</v>
      </c>
      <c r="C59" s="82"/>
      <c r="D59" s="73"/>
      <c r="E59" s="73"/>
      <c r="F59" s="73"/>
      <c r="G59" s="73"/>
      <c r="H59" s="100"/>
      <c r="I59" s="73"/>
      <c r="J59" s="73"/>
      <c r="K59" s="73"/>
      <c r="L59" s="73"/>
      <c r="M59" s="73"/>
      <c r="N59" s="73"/>
      <c r="O59" s="93"/>
      <c r="P59" s="73"/>
      <c r="Q59" s="73"/>
      <c r="R59" s="105"/>
      <c r="S59" s="105"/>
      <c r="T59" s="111">
        <f t="shared" si="8"/>
        <v>14</v>
      </c>
      <c r="U59" s="113">
        <f t="shared" ca="1" si="9"/>
        <v>383</v>
      </c>
      <c r="V59" s="149">
        <f t="shared" ca="1" si="16"/>
        <v>365.08081297159396</v>
      </c>
    </row>
    <row r="60" spans="1:22" x14ac:dyDescent="0.25">
      <c r="A60" s="74">
        <f t="shared" si="18"/>
        <v>401.94503336151149</v>
      </c>
      <c r="B60" s="75">
        <f t="shared" si="11"/>
        <v>402</v>
      </c>
      <c r="C60" s="82"/>
      <c r="D60" s="73"/>
      <c r="E60" s="73"/>
      <c r="F60" s="73"/>
      <c r="G60" s="73"/>
      <c r="H60" s="100"/>
      <c r="I60" s="73"/>
      <c r="J60" s="73"/>
      <c r="K60" s="73"/>
      <c r="L60" s="73"/>
      <c r="M60" s="73"/>
      <c r="N60" s="73"/>
      <c r="O60" s="93"/>
      <c r="P60" s="73"/>
      <c r="Q60" s="73"/>
      <c r="R60" s="105"/>
      <c r="S60" s="105"/>
      <c r="T60" s="111">
        <f t="shared" si="8"/>
        <v>14</v>
      </c>
      <c r="U60" s="113">
        <f t="shared" ca="1" si="9"/>
        <v>383</v>
      </c>
      <c r="V60" s="149">
        <f t="shared" ca="1" si="16"/>
        <v>365.08081297159396</v>
      </c>
    </row>
    <row r="61" spans="1:22" x14ac:dyDescent="0.25">
      <c r="A61" s="74">
        <f t="shared" si="18"/>
        <v>411.70233802959365</v>
      </c>
      <c r="B61" s="75">
        <f t="shared" si="11"/>
        <v>412</v>
      </c>
      <c r="C61" s="82"/>
      <c r="D61" s="73"/>
      <c r="E61" s="73"/>
      <c r="F61" s="73"/>
      <c r="G61" s="73"/>
      <c r="H61" s="100"/>
      <c r="I61" s="73"/>
      <c r="J61" s="73"/>
      <c r="K61" s="73"/>
      <c r="L61" s="73"/>
      <c r="M61" s="73"/>
      <c r="N61" s="73"/>
      <c r="O61" s="93"/>
      <c r="P61" s="73"/>
      <c r="Q61" s="73"/>
      <c r="R61" s="105"/>
      <c r="S61" s="105"/>
      <c r="T61" s="111">
        <f t="shared" si="8"/>
        <v>15</v>
      </c>
      <c r="U61" s="113">
        <f t="shared" ca="1" si="9"/>
        <v>422</v>
      </c>
      <c r="V61" s="149">
        <f t="shared" ca="1" si="16"/>
        <v>402.02736225286952</v>
      </c>
    </row>
    <row r="62" spans="1:22" x14ac:dyDescent="0.25">
      <c r="A62" s="74">
        <f t="shared" si="18"/>
        <v>421.69650342858114</v>
      </c>
      <c r="B62" s="75">
        <f t="shared" si="11"/>
        <v>422</v>
      </c>
      <c r="C62" s="82"/>
      <c r="D62" s="73"/>
      <c r="E62" s="73"/>
      <c r="F62" s="73"/>
      <c r="G62" s="73"/>
      <c r="H62" s="100"/>
      <c r="I62" s="73"/>
      <c r="J62" s="73"/>
      <c r="K62" s="73"/>
      <c r="L62" s="73"/>
      <c r="M62" s="73"/>
      <c r="N62" s="73"/>
      <c r="O62" s="93"/>
      <c r="P62" s="73"/>
      <c r="Q62" s="73"/>
      <c r="R62" s="105"/>
      <c r="S62" s="105"/>
      <c r="T62" s="111">
        <f t="shared" si="8"/>
        <v>15</v>
      </c>
      <c r="U62" s="113">
        <f t="shared" ca="1" si="9"/>
        <v>422</v>
      </c>
      <c r="V62" s="149">
        <f t="shared" ca="1" si="16"/>
        <v>402.02736225286952</v>
      </c>
    </row>
    <row r="63" spans="1:22" x14ac:dyDescent="0.25">
      <c r="A63" s="74">
        <f t="shared" si="18"/>
        <v>431.93327940515331</v>
      </c>
      <c r="B63" s="75">
        <f t="shared" si="11"/>
        <v>432</v>
      </c>
      <c r="C63" s="82"/>
      <c r="D63" s="73"/>
      <c r="E63" s="73"/>
      <c r="F63" s="73"/>
      <c r="G63" s="73"/>
      <c r="H63" s="100"/>
      <c r="I63" s="73"/>
      <c r="J63" s="73"/>
      <c r="K63" s="73"/>
      <c r="L63" s="73"/>
      <c r="M63" s="73"/>
      <c r="N63" s="73"/>
      <c r="O63" s="93"/>
      <c r="P63" s="73"/>
      <c r="Q63" s="73"/>
      <c r="R63" s="105"/>
      <c r="S63" s="105"/>
      <c r="T63" s="111">
        <f t="shared" si="8"/>
        <v>15</v>
      </c>
      <c r="U63" s="113">
        <f t="shared" ca="1" si="9"/>
        <v>422</v>
      </c>
      <c r="V63" s="149">
        <f t="shared" ca="1" si="16"/>
        <v>402.02736225286952</v>
      </c>
    </row>
    <row r="64" spans="1:22" x14ac:dyDescent="0.25">
      <c r="A64" s="74">
        <f t="shared" si="18"/>
        <v>442.41855538479052</v>
      </c>
      <c r="B64" s="75">
        <f t="shared" si="11"/>
        <v>442</v>
      </c>
      <c r="C64" s="82"/>
      <c r="D64" s="73"/>
      <c r="E64" s="73"/>
      <c r="F64" s="73"/>
      <c r="G64" s="73"/>
      <c r="H64" s="100"/>
      <c r="I64" s="73"/>
      <c r="J64" s="73"/>
      <c r="K64" s="73"/>
      <c r="L64" s="73"/>
      <c r="M64" s="73"/>
      <c r="N64" s="73"/>
      <c r="O64" s="93"/>
      <c r="P64" s="73"/>
      <c r="Q64" s="73"/>
      <c r="R64" s="105"/>
      <c r="S64" s="105"/>
      <c r="T64" s="111">
        <f t="shared" si="8"/>
        <v>15</v>
      </c>
      <c r="U64" s="113">
        <f t="shared" ca="1" si="9"/>
        <v>422</v>
      </c>
      <c r="V64" s="149">
        <f t="shared" ca="1" si="16"/>
        <v>402.02736225286952</v>
      </c>
    </row>
    <row r="65" spans="1:22" x14ac:dyDescent="0.25">
      <c r="A65" s="74">
        <f t="shared" si="18"/>
        <v>453.15836376008053</v>
      </c>
      <c r="B65" s="75">
        <f t="shared" si="11"/>
        <v>453</v>
      </c>
      <c r="C65" s="82"/>
      <c r="D65" s="73"/>
      <c r="E65" s="73"/>
      <c r="F65" s="73"/>
      <c r="G65" s="73"/>
      <c r="H65" s="100"/>
      <c r="I65" s="73"/>
      <c r="J65" s="73"/>
      <c r="K65" s="73"/>
      <c r="L65" s="73"/>
      <c r="M65" s="73"/>
      <c r="N65" s="73"/>
      <c r="O65" s="93"/>
      <c r="P65" s="73"/>
      <c r="Q65" s="73"/>
      <c r="R65" s="105"/>
      <c r="S65" s="105"/>
      <c r="T65" s="111">
        <f t="shared" si="8"/>
        <v>16</v>
      </c>
      <c r="U65" s="113">
        <f t="shared" ca="1" si="9"/>
        <v>464</v>
      </c>
      <c r="V65" s="149">
        <f t="shared" ca="1" si="16"/>
        <v>442.50197739671177</v>
      </c>
    </row>
    <row r="66" spans="1:22" x14ac:dyDescent="0.25">
      <c r="A66" s="74">
        <f t="shared" si="18"/>
        <v>464.15888336127659</v>
      </c>
      <c r="B66" s="75">
        <f t="shared" si="11"/>
        <v>464</v>
      </c>
      <c r="C66" s="82"/>
      <c r="D66" s="73"/>
      <c r="E66" s="73"/>
      <c r="F66" s="73"/>
      <c r="G66" s="73"/>
      <c r="H66" s="100"/>
      <c r="I66" s="73"/>
      <c r="J66" s="73"/>
      <c r="K66" s="73"/>
      <c r="L66" s="73"/>
      <c r="M66" s="73"/>
      <c r="N66" s="73"/>
      <c r="O66" s="93"/>
      <c r="P66" s="73"/>
      <c r="Q66" s="73"/>
      <c r="R66" s="105"/>
      <c r="S66" s="105"/>
      <c r="T66" s="111">
        <f t="shared" si="8"/>
        <v>16</v>
      </c>
      <c r="U66" s="113">
        <f t="shared" ca="1" si="9"/>
        <v>464</v>
      </c>
      <c r="V66" s="149">
        <f t="shared" ca="1" si="16"/>
        <v>442.50197739671177</v>
      </c>
    </row>
    <row r="67" spans="1:22" x14ac:dyDescent="0.25">
      <c r="A67" s="74">
        <f t="shared" ref="A67:A98" si="19">A66*$O$2</f>
        <v>475.4264430111042</v>
      </c>
      <c r="B67" s="75">
        <f t="shared" si="11"/>
        <v>475</v>
      </c>
      <c r="C67" s="82"/>
      <c r="D67" s="73"/>
      <c r="E67" s="73"/>
      <c r="F67" s="73"/>
      <c r="G67" s="73"/>
      <c r="H67" s="100"/>
      <c r="I67" s="73"/>
      <c r="J67" s="73"/>
      <c r="K67" s="73"/>
      <c r="L67" s="73"/>
      <c r="M67" s="73"/>
      <c r="N67" s="73"/>
      <c r="O67" s="93"/>
      <c r="P67" s="73"/>
      <c r="Q67" s="73"/>
      <c r="R67" s="105"/>
      <c r="S67" s="105"/>
      <c r="T67" s="111">
        <f t="shared" ref="T67:T97" si="20">MAX(ROUND(((ROW()-2)-$S$8)/(96/$N$8),0),0)</f>
        <v>16</v>
      </c>
      <c r="U67" s="113">
        <f t="shared" ref="U67:U97" ca="1" si="21">INDIRECT($R$8&amp;(T67+2))</f>
        <v>464</v>
      </c>
      <c r="V67" s="149">
        <f t="shared" ca="1" si="16"/>
        <v>442.50197739671177</v>
      </c>
    </row>
    <row r="68" spans="1:22" x14ac:dyDescent="0.25">
      <c r="A68" s="74">
        <f t="shared" si="19"/>
        <v>486.96752516586167</v>
      </c>
      <c r="B68" s="75">
        <f t="shared" ref="B68:B98" si="22">ROUND(A68,0)</f>
        <v>487</v>
      </c>
      <c r="C68" s="82"/>
      <c r="D68" s="73"/>
      <c r="E68" s="73"/>
      <c r="F68" s="73"/>
      <c r="G68" s="73"/>
      <c r="H68" s="100"/>
      <c r="I68" s="73"/>
      <c r="J68" s="73"/>
      <c r="K68" s="73"/>
      <c r="L68" s="73"/>
      <c r="M68" s="73"/>
      <c r="N68" s="73"/>
      <c r="O68" s="93"/>
      <c r="P68" s="73"/>
      <c r="Q68" s="73"/>
      <c r="R68" s="105"/>
      <c r="S68" s="105"/>
      <c r="T68" s="111">
        <f t="shared" si="20"/>
        <v>16</v>
      </c>
      <c r="U68" s="113">
        <f t="shared" ca="1" si="21"/>
        <v>464</v>
      </c>
      <c r="V68" s="149">
        <f t="shared" ca="1" si="16"/>
        <v>442.50197739671177</v>
      </c>
    </row>
    <row r="69" spans="1:22" x14ac:dyDescent="0.25">
      <c r="A69" s="74">
        <f t="shared" si="19"/>
        <v>498.78876964490905</v>
      </c>
      <c r="B69" s="75">
        <f t="shared" si="22"/>
        <v>499</v>
      </c>
      <c r="C69" s="82"/>
      <c r="D69" s="73"/>
      <c r="E69" s="73"/>
      <c r="F69" s="73"/>
      <c r="G69" s="73"/>
      <c r="H69" s="100"/>
      <c r="I69" s="73"/>
      <c r="J69" s="73"/>
      <c r="K69" s="73"/>
      <c r="L69" s="73"/>
      <c r="M69" s="73"/>
      <c r="N69" s="73"/>
      <c r="O69" s="93"/>
      <c r="P69" s="73"/>
      <c r="Q69" s="73"/>
      <c r="R69" s="105"/>
      <c r="S69" s="105"/>
      <c r="T69" s="111">
        <f t="shared" si="20"/>
        <v>17</v>
      </c>
      <c r="U69" s="113">
        <f t="shared" ca="1" si="21"/>
        <v>511</v>
      </c>
      <c r="V69" s="149">
        <f t="shared" ca="1" si="16"/>
        <v>486.93326031397771</v>
      </c>
    </row>
    <row r="70" spans="1:22" x14ac:dyDescent="0.25">
      <c r="A70" s="74">
        <f t="shared" si="19"/>
        <v>510.89697745069122</v>
      </c>
      <c r="B70" s="75">
        <f t="shared" si="22"/>
        <v>511</v>
      </c>
      <c r="C70" s="82"/>
      <c r="D70" s="73"/>
      <c r="E70" s="73"/>
      <c r="F70" s="73"/>
      <c r="G70" s="73"/>
      <c r="H70" s="100"/>
      <c r="I70" s="73"/>
      <c r="J70" s="73"/>
      <c r="K70" s="73"/>
      <c r="L70" s="73"/>
      <c r="M70" s="73"/>
      <c r="N70" s="73"/>
      <c r="O70" s="93"/>
      <c r="P70" s="73"/>
      <c r="Q70" s="73"/>
      <c r="R70" s="105"/>
      <c r="S70" s="105"/>
      <c r="T70" s="111">
        <f t="shared" si="20"/>
        <v>17</v>
      </c>
      <c r="U70" s="113">
        <f t="shared" ca="1" si="21"/>
        <v>511</v>
      </c>
      <c r="V70" s="149">
        <f t="shared" ref="V70:V97" ca="1" si="23">IF(U70-U69=0,V69,U69*SQRT(U70/U69))</f>
        <v>486.93326031397771</v>
      </c>
    </row>
    <row r="71" spans="1:22" x14ac:dyDescent="0.25">
      <c r="A71" s="74">
        <f t="shared" si="19"/>
        <v>523.29911468149305</v>
      </c>
      <c r="B71" s="75">
        <f t="shared" si="22"/>
        <v>523</v>
      </c>
      <c r="C71" s="82"/>
      <c r="D71" s="73"/>
      <c r="E71" s="73"/>
      <c r="F71" s="73"/>
      <c r="G71" s="73"/>
      <c r="H71" s="100"/>
      <c r="I71" s="73"/>
      <c r="J71" s="73"/>
      <c r="K71" s="73"/>
      <c r="L71" s="73"/>
      <c r="M71" s="73"/>
      <c r="N71" s="73"/>
      <c r="O71" s="93"/>
      <c r="P71" s="73"/>
      <c r="Q71" s="73"/>
      <c r="R71" s="105"/>
      <c r="S71" s="105"/>
      <c r="T71" s="111">
        <f t="shared" si="20"/>
        <v>17</v>
      </c>
      <c r="U71" s="113">
        <f t="shared" ca="1" si="21"/>
        <v>511</v>
      </c>
      <c r="V71" s="149">
        <f t="shared" ca="1" si="23"/>
        <v>486.93326031397771</v>
      </c>
    </row>
    <row r="72" spans="1:22" x14ac:dyDescent="0.25">
      <c r="A72" s="74">
        <f t="shared" si="19"/>
        <v>536.00231653917751</v>
      </c>
      <c r="B72" s="75">
        <f t="shared" si="22"/>
        <v>536</v>
      </c>
      <c r="C72" s="82"/>
      <c r="D72" s="73"/>
      <c r="E72" s="73"/>
      <c r="F72" s="73"/>
      <c r="G72" s="73"/>
      <c r="H72" s="100"/>
      <c r="I72" s="73"/>
      <c r="J72" s="73"/>
      <c r="K72" s="73"/>
      <c r="L72" s="73"/>
      <c r="M72" s="73"/>
      <c r="N72" s="73"/>
      <c r="O72" s="93"/>
      <c r="P72" s="73"/>
      <c r="Q72" s="73"/>
      <c r="R72" s="105"/>
      <c r="S72" s="105"/>
      <c r="T72" s="111">
        <f t="shared" si="20"/>
        <v>17</v>
      </c>
      <c r="U72" s="113">
        <f t="shared" ca="1" si="21"/>
        <v>511</v>
      </c>
      <c r="V72" s="149">
        <f t="shared" ca="1" si="23"/>
        <v>486.93326031397771</v>
      </c>
    </row>
    <row r="73" spans="1:22" x14ac:dyDescent="0.25">
      <c r="A73" s="74">
        <f t="shared" si="19"/>
        <v>549.01389143421227</v>
      </c>
      <c r="B73" s="75">
        <f t="shared" si="22"/>
        <v>549</v>
      </c>
      <c r="C73" s="82"/>
      <c r="D73" s="73"/>
      <c r="E73" s="73"/>
      <c r="F73" s="73"/>
      <c r="G73" s="73"/>
      <c r="H73" s="100"/>
      <c r="I73" s="73"/>
      <c r="J73" s="73"/>
      <c r="K73" s="73"/>
      <c r="L73" s="73"/>
      <c r="M73" s="73"/>
      <c r="N73" s="73"/>
      <c r="O73" s="93"/>
      <c r="P73" s="73"/>
      <c r="Q73" s="73"/>
      <c r="R73" s="105"/>
      <c r="S73" s="105"/>
      <c r="T73" s="111">
        <f t="shared" si="20"/>
        <v>18</v>
      </c>
      <c r="U73" s="113">
        <f t="shared" ca="1" si="21"/>
        <v>562</v>
      </c>
      <c r="V73" s="149">
        <f t="shared" ca="1" si="23"/>
        <v>535.89364616498301</v>
      </c>
    </row>
    <row r="74" spans="1:22" x14ac:dyDescent="0.25">
      <c r="A74" s="74">
        <f t="shared" si="19"/>
        <v>562.34132519034722</v>
      </c>
      <c r="B74" s="75">
        <f t="shared" si="22"/>
        <v>562</v>
      </c>
      <c r="C74" s="82"/>
      <c r="D74" s="73"/>
      <c r="E74" s="73"/>
      <c r="F74" s="73"/>
      <c r="G74" s="73"/>
      <c r="H74" s="100"/>
      <c r="I74" s="73"/>
      <c r="J74" s="73"/>
      <c r="K74" s="73"/>
      <c r="L74" s="73"/>
      <c r="M74" s="73"/>
      <c r="N74" s="73"/>
      <c r="O74" s="93"/>
      <c r="P74" s="73"/>
      <c r="Q74" s="73"/>
      <c r="R74" s="105"/>
      <c r="S74" s="105"/>
      <c r="T74" s="111">
        <f t="shared" si="20"/>
        <v>18</v>
      </c>
      <c r="U74" s="113">
        <f t="shared" ca="1" si="21"/>
        <v>562</v>
      </c>
      <c r="V74" s="149">
        <f t="shared" ca="1" si="23"/>
        <v>535.89364616498301</v>
      </c>
    </row>
    <row r="75" spans="1:22" x14ac:dyDescent="0.25">
      <c r="A75" s="74">
        <f t="shared" si="19"/>
        <v>575.99228535136081</v>
      </c>
      <c r="B75" s="75">
        <f t="shared" si="22"/>
        <v>576</v>
      </c>
      <c r="C75" s="82"/>
      <c r="D75" s="73"/>
      <c r="E75" s="73"/>
      <c r="F75" s="73"/>
      <c r="G75" s="73"/>
      <c r="H75" s="100"/>
      <c r="I75" s="73"/>
      <c r="J75" s="73"/>
      <c r="K75" s="73"/>
      <c r="L75" s="73"/>
      <c r="M75" s="73"/>
      <c r="N75" s="73"/>
      <c r="O75" s="93"/>
      <c r="P75" s="73"/>
      <c r="Q75" s="73"/>
      <c r="R75" s="105"/>
      <c r="S75" s="105"/>
      <c r="T75" s="111">
        <f t="shared" si="20"/>
        <v>18</v>
      </c>
      <c r="U75" s="113">
        <f t="shared" ca="1" si="21"/>
        <v>562</v>
      </c>
      <c r="V75" s="149">
        <f t="shared" ca="1" si="23"/>
        <v>535.89364616498301</v>
      </c>
    </row>
    <row r="76" spans="1:22" x14ac:dyDescent="0.25">
      <c r="A76" s="74">
        <f t="shared" si="19"/>
        <v>589.9746255923543</v>
      </c>
      <c r="B76" s="75">
        <f t="shared" si="22"/>
        <v>590</v>
      </c>
      <c r="C76" s="82"/>
      <c r="D76" s="73"/>
      <c r="E76" s="73"/>
      <c r="F76" s="73"/>
      <c r="G76" s="73"/>
      <c r="H76" s="100"/>
      <c r="I76" s="73"/>
      <c r="J76" s="73"/>
      <c r="K76" s="73"/>
      <c r="L76" s="73"/>
      <c r="M76" s="73"/>
      <c r="N76" s="73"/>
      <c r="O76" s="93"/>
      <c r="P76" s="73"/>
      <c r="Q76" s="73"/>
      <c r="R76" s="105"/>
      <c r="S76" s="105"/>
      <c r="T76" s="111">
        <f t="shared" si="20"/>
        <v>18</v>
      </c>
      <c r="U76" s="113">
        <f t="shared" ca="1" si="21"/>
        <v>562</v>
      </c>
      <c r="V76" s="149">
        <f t="shared" ca="1" si="23"/>
        <v>535.89364616498301</v>
      </c>
    </row>
    <row r="77" spans="1:22" x14ac:dyDescent="0.25">
      <c r="A77" s="74">
        <f t="shared" si="19"/>
        <v>604.2963902381307</v>
      </c>
      <c r="B77" s="75">
        <f t="shared" si="22"/>
        <v>604</v>
      </c>
      <c r="C77" s="82"/>
      <c r="D77" s="73"/>
      <c r="E77" s="73"/>
      <c r="F77" s="73"/>
      <c r="G77" s="73"/>
      <c r="H77" s="100"/>
      <c r="I77" s="73"/>
      <c r="J77" s="73"/>
      <c r="K77" s="73"/>
      <c r="L77" s="73"/>
      <c r="M77" s="73"/>
      <c r="N77" s="73"/>
      <c r="O77" s="93"/>
      <c r="P77" s="73"/>
      <c r="Q77" s="73"/>
      <c r="R77" s="105"/>
      <c r="S77" s="105"/>
      <c r="T77" s="111">
        <f t="shared" si="20"/>
        <v>19</v>
      </c>
      <c r="U77" s="113">
        <f t="shared" ca="1" si="21"/>
        <v>619</v>
      </c>
      <c r="V77" s="149">
        <f t="shared" ca="1" si="23"/>
        <v>589.81183440144696</v>
      </c>
    </row>
    <row r="78" spans="1:22" x14ac:dyDescent="0.25">
      <c r="A78" s="74">
        <f t="shared" si="19"/>
        <v>618.96581889125832</v>
      </c>
      <c r="B78" s="75">
        <f t="shared" si="22"/>
        <v>619</v>
      </c>
      <c r="C78" s="82"/>
      <c r="D78" s="73"/>
      <c r="E78" s="73"/>
      <c r="F78" s="73"/>
      <c r="G78" s="73"/>
      <c r="H78" s="100"/>
      <c r="I78" s="73"/>
      <c r="J78" s="73"/>
      <c r="K78" s="73"/>
      <c r="L78" s="73"/>
      <c r="M78" s="73"/>
      <c r="N78" s="73"/>
      <c r="O78" s="93"/>
      <c r="P78" s="73"/>
      <c r="Q78" s="73"/>
      <c r="R78" s="105"/>
      <c r="S78" s="105"/>
      <c r="T78" s="111">
        <f t="shared" si="20"/>
        <v>19</v>
      </c>
      <c r="U78" s="113">
        <f t="shared" ca="1" si="21"/>
        <v>619</v>
      </c>
      <c r="V78" s="149">
        <f t="shared" ca="1" si="23"/>
        <v>589.81183440144696</v>
      </c>
    </row>
    <row r="79" spans="1:22" x14ac:dyDescent="0.25">
      <c r="A79" s="74">
        <f t="shared" si="19"/>
        <v>633.99135117248215</v>
      </c>
      <c r="B79" s="75">
        <f t="shared" si="22"/>
        <v>634</v>
      </c>
      <c r="C79" s="82"/>
      <c r="D79" s="73"/>
      <c r="E79" s="73"/>
      <c r="F79" s="73"/>
      <c r="G79" s="73"/>
      <c r="H79" s="100"/>
      <c r="I79" s="73"/>
      <c r="J79" s="73"/>
      <c r="K79" s="73"/>
      <c r="L79" s="73"/>
      <c r="M79" s="73"/>
      <c r="N79" s="73"/>
      <c r="O79" s="93"/>
      <c r="P79" s="73"/>
      <c r="Q79" s="73"/>
      <c r="R79" s="105"/>
      <c r="S79" s="105"/>
      <c r="T79" s="111">
        <f t="shared" si="20"/>
        <v>19</v>
      </c>
      <c r="U79" s="113">
        <f t="shared" ca="1" si="21"/>
        <v>619</v>
      </c>
      <c r="V79" s="149">
        <f t="shared" ca="1" si="23"/>
        <v>589.81183440144696</v>
      </c>
    </row>
    <row r="80" spans="1:22" x14ac:dyDescent="0.25">
      <c r="A80" s="74">
        <f t="shared" si="19"/>
        <v>649.38163157620897</v>
      </c>
      <c r="B80" s="75">
        <f t="shared" si="22"/>
        <v>649</v>
      </c>
      <c r="C80" s="82"/>
      <c r="D80" s="73"/>
      <c r="E80" s="73"/>
      <c r="F80" s="73"/>
      <c r="G80" s="73"/>
      <c r="H80" s="100"/>
      <c r="I80" s="73"/>
      <c r="J80" s="73"/>
      <c r="K80" s="73"/>
      <c r="L80" s="73"/>
      <c r="M80" s="73"/>
      <c r="N80" s="73"/>
      <c r="O80" s="93"/>
      <c r="P80" s="73"/>
      <c r="Q80" s="73"/>
      <c r="R80" s="105"/>
      <c r="S80" s="105"/>
      <c r="T80" s="111">
        <f t="shared" si="20"/>
        <v>19</v>
      </c>
      <c r="U80" s="113">
        <f t="shared" ca="1" si="21"/>
        <v>619</v>
      </c>
      <c r="V80" s="149">
        <f t="shared" ca="1" si="23"/>
        <v>589.81183440144696</v>
      </c>
    </row>
    <row r="81" spans="1:22" x14ac:dyDescent="0.25">
      <c r="A81" s="74">
        <f t="shared" si="19"/>
        <v>665.14551444386098</v>
      </c>
      <c r="B81" s="75">
        <f t="shared" si="22"/>
        <v>665</v>
      </c>
      <c r="C81" s="82"/>
      <c r="D81" s="73"/>
      <c r="E81" s="73"/>
      <c r="F81" s="73"/>
      <c r="G81" s="73"/>
      <c r="H81" s="100"/>
      <c r="I81" s="73"/>
      <c r="J81" s="73"/>
      <c r="K81" s="73"/>
      <c r="L81" s="73"/>
      <c r="M81" s="73"/>
      <c r="N81" s="73"/>
      <c r="O81" s="93"/>
      <c r="P81" s="73"/>
      <c r="Q81" s="73"/>
      <c r="R81" s="105"/>
      <c r="S81" s="105"/>
      <c r="T81" s="111">
        <f t="shared" si="20"/>
        <v>20</v>
      </c>
      <c r="U81" s="113">
        <f t="shared" ca="1" si="21"/>
        <v>681</v>
      </c>
      <c r="V81" s="149">
        <f t="shared" ca="1" si="23"/>
        <v>649.26034839654278</v>
      </c>
    </row>
    <row r="82" spans="1:22" x14ac:dyDescent="0.25">
      <c r="A82" s="74">
        <f t="shared" si="19"/>
        <v>681.29206905795877</v>
      </c>
      <c r="B82" s="75">
        <f t="shared" si="22"/>
        <v>681</v>
      </c>
      <c r="C82" s="82"/>
      <c r="D82" s="73"/>
      <c r="E82" s="73"/>
      <c r="F82" s="73"/>
      <c r="G82" s="73"/>
      <c r="H82" s="100"/>
      <c r="I82" s="73"/>
      <c r="J82" s="73"/>
      <c r="K82" s="73"/>
      <c r="L82" s="73"/>
      <c r="M82" s="73"/>
      <c r="N82" s="73"/>
      <c r="O82" s="93"/>
      <c r="P82" s="73"/>
      <c r="Q82" s="73"/>
      <c r="R82" s="105"/>
      <c r="S82" s="105"/>
      <c r="T82" s="111">
        <f t="shared" si="20"/>
        <v>20</v>
      </c>
      <c r="U82" s="113">
        <f t="shared" ca="1" si="21"/>
        <v>681</v>
      </c>
      <c r="V82" s="149">
        <f t="shared" ca="1" si="23"/>
        <v>649.26034839654278</v>
      </c>
    </row>
    <row r="83" spans="1:22" x14ac:dyDescent="0.25">
      <c r="A83" s="74">
        <f t="shared" si="19"/>
        <v>697.83058485986373</v>
      </c>
      <c r="B83" s="75">
        <f t="shared" si="22"/>
        <v>698</v>
      </c>
      <c r="C83" s="82"/>
      <c r="D83" s="73"/>
      <c r="E83" s="73"/>
      <c r="F83" s="73"/>
      <c r="G83" s="73"/>
      <c r="H83" s="100"/>
      <c r="I83" s="73"/>
      <c r="J83" s="73"/>
      <c r="K83" s="73"/>
      <c r="L83" s="73"/>
      <c r="M83" s="73"/>
      <c r="N83" s="73"/>
      <c r="O83" s="93"/>
      <c r="P83" s="73"/>
      <c r="Q83" s="73"/>
      <c r="R83" s="105"/>
      <c r="S83" s="105"/>
      <c r="T83" s="111">
        <f t="shared" si="20"/>
        <v>20</v>
      </c>
      <c r="U83" s="113">
        <f t="shared" ca="1" si="21"/>
        <v>681</v>
      </c>
      <c r="V83" s="149">
        <f t="shared" ca="1" si="23"/>
        <v>649.26034839654278</v>
      </c>
    </row>
    <row r="84" spans="1:22" x14ac:dyDescent="0.25">
      <c r="A84" s="74">
        <f t="shared" si="19"/>
        <v>714.77057679418294</v>
      </c>
      <c r="B84" s="75">
        <f t="shared" si="22"/>
        <v>715</v>
      </c>
      <c r="C84" s="82"/>
      <c r="D84" s="73"/>
      <c r="E84" s="73"/>
      <c r="F84" s="73"/>
      <c r="G84" s="73"/>
      <c r="H84" s="100"/>
      <c r="I84" s="73"/>
      <c r="J84" s="73"/>
      <c r="K84" s="73"/>
      <c r="L84" s="73"/>
      <c r="M84" s="73"/>
      <c r="N84" s="73"/>
      <c r="O84" s="93"/>
      <c r="P84" s="73"/>
      <c r="Q84" s="73"/>
      <c r="R84" s="105"/>
      <c r="S84" s="105"/>
      <c r="T84" s="111">
        <f t="shared" si="20"/>
        <v>20</v>
      </c>
      <c r="U84" s="113">
        <f t="shared" ca="1" si="21"/>
        <v>681</v>
      </c>
      <c r="V84" s="149">
        <f t="shared" ca="1" si="23"/>
        <v>649.26034839654278</v>
      </c>
    </row>
    <row r="85" spans="1:22" x14ac:dyDescent="0.25">
      <c r="A85" s="74">
        <f t="shared" si="19"/>
        <v>732.12179078291013</v>
      </c>
      <c r="B85" s="75">
        <f t="shared" si="22"/>
        <v>732</v>
      </c>
      <c r="C85" s="82"/>
      <c r="D85" s="73"/>
      <c r="E85" s="73"/>
      <c r="F85" s="73"/>
      <c r="G85" s="73"/>
      <c r="H85" s="100"/>
      <c r="I85" s="73"/>
      <c r="J85" s="73"/>
      <c r="K85" s="73"/>
      <c r="L85" s="73"/>
      <c r="M85" s="73"/>
      <c r="N85" s="73"/>
      <c r="O85" s="93"/>
      <c r="P85" s="73"/>
      <c r="Q85" s="73"/>
      <c r="R85" s="105"/>
      <c r="S85" s="105"/>
      <c r="T85" s="111">
        <f t="shared" si="20"/>
        <v>21</v>
      </c>
      <c r="U85" s="113">
        <f t="shared" ca="1" si="21"/>
        <v>750</v>
      </c>
      <c r="V85" s="149">
        <f t="shared" ca="1" si="23"/>
        <v>714.66775497429569</v>
      </c>
    </row>
    <row r="86" spans="1:22" x14ac:dyDescent="0.25">
      <c r="A86" s="74">
        <f t="shared" si="19"/>
        <v>749.89420933245299</v>
      </c>
      <c r="B86" s="75">
        <f t="shared" si="22"/>
        <v>750</v>
      </c>
      <c r="C86" s="82"/>
      <c r="D86" s="73"/>
      <c r="E86" s="73"/>
      <c r="F86" s="73"/>
      <c r="G86" s="73"/>
      <c r="H86" s="100"/>
      <c r="I86" s="73"/>
      <c r="J86" s="73"/>
      <c r="K86" s="73"/>
      <c r="L86" s="73"/>
      <c r="M86" s="73"/>
      <c r="N86" s="73"/>
      <c r="O86" s="93"/>
      <c r="P86" s="73"/>
      <c r="Q86" s="73"/>
      <c r="R86" s="105"/>
      <c r="S86" s="105"/>
      <c r="T86" s="111">
        <f t="shared" si="20"/>
        <v>21</v>
      </c>
      <c r="U86" s="113">
        <f t="shared" ca="1" si="21"/>
        <v>750</v>
      </c>
      <c r="V86" s="149">
        <f t="shared" ca="1" si="23"/>
        <v>714.66775497429569</v>
      </c>
    </row>
    <row r="87" spans="1:22" x14ac:dyDescent="0.25">
      <c r="A87" s="74">
        <f t="shared" si="19"/>
        <v>768.09805727677235</v>
      </c>
      <c r="B87" s="75">
        <f t="shared" si="22"/>
        <v>768</v>
      </c>
      <c r="C87" s="82"/>
      <c r="D87" s="73"/>
      <c r="E87" s="73"/>
      <c r="F87" s="73"/>
      <c r="G87" s="73"/>
      <c r="H87" s="100"/>
      <c r="I87" s="73"/>
      <c r="J87" s="73"/>
      <c r="K87" s="73"/>
      <c r="L87" s="73"/>
      <c r="M87" s="73"/>
      <c r="N87" s="73"/>
      <c r="O87" s="93"/>
      <c r="P87" s="73"/>
      <c r="Q87" s="73"/>
      <c r="R87" s="105"/>
      <c r="S87" s="105"/>
      <c r="T87" s="111">
        <f t="shared" si="20"/>
        <v>21</v>
      </c>
      <c r="U87" s="113">
        <f t="shared" ca="1" si="21"/>
        <v>750</v>
      </c>
      <c r="V87" s="149">
        <f t="shared" ca="1" si="23"/>
        <v>714.66775497429569</v>
      </c>
    </row>
    <row r="88" spans="1:22" x14ac:dyDescent="0.25">
      <c r="A88" s="74">
        <f t="shared" si="19"/>
        <v>786.74380765993692</v>
      </c>
      <c r="B88" s="75">
        <f t="shared" si="22"/>
        <v>787</v>
      </c>
      <c r="C88" s="82"/>
      <c r="D88" s="73"/>
      <c r="E88" s="73"/>
      <c r="F88" s="73"/>
      <c r="G88" s="73"/>
      <c r="H88" s="100"/>
      <c r="I88" s="73"/>
      <c r="J88" s="73"/>
      <c r="K88" s="73"/>
      <c r="L88" s="73"/>
      <c r="M88" s="73"/>
      <c r="N88" s="73"/>
      <c r="O88" s="93"/>
      <c r="P88" s="73"/>
      <c r="Q88" s="73"/>
      <c r="R88" s="105"/>
      <c r="S88" s="105"/>
      <c r="T88" s="111">
        <f t="shared" si="20"/>
        <v>21</v>
      </c>
      <c r="U88" s="113">
        <f t="shared" ca="1" si="21"/>
        <v>750</v>
      </c>
      <c r="V88" s="149">
        <f t="shared" ca="1" si="23"/>
        <v>714.66775497429569</v>
      </c>
    </row>
    <row r="89" spans="1:22" x14ac:dyDescent="0.25">
      <c r="A89" s="74">
        <f t="shared" si="19"/>
        <v>805.84218776147873</v>
      </c>
      <c r="B89" s="75">
        <f t="shared" si="22"/>
        <v>806</v>
      </c>
      <c r="C89" s="82"/>
      <c r="D89" s="73"/>
      <c r="E89" s="73"/>
      <c r="F89" s="73"/>
      <c r="G89" s="73"/>
      <c r="H89" s="100"/>
      <c r="I89" s="73"/>
      <c r="J89" s="73"/>
      <c r="K89" s="73"/>
      <c r="L89" s="73"/>
      <c r="M89" s="73"/>
      <c r="N89" s="73"/>
      <c r="O89" s="93"/>
      <c r="P89" s="73"/>
      <c r="Q89" s="73"/>
      <c r="R89" s="105"/>
      <c r="S89" s="105"/>
      <c r="T89" s="111">
        <f t="shared" si="20"/>
        <v>22</v>
      </c>
      <c r="U89" s="113">
        <f t="shared" ca="1" si="21"/>
        <v>825</v>
      </c>
      <c r="V89" s="149">
        <f t="shared" ca="1" si="23"/>
        <v>786.60663612761368</v>
      </c>
    </row>
    <row r="90" spans="1:22" x14ac:dyDescent="0.25">
      <c r="A90" s="74">
        <f t="shared" si="19"/>
        <v>825.40418526801523</v>
      </c>
      <c r="B90" s="75">
        <f t="shared" si="22"/>
        <v>825</v>
      </c>
      <c r="C90" s="82"/>
      <c r="D90" s="73"/>
      <c r="E90" s="73"/>
      <c r="F90" s="73"/>
      <c r="G90" s="73"/>
      <c r="H90" s="100"/>
      <c r="I90" s="73"/>
      <c r="J90" s="73"/>
      <c r="K90" s="73"/>
      <c r="L90" s="73"/>
      <c r="M90" s="73"/>
      <c r="N90" s="73"/>
      <c r="O90" s="93"/>
      <c r="P90" s="73"/>
      <c r="Q90" s="73"/>
      <c r="R90" s="105"/>
      <c r="S90" s="105"/>
      <c r="T90" s="111">
        <f t="shared" si="20"/>
        <v>22</v>
      </c>
      <c r="U90" s="113">
        <f t="shared" ca="1" si="21"/>
        <v>825</v>
      </c>
      <c r="V90" s="149">
        <f t="shared" ca="1" si="23"/>
        <v>786.60663612761368</v>
      </c>
    </row>
    <row r="91" spans="1:22" x14ac:dyDescent="0.25">
      <c r="A91" s="74">
        <f t="shared" si="19"/>
        <v>845.44105459468904</v>
      </c>
      <c r="B91" s="75">
        <f t="shared" si="22"/>
        <v>845</v>
      </c>
      <c r="C91" s="82"/>
      <c r="D91" s="73"/>
      <c r="E91" s="73"/>
      <c r="F91" s="73"/>
      <c r="G91" s="73"/>
      <c r="H91" s="100"/>
      <c r="I91" s="73"/>
      <c r="J91" s="73"/>
      <c r="K91" s="73"/>
      <c r="L91" s="73"/>
      <c r="M91" s="73"/>
      <c r="N91" s="73"/>
      <c r="O91" s="93"/>
      <c r="P91" s="73"/>
      <c r="Q91" s="73"/>
      <c r="R91" s="105"/>
      <c r="S91" s="105"/>
      <c r="T91" s="111">
        <f t="shared" si="20"/>
        <v>22</v>
      </c>
      <c r="U91" s="113">
        <f t="shared" ca="1" si="21"/>
        <v>825</v>
      </c>
      <c r="V91" s="149">
        <f t="shared" ca="1" si="23"/>
        <v>786.60663612761368</v>
      </c>
    </row>
    <row r="92" spans="1:22" x14ac:dyDescent="0.25">
      <c r="A92" s="74">
        <f t="shared" si="19"/>
        <v>865.96432336006194</v>
      </c>
      <c r="B92" s="75">
        <f t="shared" si="22"/>
        <v>866</v>
      </c>
      <c r="C92" s="82"/>
      <c r="D92" s="73"/>
      <c r="E92" s="73"/>
      <c r="F92" s="73"/>
      <c r="G92" s="73"/>
      <c r="H92" s="100"/>
      <c r="I92" s="73"/>
      <c r="J92" s="73"/>
      <c r="K92" s="73"/>
      <c r="L92" s="73"/>
      <c r="M92" s="73"/>
      <c r="N92" s="73"/>
      <c r="O92" s="93"/>
      <c r="P92" s="73"/>
      <c r="Q92" s="73"/>
      <c r="R92" s="105"/>
      <c r="S92" s="105"/>
      <c r="T92" s="111">
        <f t="shared" si="20"/>
        <v>22</v>
      </c>
      <c r="U92" s="113">
        <f t="shared" ca="1" si="21"/>
        <v>825</v>
      </c>
      <c r="V92" s="149">
        <f t="shared" ca="1" si="23"/>
        <v>786.60663612761368</v>
      </c>
    </row>
    <row r="93" spans="1:22" x14ac:dyDescent="0.25">
      <c r="A93" s="74">
        <f t="shared" si="19"/>
        <v>886.98579901818812</v>
      </c>
      <c r="B93" s="75">
        <f t="shared" si="22"/>
        <v>887</v>
      </c>
      <c r="C93" s="82"/>
      <c r="D93" s="73"/>
      <c r="E93" s="73"/>
      <c r="F93" s="73"/>
      <c r="G93" s="73"/>
      <c r="H93" s="100"/>
      <c r="I93" s="73"/>
      <c r="J93" s="73"/>
      <c r="K93" s="73"/>
      <c r="L93" s="73"/>
      <c r="M93" s="73"/>
      <c r="N93" s="73"/>
      <c r="O93" s="93"/>
      <c r="P93" s="73"/>
      <c r="Q93" s="73"/>
      <c r="R93" s="105"/>
      <c r="S93" s="105"/>
      <c r="T93" s="111">
        <f t="shared" si="20"/>
        <v>23</v>
      </c>
      <c r="U93" s="113">
        <f t="shared" ca="1" si="21"/>
        <v>909</v>
      </c>
      <c r="V93" s="149">
        <f t="shared" ca="1" si="23"/>
        <v>865.98210143166364</v>
      </c>
    </row>
    <row r="94" spans="1:22" x14ac:dyDescent="0.25">
      <c r="A94" s="74">
        <f t="shared" si="19"/>
        <v>908.51757565168305</v>
      </c>
      <c r="B94" s="75">
        <f t="shared" si="22"/>
        <v>909</v>
      </c>
      <c r="C94" s="82"/>
      <c r="D94" s="73"/>
      <c r="E94" s="73"/>
      <c r="F94" s="73"/>
      <c r="G94" s="73"/>
      <c r="H94" s="100"/>
      <c r="I94" s="73"/>
      <c r="J94" s="73"/>
      <c r="K94" s="73"/>
      <c r="L94" s="73"/>
      <c r="M94" s="73"/>
      <c r="N94" s="73"/>
      <c r="O94" s="93"/>
      <c r="P94" s="73"/>
      <c r="Q94" s="73"/>
      <c r="R94" s="105"/>
      <c r="S94" s="105"/>
      <c r="T94" s="111">
        <f t="shared" si="20"/>
        <v>23</v>
      </c>
      <c r="U94" s="113">
        <f t="shared" ca="1" si="21"/>
        <v>909</v>
      </c>
      <c r="V94" s="149">
        <f t="shared" ca="1" si="23"/>
        <v>865.98210143166364</v>
      </c>
    </row>
    <row r="95" spans="1:22" x14ac:dyDescent="0.25">
      <c r="A95" s="74">
        <f t="shared" si="19"/>
        <v>930.57204092969505</v>
      </c>
      <c r="B95" s="75">
        <f t="shared" si="22"/>
        <v>931</v>
      </c>
      <c r="C95" s="82"/>
      <c r="D95" s="73"/>
      <c r="E95" s="73"/>
      <c r="F95" s="73"/>
      <c r="G95" s="73"/>
      <c r="H95" s="100"/>
      <c r="I95" s="73"/>
      <c r="J95" s="73"/>
      <c r="K95" s="73"/>
      <c r="L95" s="73"/>
      <c r="M95" s="73"/>
      <c r="N95" s="73"/>
      <c r="O95" s="93"/>
      <c r="P95" s="73"/>
      <c r="Q95" s="73"/>
      <c r="R95" s="105"/>
      <c r="S95" s="105"/>
      <c r="T95" s="111">
        <f t="shared" si="20"/>
        <v>23</v>
      </c>
      <c r="U95" s="113">
        <f t="shared" ca="1" si="21"/>
        <v>909</v>
      </c>
      <c r="V95" s="149">
        <f t="shared" ca="1" si="23"/>
        <v>865.98210143166364</v>
      </c>
    </row>
    <row r="96" spans="1:22" x14ac:dyDescent="0.25">
      <c r="A96" s="74">
        <f t="shared" si="19"/>
        <v>953.16188323478355</v>
      </c>
      <c r="B96" s="75">
        <f t="shared" si="22"/>
        <v>953</v>
      </c>
      <c r="C96" s="82"/>
      <c r="D96" s="73"/>
      <c r="E96" s="73"/>
      <c r="F96" s="73"/>
      <c r="G96" s="73"/>
      <c r="H96" s="100"/>
      <c r="I96" s="73"/>
      <c r="J96" s="73"/>
      <c r="K96" s="73"/>
      <c r="L96" s="73"/>
      <c r="M96" s="73"/>
      <c r="N96" s="73"/>
      <c r="O96" s="93"/>
      <c r="P96" s="73"/>
      <c r="Q96" s="73"/>
      <c r="R96" s="105"/>
      <c r="S96" s="105"/>
      <c r="T96" s="111">
        <f t="shared" si="20"/>
        <v>23</v>
      </c>
      <c r="U96" s="113">
        <f t="shared" ca="1" si="21"/>
        <v>909</v>
      </c>
      <c r="V96" s="149">
        <f t="shared" ca="1" si="23"/>
        <v>865.98210143166364</v>
      </c>
    </row>
    <row r="97" spans="1:22" ht="15.75" thickBot="1" x14ac:dyDescent="0.3">
      <c r="A97" s="74">
        <f t="shared" si="19"/>
        <v>976.3000989628033</v>
      </c>
      <c r="B97" s="75">
        <f t="shared" si="22"/>
        <v>976</v>
      </c>
      <c r="C97" s="82"/>
      <c r="D97" s="73"/>
      <c r="E97" s="73"/>
      <c r="F97" s="73"/>
      <c r="G97" s="73"/>
      <c r="H97" s="100"/>
      <c r="I97" s="73"/>
      <c r="J97" s="73"/>
      <c r="K97" s="73"/>
      <c r="L97" s="73"/>
      <c r="M97" s="73"/>
      <c r="N97" s="73"/>
      <c r="O97" s="93"/>
      <c r="P97" s="73"/>
      <c r="Q97" s="73"/>
      <c r="R97" s="105"/>
      <c r="S97" s="105"/>
      <c r="T97" s="112">
        <f t="shared" si="20"/>
        <v>24</v>
      </c>
      <c r="U97" s="114">
        <f t="shared" ca="1" si="21"/>
        <v>1000</v>
      </c>
      <c r="V97" s="161">
        <f t="shared" ca="1" si="23"/>
        <v>953.41491492424223</v>
      </c>
    </row>
    <row r="98" spans="1:22" ht="15.75" thickTop="1" x14ac:dyDescent="0.25">
      <c r="A98" s="102">
        <f t="shared" si="19"/>
        <v>999.99999999999579</v>
      </c>
      <c r="B98" s="97">
        <f t="shared" si="22"/>
        <v>1000</v>
      </c>
      <c r="C98" s="82"/>
      <c r="D98" s="73"/>
      <c r="E98" s="73"/>
      <c r="F98" s="73"/>
      <c r="G98" s="73"/>
      <c r="H98" s="100"/>
      <c r="I98" s="73"/>
      <c r="J98" s="73"/>
      <c r="K98" s="73"/>
      <c r="L98" s="73"/>
      <c r="M98" s="73"/>
      <c r="N98" s="73"/>
      <c r="O98" s="93"/>
      <c r="P98" s="73"/>
      <c r="Q98" s="73"/>
      <c r="R98" s="105"/>
      <c r="S98" s="105"/>
      <c r="T98" s="105"/>
      <c r="U98" s="105"/>
      <c r="V98" s="148"/>
    </row>
  </sheetData>
  <pageMargins left="0.35" right="0.25" top="0.75" bottom="0.75" header="0.3" footer="0.3"/>
  <pageSetup paperSize="8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Show</vt:lpstr>
      <vt:lpstr>Calc</vt:lpstr>
      <vt:lpstr>Tables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FdW</dc:creator>
  <cp:lastModifiedBy>FdW</cp:lastModifiedBy>
  <cp:lastPrinted>2017-03-10T09:32:27Z</cp:lastPrinted>
  <dcterms:created xsi:type="dcterms:W3CDTF">2017-02-03T12:00:23Z</dcterms:created>
  <dcterms:modified xsi:type="dcterms:W3CDTF">2017-03-10T13:10:43Z</dcterms:modified>
</cp:coreProperties>
</file>