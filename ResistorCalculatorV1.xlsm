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Adrian. Projects\ResistorCalculator\FdWs E96, E48 and E24 Resistor Table and Calculator\"/>
    </mc:Choice>
  </mc:AlternateContent>
  <xr:revisionPtr revIDLastSave="0" documentId="13_ncr:1_{B9ABA306-D321-4E23-9317-F810895A3ABB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Show" sheetId="1" r:id="rId1"/>
    <sheet name="README" sheetId="4" r:id="rId2"/>
    <sheet name="Calc" sheetId="2" r:id="rId3"/>
    <sheet name="FromRatioCalculator" sheetId="3" r:id="rId4"/>
  </sheets>
  <externalReferences>
    <externalReference r:id="rId5"/>
  </externalReferences>
  <definedNames>
    <definedName name="_xlnm._FilterDatabase" localSheetId="0" hidden="1">Show!$A$6:$I$774</definedName>
    <definedName name="_xlnm.Criteria" localSheetId="0">Show!$I$6:$I$774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2" i="3" l="1"/>
  <c r="U32" i="3"/>
  <c r="AB32" i="3" s="1"/>
  <c r="T32" i="3"/>
  <c r="L32" i="3"/>
  <c r="H32" i="3"/>
  <c r="D32" i="3"/>
  <c r="X31" i="3"/>
  <c r="U31" i="3"/>
  <c r="AB31" i="3" s="1"/>
  <c r="T31" i="3"/>
  <c r="L31" i="3"/>
  <c r="H31" i="3"/>
  <c r="D31" i="3"/>
  <c r="X30" i="3"/>
  <c r="U30" i="3"/>
  <c r="AB30" i="3" s="1"/>
  <c r="T30" i="3"/>
  <c r="L30" i="3"/>
  <c r="H30" i="3"/>
  <c r="D30" i="3"/>
  <c r="AB29" i="3"/>
  <c r="X29" i="3"/>
  <c r="U29" i="3"/>
  <c r="T29" i="3"/>
  <c r="L29" i="3"/>
  <c r="H29" i="3"/>
  <c r="D29" i="3"/>
  <c r="AB28" i="3"/>
  <c r="X28" i="3"/>
  <c r="U28" i="3"/>
  <c r="T28" i="3"/>
  <c r="L28" i="3"/>
  <c r="H28" i="3"/>
  <c r="D28" i="3"/>
  <c r="X27" i="3"/>
  <c r="T27" i="3"/>
  <c r="U27" i="3" s="1"/>
  <c r="AB27" i="3" s="1"/>
  <c r="L27" i="3"/>
  <c r="H27" i="3"/>
  <c r="D27" i="3"/>
  <c r="X26" i="3"/>
  <c r="T26" i="3"/>
  <c r="U26" i="3" s="1"/>
  <c r="AB26" i="3" s="1"/>
  <c r="L26" i="3"/>
  <c r="H26" i="3"/>
  <c r="D26" i="3"/>
  <c r="X25" i="3"/>
  <c r="T25" i="3"/>
  <c r="U25" i="3" s="1"/>
  <c r="AB25" i="3" s="1"/>
  <c r="L25" i="3"/>
  <c r="H25" i="3"/>
  <c r="D25" i="3"/>
  <c r="X24" i="3"/>
  <c r="T24" i="3"/>
  <c r="U24" i="3" s="1"/>
  <c r="AB24" i="3" s="1"/>
  <c r="L24" i="3"/>
  <c r="H24" i="3"/>
  <c r="D24" i="3"/>
  <c r="X23" i="3"/>
  <c r="T23" i="3"/>
  <c r="U23" i="3" s="1"/>
  <c r="AB23" i="3" s="1"/>
  <c r="L23" i="3"/>
  <c r="H23" i="3"/>
  <c r="D23" i="3"/>
  <c r="X22" i="3"/>
  <c r="U22" i="3"/>
  <c r="AB22" i="3" s="1"/>
  <c r="T22" i="3"/>
  <c r="L22" i="3"/>
  <c r="H22" i="3"/>
  <c r="D22" i="3"/>
  <c r="X21" i="3"/>
  <c r="T21" i="3"/>
  <c r="U21" i="3" s="1"/>
  <c r="AB21" i="3" s="1"/>
  <c r="L21" i="3"/>
  <c r="H21" i="3"/>
  <c r="D21" i="3"/>
  <c r="X20" i="3"/>
  <c r="U20" i="3"/>
  <c r="AB20" i="3" s="1"/>
  <c r="T20" i="3"/>
  <c r="L20" i="3"/>
  <c r="H20" i="3"/>
  <c r="D20" i="3"/>
  <c r="X19" i="3"/>
  <c r="U19" i="3"/>
  <c r="AB19" i="3" s="1"/>
  <c r="T19" i="3"/>
  <c r="L19" i="3"/>
  <c r="H19" i="3"/>
  <c r="D19" i="3"/>
  <c r="X18" i="3"/>
  <c r="U18" i="3"/>
  <c r="AB18" i="3" s="1"/>
  <c r="T18" i="3"/>
  <c r="L18" i="3"/>
  <c r="H18" i="3"/>
  <c r="D18" i="3"/>
  <c r="X17" i="3"/>
  <c r="U17" i="3"/>
  <c r="AB17" i="3" s="1"/>
  <c r="T17" i="3"/>
  <c r="L17" i="3"/>
  <c r="H17" i="3"/>
  <c r="D17" i="3"/>
  <c r="AB16" i="3"/>
  <c r="X16" i="3"/>
  <c r="U16" i="3"/>
  <c r="T16" i="3"/>
  <c r="L16" i="3"/>
  <c r="H16" i="3"/>
  <c r="D16" i="3"/>
  <c r="X15" i="3"/>
  <c r="T15" i="3"/>
  <c r="U15" i="3" s="1"/>
  <c r="AB15" i="3" s="1"/>
  <c r="L15" i="3"/>
  <c r="H15" i="3"/>
  <c r="D15" i="3"/>
  <c r="X14" i="3"/>
  <c r="T14" i="3"/>
  <c r="U14" i="3" s="1"/>
  <c r="AB14" i="3" s="1"/>
  <c r="L14" i="3"/>
  <c r="H14" i="3"/>
  <c r="D14" i="3"/>
  <c r="X13" i="3"/>
  <c r="T13" i="3"/>
  <c r="U13" i="3" s="1"/>
  <c r="AB13" i="3" s="1"/>
  <c r="L13" i="3"/>
  <c r="H13" i="3"/>
  <c r="D13" i="3"/>
  <c r="X12" i="3"/>
  <c r="T12" i="3"/>
  <c r="U12" i="3" s="1"/>
  <c r="AB12" i="3" s="1"/>
  <c r="L12" i="3"/>
  <c r="H12" i="3"/>
  <c r="D12" i="3"/>
  <c r="X11" i="3"/>
  <c r="T11" i="3"/>
  <c r="U11" i="3" s="1"/>
  <c r="AB11" i="3" s="1"/>
  <c r="L11" i="3"/>
  <c r="H11" i="3"/>
  <c r="D11" i="3"/>
  <c r="X10" i="3"/>
  <c r="U10" i="3"/>
  <c r="AB10" i="3" s="1"/>
  <c r="T10" i="3"/>
  <c r="L10" i="3"/>
  <c r="H10" i="3"/>
  <c r="D10" i="3"/>
  <c r="R6" i="2"/>
  <c r="R7" i="2"/>
  <c r="R8" i="2"/>
  <c r="R12" i="2" s="1"/>
  <c r="R9" i="2"/>
  <c r="R1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13" i="2"/>
  <c r="P12" i="2"/>
  <c r="P11" i="2"/>
  <c r="P10" i="2"/>
  <c r="P9" i="2"/>
  <c r="P8" i="2"/>
  <c r="P7" i="2"/>
  <c r="P6" i="2"/>
  <c r="O774" i="2"/>
  <c r="P774" i="2" s="1"/>
  <c r="O679" i="2"/>
  <c r="O680" i="2"/>
  <c r="O681" i="2"/>
  <c r="O682" i="2"/>
  <c r="O683" i="2"/>
  <c r="O684" i="2"/>
  <c r="O685" i="2"/>
  <c r="O686" i="2"/>
  <c r="O687" i="2"/>
  <c r="O688" i="2"/>
  <c r="O689" i="2"/>
  <c r="O690" i="2"/>
  <c r="P686" i="2" s="1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P702" i="2" s="1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P718" i="2" s="1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P734" i="2" s="1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P750" i="2" s="1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678" i="2"/>
  <c r="P678" i="2" s="1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P623" i="2" s="1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P638" i="2" s="1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P654" i="2" s="1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582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486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390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294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198" i="2"/>
  <c r="L774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678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582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486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392" i="2"/>
  <c r="L393" i="2"/>
  <c r="L391" i="2"/>
  <c r="L390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294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198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02" i="2"/>
  <c r="P765" i="2" l="1"/>
  <c r="P761" i="2"/>
  <c r="P757" i="2"/>
  <c r="P753" i="2"/>
  <c r="P749" i="2"/>
  <c r="P745" i="2"/>
  <c r="P741" i="2"/>
  <c r="P737" i="2"/>
  <c r="P733" i="2"/>
  <c r="P729" i="2"/>
  <c r="P725" i="2"/>
  <c r="P721" i="2"/>
  <c r="P717" i="2"/>
  <c r="P713" i="2"/>
  <c r="P709" i="2"/>
  <c r="P705" i="2"/>
  <c r="P701" i="2"/>
  <c r="P697" i="2"/>
  <c r="P693" i="2"/>
  <c r="P689" i="2"/>
  <c r="P685" i="2"/>
  <c r="P681" i="2"/>
  <c r="P669" i="2"/>
  <c r="P665" i="2"/>
  <c r="P661" i="2"/>
  <c r="P657" i="2"/>
  <c r="P653" i="2"/>
  <c r="P649" i="2"/>
  <c r="P645" i="2"/>
  <c r="P641" i="2"/>
  <c r="P637" i="2"/>
  <c r="P632" i="2"/>
  <c r="P624" i="2"/>
  <c r="P764" i="2"/>
  <c r="P760" i="2"/>
  <c r="P756" i="2"/>
  <c r="P752" i="2"/>
  <c r="P748" i="2"/>
  <c r="P744" i="2"/>
  <c r="P740" i="2"/>
  <c r="P736" i="2"/>
  <c r="P732" i="2"/>
  <c r="P728" i="2"/>
  <c r="P724" i="2"/>
  <c r="P720" i="2"/>
  <c r="P716" i="2"/>
  <c r="P712" i="2"/>
  <c r="P708" i="2"/>
  <c r="P704" i="2"/>
  <c r="P700" i="2"/>
  <c r="P696" i="2"/>
  <c r="P692" i="2"/>
  <c r="P688" i="2"/>
  <c r="P684" i="2"/>
  <c r="P680" i="2"/>
  <c r="P668" i="2"/>
  <c r="P664" i="2"/>
  <c r="P660" i="2"/>
  <c r="P656" i="2"/>
  <c r="P652" i="2"/>
  <c r="P648" i="2"/>
  <c r="P644" i="2"/>
  <c r="P640" i="2"/>
  <c r="P636" i="2"/>
  <c r="P631" i="2"/>
  <c r="P200" i="2"/>
  <c r="P204" i="2"/>
  <c r="P198" i="2"/>
  <c r="P202" i="2"/>
  <c r="P199" i="2"/>
  <c r="P203" i="2"/>
  <c r="P201" i="2"/>
  <c r="P205" i="2"/>
  <c r="P272" i="2"/>
  <c r="P276" i="2"/>
  <c r="P280" i="2"/>
  <c r="P284" i="2"/>
  <c r="P270" i="2"/>
  <c r="P274" i="2"/>
  <c r="P278" i="2"/>
  <c r="P282" i="2"/>
  <c r="P271" i="2"/>
  <c r="P275" i="2"/>
  <c r="P279" i="2"/>
  <c r="P283" i="2"/>
  <c r="P277" i="2"/>
  <c r="P281" i="2"/>
  <c r="P285" i="2"/>
  <c r="P273" i="2"/>
  <c r="P256" i="2"/>
  <c r="P260" i="2"/>
  <c r="P264" i="2"/>
  <c r="P268" i="2"/>
  <c r="P254" i="2"/>
  <c r="P258" i="2"/>
  <c r="P262" i="2"/>
  <c r="P266" i="2"/>
  <c r="P255" i="2"/>
  <c r="P259" i="2"/>
  <c r="P263" i="2"/>
  <c r="P267" i="2"/>
  <c r="P261" i="2"/>
  <c r="P265" i="2"/>
  <c r="P269" i="2"/>
  <c r="P257" i="2"/>
  <c r="P240" i="2"/>
  <c r="P244" i="2"/>
  <c r="P248" i="2"/>
  <c r="P252" i="2"/>
  <c r="P238" i="2"/>
  <c r="P242" i="2"/>
  <c r="P246" i="2"/>
  <c r="P250" i="2"/>
  <c r="P239" i="2"/>
  <c r="P243" i="2"/>
  <c r="P247" i="2"/>
  <c r="P251" i="2"/>
  <c r="P245" i="2"/>
  <c r="P249" i="2"/>
  <c r="P253" i="2"/>
  <c r="P241" i="2"/>
  <c r="P224" i="2"/>
  <c r="P228" i="2"/>
  <c r="P232" i="2"/>
  <c r="P236" i="2"/>
  <c r="P222" i="2"/>
  <c r="P226" i="2"/>
  <c r="P230" i="2"/>
  <c r="P234" i="2"/>
  <c r="P223" i="2"/>
  <c r="P227" i="2"/>
  <c r="P231" i="2"/>
  <c r="P235" i="2"/>
  <c r="P229" i="2"/>
  <c r="P233" i="2"/>
  <c r="P237" i="2"/>
  <c r="P225" i="2"/>
  <c r="P208" i="2"/>
  <c r="P212" i="2"/>
  <c r="P216" i="2"/>
  <c r="P220" i="2"/>
  <c r="P206" i="2"/>
  <c r="P210" i="2"/>
  <c r="P214" i="2"/>
  <c r="P218" i="2"/>
  <c r="P207" i="2"/>
  <c r="P211" i="2"/>
  <c r="P215" i="2"/>
  <c r="P219" i="2"/>
  <c r="P213" i="2"/>
  <c r="P217" i="2"/>
  <c r="P221" i="2"/>
  <c r="P209" i="2"/>
  <c r="P296" i="2"/>
  <c r="P300" i="2"/>
  <c r="P294" i="2"/>
  <c r="P298" i="2"/>
  <c r="P295" i="2"/>
  <c r="P299" i="2"/>
  <c r="P297" i="2"/>
  <c r="P301" i="2"/>
  <c r="P367" i="2"/>
  <c r="P371" i="2"/>
  <c r="P375" i="2"/>
  <c r="P379" i="2"/>
  <c r="P370" i="2"/>
  <c r="P376" i="2"/>
  <c r="P381" i="2"/>
  <c r="P366" i="2"/>
  <c r="P372" i="2"/>
  <c r="P377" i="2"/>
  <c r="P368" i="2"/>
  <c r="P373" i="2"/>
  <c r="P378" i="2"/>
  <c r="P369" i="2"/>
  <c r="P374" i="2"/>
  <c r="P380" i="2"/>
  <c r="P351" i="2"/>
  <c r="P355" i="2"/>
  <c r="P359" i="2"/>
  <c r="P363" i="2"/>
  <c r="P354" i="2"/>
  <c r="P360" i="2"/>
  <c r="P365" i="2"/>
  <c r="P350" i="2"/>
  <c r="P356" i="2"/>
  <c r="P361" i="2"/>
  <c r="P352" i="2"/>
  <c r="P357" i="2"/>
  <c r="P362" i="2"/>
  <c r="P353" i="2"/>
  <c r="P358" i="2"/>
  <c r="P364" i="2"/>
  <c r="P335" i="2"/>
  <c r="P339" i="2"/>
  <c r="P343" i="2"/>
  <c r="P347" i="2"/>
  <c r="P338" i="2"/>
  <c r="P344" i="2"/>
  <c r="P349" i="2"/>
  <c r="P334" i="2"/>
  <c r="P340" i="2"/>
  <c r="P345" i="2"/>
  <c r="P336" i="2"/>
  <c r="P341" i="2"/>
  <c r="P346" i="2"/>
  <c r="P337" i="2"/>
  <c r="P342" i="2"/>
  <c r="P348" i="2"/>
  <c r="P319" i="2"/>
  <c r="P323" i="2"/>
  <c r="P327" i="2"/>
  <c r="P331" i="2"/>
  <c r="P322" i="2"/>
  <c r="P328" i="2"/>
  <c r="P333" i="2"/>
  <c r="P318" i="2"/>
  <c r="P324" i="2"/>
  <c r="P329" i="2"/>
  <c r="P320" i="2"/>
  <c r="P325" i="2"/>
  <c r="P330" i="2"/>
  <c r="P321" i="2"/>
  <c r="P326" i="2"/>
  <c r="P332" i="2"/>
  <c r="P304" i="2"/>
  <c r="P308" i="2"/>
  <c r="P312" i="2"/>
  <c r="P302" i="2"/>
  <c r="P306" i="2"/>
  <c r="P310" i="2"/>
  <c r="P303" i="2"/>
  <c r="P307" i="2"/>
  <c r="P311" i="2"/>
  <c r="P315" i="2"/>
  <c r="P309" i="2"/>
  <c r="P317" i="2"/>
  <c r="P313" i="2"/>
  <c r="P314" i="2"/>
  <c r="P305" i="2"/>
  <c r="P316" i="2"/>
  <c r="P391" i="2"/>
  <c r="P395" i="2"/>
  <c r="P392" i="2"/>
  <c r="P397" i="2"/>
  <c r="P393" i="2"/>
  <c r="P394" i="2"/>
  <c r="P390" i="2"/>
  <c r="P396" i="2"/>
  <c r="P464" i="2"/>
  <c r="P468" i="2"/>
  <c r="P472" i="2"/>
  <c r="P476" i="2"/>
  <c r="P465" i="2"/>
  <c r="P469" i="2"/>
  <c r="P473" i="2"/>
  <c r="P477" i="2"/>
  <c r="P462" i="2"/>
  <c r="P466" i="2"/>
  <c r="P470" i="2"/>
  <c r="P474" i="2"/>
  <c r="P463" i="2"/>
  <c r="P467" i="2"/>
  <c r="P471" i="2"/>
  <c r="P475" i="2"/>
  <c r="P448" i="2"/>
  <c r="P452" i="2"/>
  <c r="P456" i="2"/>
  <c r="P460" i="2"/>
  <c r="P449" i="2"/>
  <c r="P453" i="2"/>
  <c r="P457" i="2"/>
  <c r="P461" i="2"/>
  <c r="P446" i="2"/>
  <c r="P450" i="2"/>
  <c r="P454" i="2"/>
  <c r="P458" i="2"/>
  <c r="P447" i="2"/>
  <c r="P451" i="2"/>
  <c r="P455" i="2"/>
  <c r="P459" i="2"/>
  <c r="P431" i="2"/>
  <c r="P435" i="2"/>
  <c r="P439" i="2"/>
  <c r="P434" i="2"/>
  <c r="P440" i="2"/>
  <c r="P444" i="2"/>
  <c r="P430" i="2"/>
  <c r="P436" i="2"/>
  <c r="P441" i="2"/>
  <c r="P445" i="2"/>
  <c r="P432" i="2"/>
  <c r="P437" i="2"/>
  <c r="P442" i="2"/>
  <c r="P433" i="2"/>
  <c r="P438" i="2"/>
  <c r="P443" i="2"/>
  <c r="P415" i="2"/>
  <c r="P419" i="2"/>
  <c r="P423" i="2"/>
  <c r="P427" i="2"/>
  <c r="P418" i="2"/>
  <c r="P424" i="2"/>
  <c r="P429" i="2"/>
  <c r="P414" i="2"/>
  <c r="P420" i="2"/>
  <c r="P425" i="2"/>
  <c r="P416" i="2"/>
  <c r="P421" i="2"/>
  <c r="P426" i="2"/>
  <c r="P417" i="2"/>
  <c r="P422" i="2"/>
  <c r="P428" i="2"/>
  <c r="P399" i="2"/>
  <c r="P403" i="2"/>
  <c r="P407" i="2"/>
  <c r="P411" i="2"/>
  <c r="P402" i="2"/>
  <c r="P408" i="2"/>
  <c r="P413" i="2"/>
  <c r="P398" i="2"/>
  <c r="P404" i="2"/>
  <c r="P409" i="2"/>
  <c r="P400" i="2"/>
  <c r="P405" i="2"/>
  <c r="P410" i="2"/>
  <c r="P401" i="2"/>
  <c r="P406" i="2"/>
  <c r="P412" i="2"/>
  <c r="P488" i="2"/>
  <c r="P492" i="2"/>
  <c r="P489" i="2"/>
  <c r="P493" i="2"/>
  <c r="P486" i="2"/>
  <c r="P490" i="2"/>
  <c r="P487" i="2"/>
  <c r="P491" i="2"/>
  <c r="P560" i="2"/>
  <c r="P564" i="2"/>
  <c r="P568" i="2"/>
  <c r="P572" i="2"/>
  <c r="P561" i="2"/>
  <c r="P565" i="2"/>
  <c r="P569" i="2"/>
  <c r="P573" i="2"/>
  <c r="P558" i="2"/>
  <c r="P562" i="2"/>
  <c r="P566" i="2"/>
  <c r="P570" i="2"/>
  <c r="P559" i="2"/>
  <c r="P563" i="2"/>
  <c r="P567" i="2"/>
  <c r="P571" i="2"/>
  <c r="P544" i="2"/>
  <c r="P548" i="2"/>
  <c r="P552" i="2"/>
  <c r="P556" i="2"/>
  <c r="P545" i="2"/>
  <c r="P549" i="2"/>
  <c r="P553" i="2"/>
  <c r="P557" i="2"/>
  <c r="P542" i="2"/>
  <c r="P546" i="2"/>
  <c r="P550" i="2"/>
  <c r="P554" i="2"/>
  <c r="P543" i="2"/>
  <c r="P547" i="2"/>
  <c r="P551" i="2"/>
  <c r="P555" i="2"/>
  <c r="P528" i="2"/>
  <c r="P532" i="2"/>
  <c r="P536" i="2"/>
  <c r="P540" i="2"/>
  <c r="P529" i="2"/>
  <c r="P533" i="2"/>
  <c r="P537" i="2"/>
  <c r="P541" i="2"/>
  <c r="P526" i="2"/>
  <c r="P530" i="2"/>
  <c r="P534" i="2"/>
  <c r="P538" i="2"/>
  <c r="P527" i="2"/>
  <c r="P531" i="2"/>
  <c r="P535" i="2"/>
  <c r="P539" i="2"/>
  <c r="P512" i="2"/>
  <c r="P516" i="2"/>
  <c r="P520" i="2"/>
  <c r="P524" i="2"/>
  <c r="P513" i="2"/>
  <c r="P517" i="2"/>
  <c r="P521" i="2"/>
  <c r="P525" i="2"/>
  <c r="P510" i="2"/>
  <c r="P514" i="2"/>
  <c r="P518" i="2"/>
  <c r="P522" i="2"/>
  <c r="P511" i="2"/>
  <c r="P515" i="2"/>
  <c r="P519" i="2"/>
  <c r="P523" i="2"/>
  <c r="P496" i="2"/>
  <c r="P500" i="2"/>
  <c r="P504" i="2"/>
  <c r="P508" i="2"/>
  <c r="P497" i="2"/>
  <c r="P501" i="2"/>
  <c r="P505" i="2"/>
  <c r="P509" i="2"/>
  <c r="P494" i="2"/>
  <c r="P498" i="2"/>
  <c r="P502" i="2"/>
  <c r="P506" i="2"/>
  <c r="P495" i="2"/>
  <c r="P499" i="2"/>
  <c r="P503" i="2"/>
  <c r="P507" i="2"/>
  <c r="P584" i="2"/>
  <c r="P588" i="2"/>
  <c r="P585" i="2"/>
  <c r="P589" i="2"/>
  <c r="P582" i="2"/>
  <c r="P586" i="2"/>
  <c r="P583" i="2"/>
  <c r="P587" i="2"/>
  <c r="P625" i="2"/>
  <c r="P629" i="2"/>
  <c r="P633" i="2"/>
  <c r="P622" i="2"/>
  <c r="P626" i="2"/>
  <c r="P630" i="2"/>
  <c r="P608" i="2"/>
  <c r="P612" i="2"/>
  <c r="P616" i="2"/>
  <c r="P620" i="2"/>
  <c r="P609" i="2"/>
  <c r="P613" i="2"/>
  <c r="P617" i="2"/>
  <c r="P621" i="2"/>
  <c r="P606" i="2"/>
  <c r="P610" i="2"/>
  <c r="P614" i="2"/>
  <c r="P618" i="2"/>
  <c r="P607" i="2"/>
  <c r="P611" i="2"/>
  <c r="P615" i="2"/>
  <c r="P619" i="2"/>
  <c r="P592" i="2"/>
  <c r="P596" i="2"/>
  <c r="P600" i="2"/>
  <c r="P604" i="2"/>
  <c r="P593" i="2"/>
  <c r="P597" i="2"/>
  <c r="P601" i="2"/>
  <c r="P605" i="2"/>
  <c r="P590" i="2"/>
  <c r="P594" i="2"/>
  <c r="P598" i="2"/>
  <c r="P602" i="2"/>
  <c r="P591" i="2"/>
  <c r="P595" i="2"/>
  <c r="P599" i="2"/>
  <c r="P603" i="2"/>
  <c r="P763" i="2"/>
  <c r="P759" i="2"/>
  <c r="P755" i="2"/>
  <c r="P751" i="2"/>
  <c r="P747" i="2"/>
  <c r="P743" i="2"/>
  <c r="P739" i="2"/>
  <c r="P735" i="2"/>
  <c r="P731" i="2"/>
  <c r="P727" i="2"/>
  <c r="P723" i="2"/>
  <c r="P719" i="2"/>
  <c r="P715" i="2"/>
  <c r="P711" i="2"/>
  <c r="P707" i="2"/>
  <c r="P703" i="2"/>
  <c r="P699" i="2"/>
  <c r="P695" i="2"/>
  <c r="P691" i="2"/>
  <c r="P687" i="2"/>
  <c r="P683" i="2"/>
  <c r="P679" i="2"/>
  <c r="P667" i="2"/>
  <c r="P663" i="2"/>
  <c r="P659" i="2"/>
  <c r="P655" i="2"/>
  <c r="P651" i="2"/>
  <c r="P647" i="2"/>
  <c r="P643" i="2"/>
  <c r="P639" i="2"/>
  <c r="P635" i="2"/>
  <c r="P628" i="2"/>
  <c r="P762" i="2"/>
  <c r="P758" i="2"/>
  <c r="P754" i="2"/>
  <c r="P746" i="2"/>
  <c r="P742" i="2"/>
  <c r="P738" i="2"/>
  <c r="P730" i="2"/>
  <c r="P726" i="2"/>
  <c r="P722" i="2"/>
  <c r="P714" i="2"/>
  <c r="P710" i="2"/>
  <c r="P706" i="2"/>
  <c r="P698" i="2"/>
  <c r="P694" i="2"/>
  <c r="P690" i="2"/>
  <c r="P682" i="2"/>
  <c r="P666" i="2"/>
  <c r="P662" i="2"/>
  <c r="P658" i="2"/>
  <c r="P650" i="2"/>
  <c r="P646" i="2"/>
  <c r="P642" i="2"/>
  <c r="P634" i="2"/>
  <c r="P627" i="2"/>
  <c r="H1" i="1"/>
  <c r="G1" i="1"/>
  <c r="D1" i="1"/>
  <c r="C1" i="1"/>
  <c r="K1" i="2" l="1"/>
  <c r="I1" i="1"/>
  <c r="M9" i="2"/>
  <c r="N12" i="2"/>
  <c r="K12" i="2" s="1"/>
  <c r="M12" i="2"/>
  <c r="N15" i="2"/>
  <c r="K15" i="2" s="1"/>
  <c r="M18" i="2"/>
  <c r="M20" i="2"/>
  <c r="N22" i="2"/>
  <c r="K22" i="2" s="1"/>
  <c r="M32" i="2"/>
  <c r="M35" i="2"/>
  <c r="M36" i="2"/>
  <c r="M38" i="2"/>
  <c r="M40" i="2"/>
  <c r="M42" i="2"/>
  <c r="M49" i="2"/>
  <c r="N51" i="2"/>
  <c r="K51" i="2" s="1"/>
  <c r="M52" i="2"/>
  <c r="N60" i="2"/>
  <c r="K60" i="2" s="1"/>
  <c r="N63" i="2"/>
  <c r="K63" i="2" s="1"/>
  <c r="M64" i="2"/>
  <c r="N67" i="2"/>
  <c r="K67" i="2" s="1"/>
  <c r="M68" i="2"/>
  <c r="M70" i="2"/>
  <c r="N76" i="2"/>
  <c r="K76" i="2" s="1"/>
  <c r="M77" i="2"/>
  <c r="N79" i="2"/>
  <c r="K79" i="2" s="1"/>
  <c r="M80" i="2"/>
  <c r="N83" i="2"/>
  <c r="K83" i="2" s="1"/>
  <c r="M84" i="2"/>
  <c r="N90" i="2"/>
  <c r="K90" i="2" s="1"/>
  <c r="M92" i="2"/>
  <c r="M96" i="2"/>
  <c r="M99" i="2"/>
  <c r="O98" i="2"/>
  <c r="O99" i="2"/>
  <c r="M100" i="2"/>
  <c r="O100" i="2"/>
  <c r="O101" i="2"/>
  <c r="N104" i="2"/>
  <c r="K104" i="2" s="1"/>
  <c r="O102" i="2"/>
  <c r="O103" i="2"/>
  <c r="M105" i="2"/>
  <c r="O104" i="2"/>
  <c r="O105" i="2"/>
  <c r="N105" i="2"/>
  <c r="K105" i="2" s="1"/>
  <c r="O106" i="2"/>
  <c r="N107" i="2"/>
  <c r="K107" i="2" s="1"/>
  <c r="O107" i="2"/>
  <c r="M109" i="2"/>
  <c r="N108" i="2"/>
  <c r="K108" i="2" s="1"/>
  <c r="O108" i="2"/>
  <c r="O109" i="2"/>
  <c r="N109" i="2"/>
  <c r="K109" i="2" s="1"/>
  <c r="O110" i="2"/>
  <c r="O111" i="2"/>
  <c r="O112" i="2"/>
  <c r="O113" i="2"/>
  <c r="N116" i="2"/>
  <c r="K116" i="2" s="1"/>
  <c r="O114" i="2"/>
  <c r="O115" i="2"/>
  <c r="M117" i="2"/>
  <c r="O116" i="2"/>
  <c r="O117" i="2"/>
  <c r="N117" i="2"/>
  <c r="K117" i="2" s="1"/>
  <c r="O118" i="2"/>
  <c r="N119" i="2"/>
  <c r="K119" i="2" s="1"/>
  <c r="O119" i="2"/>
  <c r="M121" i="2"/>
  <c r="O120" i="2"/>
  <c r="O121" i="2"/>
  <c r="O122" i="2"/>
  <c r="O123" i="2"/>
  <c r="M125" i="2"/>
  <c r="O124" i="2"/>
  <c r="O125" i="2"/>
  <c r="O126" i="2"/>
  <c r="N127" i="2"/>
  <c r="K127" i="2" s="1"/>
  <c r="O127" i="2"/>
  <c r="M129" i="2"/>
  <c r="O128" i="2"/>
  <c r="O129" i="2"/>
  <c r="O130" i="2"/>
  <c r="O131" i="2"/>
  <c r="M133" i="2"/>
  <c r="O132" i="2"/>
  <c r="O133" i="2"/>
  <c r="N133" i="2"/>
  <c r="K133" i="2" s="1"/>
  <c r="O134" i="2"/>
  <c r="O135" i="2"/>
  <c r="M137" i="2"/>
  <c r="O136" i="2"/>
  <c r="O137" i="2"/>
  <c r="O138" i="2"/>
  <c r="O139" i="2"/>
  <c r="M141" i="2"/>
  <c r="O140" i="2"/>
  <c r="O141" i="2"/>
  <c r="O142" i="2"/>
  <c r="O143" i="2"/>
  <c r="O144" i="2"/>
  <c r="O145" i="2"/>
  <c r="O146" i="2"/>
  <c r="O147" i="2"/>
  <c r="M149" i="2"/>
  <c r="O148" i="2"/>
  <c r="O149" i="2"/>
  <c r="N149" i="2"/>
  <c r="K149" i="2" s="1"/>
  <c r="O150" i="2"/>
  <c r="N151" i="2"/>
  <c r="K151" i="2" s="1"/>
  <c r="O151" i="2"/>
  <c r="M153" i="2"/>
  <c r="O152" i="2"/>
  <c r="O153" i="2"/>
  <c r="N153" i="2"/>
  <c r="K153" i="2" s="1"/>
  <c r="O154" i="2"/>
  <c r="O155" i="2"/>
  <c r="M157" i="2"/>
  <c r="O156" i="2"/>
  <c r="O157" i="2"/>
  <c r="N157" i="2"/>
  <c r="K157" i="2" s="1"/>
  <c r="O158" i="2"/>
  <c r="O159" i="2"/>
  <c r="M161" i="2"/>
  <c r="O160" i="2"/>
  <c r="O161" i="2"/>
  <c r="O162" i="2"/>
  <c r="O163" i="2"/>
  <c r="O164" i="2"/>
  <c r="O165" i="2"/>
  <c r="O166" i="2"/>
  <c r="O167" i="2"/>
  <c r="O168" i="2"/>
  <c r="O169" i="2"/>
  <c r="N172" i="2"/>
  <c r="K172" i="2" s="1"/>
  <c r="O170" i="2"/>
  <c r="O171" i="2"/>
  <c r="O172" i="2"/>
  <c r="O173" i="2"/>
  <c r="O174" i="2"/>
  <c r="O175" i="2"/>
  <c r="M177" i="2"/>
  <c r="O176" i="2"/>
  <c r="O177" i="2"/>
  <c r="N177" i="2"/>
  <c r="K177" i="2" s="1"/>
  <c r="O178" i="2"/>
  <c r="O179" i="2"/>
  <c r="O180" i="2"/>
  <c r="O181" i="2"/>
  <c r="N181" i="2"/>
  <c r="K181" i="2" s="1"/>
  <c r="O182" i="2"/>
  <c r="O183" i="2"/>
  <c r="M185" i="2"/>
  <c r="O184" i="2"/>
  <c r="O185" i="2"/>
  <c r="N185" i="2"/>
  <c r="K185" i="2" s="1"/>
  <c r="O186" i="2"/>
  <c r="O187" i="2"/>
  <c r="O188" i="2"/>
  <c r="O189" i="2"/>
  <c r="N192" i="2"/>
  <c r="K192" i="2" s="1"/>
  <c r="O190" i="2"/>
  <c r="O191" i="2"/>
  <c r="M193" i="2"/>
  <c r="O192" i="2"/>
  <c r="O193" i="2"/>
  <c r="N193" i="2"/>
  <c r="K193" i="2" s="1"/>
  <c r="M197" i="2"/>
  <c r="N197" i="2"/>
  <c r="K197" i="2" s="1"/>
  <c r="M198" i="2"/>
  <c r="N198" i="2"/>
  <c r="K198" i="2" s="1"/>
  <c r="M199" i="2"/>
  <c r="N199" i="2"/>
  <c r="K199" i="2" s="1"/>
  <c r="M200" i="2"/>
  <c r="N200" i="2"/>
  <c r="K200" i="2" s="1"/>
  <c r="M201" i="2"/>
  <c r="N201" i="2"/>
  <c r="K201" i="2" s="1"/>
  <c r="M202" i="2"/>
  <c r="N202" i="2"/>
  <c r="K202" i="2" s="1"/>
  <c r="M203" i="2"/>
  <c r="N203" i="2"/>
  <c r="K203" i="2" s="1"/>
  <c r="M204" i="2"/>
  <c r="N204" i="2"/>
  <c r="K204" i="2" s="1"/>
  <c r="M205" i="2"/>
  <c r="N205" i="2"/>
  <c r="K205" i="2" s="1"/>
  <c r="M206" i="2"/>
  <c r="N206" i="2"/>
  <c r="K206" i="2" s="1"/>
  <c r="M207" i="2"/>
  <c r="N207" i="2"/>
  <c r="K207" i="2" s="1"/>
  <c r="M208" i="2"/>
  <c r="N208" i="2"/>
  <c r="K208" i="2" s="1"/>
  <c r="M209" i="2"/>
  <c r="N209" i="2"/>
  <c r="K209" i="2" s="1"/>
  <c r="M210" i="2"/>
  <c r="N210" i="2"/>
  <c r="K210" i="2" s="1"/>
  <c r="M211" i="2"/>
  <c r="N211" i="2"/>
  <c r="K211" i="2" s="1"/>
  <c r="M212" i="2"/>
  <c r="N212" i="2"/>
  <c r="K212" i="2" s="1"/>
  <c r="M213" i="2"/>
  <c r="N213" i="2"/>
  <c r="K213" i="2" s="1"/>
  <c r="M214" i="2"/>
  <c r="N214" i="2"/>
  <c r="K214" i="2" s="1"/>
  <c r="M215" i="2"/>
  <c r="N215" i="2"/>
  <c r="K215" i="2" s="1"/>
  <c r="M216" i="2"/>
  <c r="N216" i="2"/>
  <c r="K216" i="2" s="1"/>
  <c r="M217" i="2"/>
  <c r="N217" i="2"/>
  <c r="K217" i="2" s="1"/>
  <c r="M218" i="2"/>
  <c r="N218" i="2"/>
  <c r="K218" i="2" s="1"/>
  <c r="M219" i="2"/>
  <c r="N219" i="2"/>
  <c r="K219" i="2" s="1"/>
  <c r="M220" i="2"/>
  <c r="N220" i="2"/>
  <c r="K220" i="2" s="1"/>
  <c r="M221" i="2"/>
  <c r="N221" i="2"/>
  <c r="K221" i="2" s="1"/>
  <c r="M222" i="2"/>
  <c r="N222" i="2"/>
  <c r="K222" i="2" s="1"/>
  <c r="M223" i="2"/>
  <c r="N223" i="2"/>
  <c r="K223" i="2" s="1"/>
  <c r="M224" i="2"/>
  <c r="N224" i="2"/>
  <c r="K224" i="2" s="1"/>
  <c r="M225" i="2"/>
  <c r="N225" i="2"/>
  <c r="K225" i="2" s="1"/>
  <c r="M226" i="2"/>
  <c r="N226" i="2"/>
  <c r="K226" i="2" s="1"/>
  <c r="M227" i="2"/>
  <c r="N227" i="2"/>
  <c r="K227" i="2" s="1"/>
  <c r="M228" i="2"/>
  <c r="N228" i="2"/>
  <c r="K228" i="2" s="1"/>
  <c r="M229" i="2"/>
  <c r="N229" i="2"/>
  <c r="K229" i="2" s="1"/>
  <c r="M230" i="2"/>
  <c r="N230" i="2"/>
  <c r="K230" i="2" s="1"/>
  <c r="M231" i="2"/>
  <c r="N231" i="2"/>
  <c r="K231" i="2" s="1"/>
  <c r="M232" i="2"/>
  <c r="N232" i="2"/>
  <c r="K232" i="2" s="1"/>
  <c r="M233" i="2"/>
  <c r="N233" i="2"/>
  <c r="K233" i="2" s="1"/>
  <c r="M234" i="2"/>
  <c r="N234" i="2"/>
  <c r="K234" i="2" s="1"/>
  <c r="M235" i="2"/>
  <c r="N235" i="2"/>
  <c r="K235" i="2" s="1"/>
  <c r="M236" i="2"/>
  <c r="N236" i="2"/>
  <c r="K236" i="2" s="1"/>
  <c r="M237" i="2"/>
  <c r="N237" i="2"/>
  <c r="K237" i="2" s="1"/>
  <c r="M238" i="2"/>
  <c r="N238" i="2"/>
  <c r="K238" i="2" s="1"/>
  <c r="M239" i="2"/>
  <c r="N239" i="2"/>
  <c r="K239" i="2" s="1"/>
  <c r="M240" i="2"/>
  <c r="N240" i="2"/>
  <c r="K240" i="2" s="1"/>
  <c r="M241" i="2"/>
  <c r="N241" i="2"/>
  <c r="K241" i="2" s="1"/>
  <c r="M242" i="2"/>
  <c r="N242" i="2"/>
  <c r="K242" i="2" s="1"/>
  <c r="M243" i="2"/>
  <c r="N243" i="2"/>
  <c r="K243" i="2" s="1"/>
  <c r="M244" i="2"/>
  <c r="N244" i="2"/>
  <c r="K244" i="2" s="1"/>
  <c r="M245" i="2"/>
  <c r="N245" i="2"/>
  <c r="K245" i="2" s="1"/>
  <c r="M246" i="2"/>
  <c r="N246" i="2"/>
  <c r="K246" i="2" s="1"/>
  <c r="M247" i="2"/>
  <c r="N247" i="2"/>
  <c r="K247" i="2" s="1"/>
  <c r="M248" i="2"/>
  <c r="N248" i="2"/>
  <c r="K248" i="2" s="1"/>
  <c r="M249" i="2"/>
  <c r="N249" i="2"/>
  <c r="K249" i="2" s="1"/>
  <c r="M250" i="2"/>
  <c r="N250" i="2"/>
  <c r="K250" i="2" s="1"/>
  <c r="M251" i="2"/>
  <c r="N251" i="2"/>
  <c r="K251" i="2" s="1"/>
  <c r="M252" i="2"/>
  <c r="N252" i="2"/>
  <c r="K252" i="2" s="1"/>
  <c r="M253" i="2"/>
  <c r="N253" i="2"/>
  <c r="K253" i="2" s="1"/>
  <c r="M254" i="2"/>
  <c r="N254" i="2"/>
  <c r="K254" i="2" s="1"/>
  <c r="M255" i="2"/>
  <c r="N255" i="2"/>
  <c r="K255" i="2" s="1"/>
  <c r="M256" i="2"/>
  <c r="N256" i="2"/>
  <c r="K256" i="2" s="1"/>
  <c r="M257" i="2"/>
  <c r="N257" i="2"/>
  <c r="K257" i="2" s="1"/>
  <c r="M258" i="2"/>
  <c r="N258" i="2"/>
  <c r="K258" i="2" s="1"/>
  <c r="M259" i="2"/>
  <c r="N259" i="2"/>
  <c r="K259" i="2" s="1"/>
  <c r="M260" i="2"/>
  <c r="N260" i="2"/>
  <c r="K260" i="2" s="1"/>
  <c r="M261" i="2"/>
  <c r="N261" i="2"/>
  <c r="K261" i="2" s="1"/>
  <c r="M262" i="2"/>
  <c r="N262" i="2"/>
  <c r="K262" i="2" s="1"/>
  <c r="M263" i="2"/>
  <c r="N263" i="2"/>
  <c r="K263" i="2" s="1"/>
  <c r="M264" i="2"/>
  <c r="N264" i="2"/>
  <c r="K264" i="2" s="1"/>
  <c r="M265" i="2"/>
  <c r="N265" i="2"/>
  <c r="K265" i="2" s="1"/>
  <c r="M266" i="2"/>
  <c r="N266" i="2"/>
  <c r="K266" i="2" s="1"/>
  <c r="M267" i="2"/>
  <c r="N267" i="2"/>
  <c r="K267" i="2" s="1"/>
  <c r="M268" i="2"/>
  <c r="N268" i="2"/>
  <c r="K268" i="2" s="1"/>
  <c r="M269" i="2"/>
  <c r="N269" i="2"/>
  <c r="K269" i="2" s="1"/>
  <c r="M270" i="2"/>
  <c r="N270" i="2"/>
  <c r="K270" i="2" s="1"/>
  <c r="M271" i="2"/>
  <c r="N271" i="2"/>
  <c r="K271" i="2" s="1"/>
  <c r="M272" i="2"/>
  <c r="N272" i="2"/>
  <c r="K272" i="2" s="1"/>
  <c r="M273" i="2"/>
  <c r="N273" i="2"/>
  <c r="K273" i="2" s="1"/>
  <c r="M274" i="2"/>
  <c r="N274" i="2"/>
  <c r="K274" i="2" s="1"/>
  <c r="M275" i="2"/>
  <c r="N275" i="2"/>
  <c r="K275" i="2" s="1"/>
  <c r="M276" i="2"/>
  <c r="N276" i="2"/>
  <c r="K276" i="2" s="1"/>
  <c r="M277" i="2"/>
  <c r="N277" i="2"/>
  <c r="K277" i="2" s="1"/>
  <c r="M278" i="2"/>
  <c r="N278" i="2"/>
  <c r="K278" i="2" s="1"/>
  <c r="M279" i="2"/>
  <c r="N279" i="2"/>
  <c r="K279" i="2" s="1"/>
  <c r="M280" i="2"/>
  <c r="N280" i="2"/>
  <c r="K280" i="2" s="1"/>
  <c r="M281" i="2"/>
  <c r="N281" i="2"/>
  <c r="K281" i="2" s="1"/>
  <c r="M282" i="2"/>
  <c r="N282" i="2"/>
  <c r="K282" i="2" s="1"/>
  <c r="M283" i="2"/>
  <c r="N283" i="2"/>
  <c r="K283" i="2" s="1"/>
  <c r="M284" i="2"/>
  <c r="N284" i="2"/>
  <c r="K284" i="2" s="1"/>
  <c r="M285" i="2"/>
  <c r="N285" i="2"/>
  <c r="K285" i="2" s="1"/>
  <c r="M286" i="2"/>
  <c r="N286" i="2"/>
  <c r="K286" i="2" s="1"/>
  <c r="M287" i="2"/>
  <c r="N287" i="2"/>
  <c r="K287" i="2" s="1"/>
  <c r="M288" i="2"/>
  <c r="N288" i="2"/>
  <c r="K288" i="2" s="1"/>
  <c r="M289" i="2"/>
  <c r="N289" i="2"/>
  <c r="K289" i="2" s="1"/>
  <c r="M290" i="2"/>
  <c r="N290" i="2"/>
  <c r="K290" i="2" s="1"/>
  <c r="M291" i="2"/>
  <c r="N291" i="2"/>
  <c r="K291" i="2" s="1"/>
  <c r="M292" i="2"/>
  <c r="N292" i="2"/>
  <c r="K292" i="2" s="1"/>
  <c r="M293" i="2"/>
  <c r="M301" i="2"/>
  <c r="N304" i="2"/>
  <c r="K304" i="2" s="1"/>
  <c r="M307" i="2"/>
  <c r="M309" i="2"/>
  <c r="M311" i="2"/>
  <c r="M319" i="2"/>
  <c r="M321" i="2"/>
  <c r="M323" i="2"/>
  <c r="M523" i="2"/>
  <c r="M333" i="2"/>
  <c r="N334" i="2"/>
  <c r="K334" i="2" s="1"/>
  <c r="M339" i="2"/>
  <c r="M346" i="2"/>
  <c r="M349" i="2"/>
  <c r="N350" i="2"/>
  <c r="K350" i="2" s="1"/>
  <c r="M354" i="2"/>
  <c r="M359" i="2"/>
  <c r="N460" i="2"/>
  <c r="K460" i="2" s="1"/>
  <c r="N378" i="2"/>
  <c r="K378" i="2" s="1"/>
  <c r="M481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P112" i="2" l="1"/>
  <c r="P116" i="2"/>
  <c r="P120" i="2"/>
  <c r="P124" i="2"/>
  <c r="P110" i="2"/>
  <c r="P114" i="2"/>
  <c r="P118" i="2"/>
  <c r="P122" i="2"/>
  <c r="P111" i="2"/>
  <c r="P115" i="2"/>
  <c r="P119" i="2"/>
  <c r="P123" i="2"/>
  <c r="P117" i="2"/>
  <c r="P121" i="2"/>
  <c r="P125" i="2"/>
  <c r="P113" i="2"/>
  <c r="O195" i="2"/>
  <c r="O771" i="2"/>
  <c r="O675" i="2"/>
  <c r="O579" i="2"/>
  <c r="O483" i="2"/>
  <c r="O387" i="2"/>
  <c r="O291" i="2"/>
  <c r="P160" i="2"/>
  <c r="P164" i="2"/>
  <c r="P168" i="2"/>
  <c r="P172" i="2"/>
  <c r="P158" i="2"/>
  <c r="P162" i="2"/>
  <c r="P166" i="2"/>
  <c r="P170" i="2"/>
  <c r="P159" i="2"/>
  <c r="P163" i="2"/>
  <c r="P167" i="2"/>
  <c r="P171" i="2"/>
  <c r="P165" i="2"/>
  <c r="P169" i="2"/>
  <c r="P173" i="2"/>
  <c r="P161" i="2"/>
  <c r="P144" i="2"/>
  <c r="P148" i="2"/>
  <c r="P152" i="2"/>
  <c r="P156" i="2"/>
  <c r="P142" i="2"/>
  <c r="P146" i="2"/>
  <c r="P150" i="2"/>
  <c r="P154" i="2"/>
  <c r="P143" i="2"/>
  <c r="P147" i="2"/>
  <c r="P151" i="2"/>
  <c r="P155" i="2"/>
  <c r="P149" i="2"/>
  <c r="P153" i="2"/>
  <c r="P157" i="2"/>
  <c r="P145" i="2"/>
  <c r="P128" i="2"/>
  <c r="P132" i="2"/>
  <c r="P136" i="2"/>
  <c r="P140" i="2"/>
  <c r="P126" i="2"/>
  <c r="P130" i="2"/>
  <c r="P134" i="2"/>
  <c r="P138" i="2"/>
  <c r="P127" i="2"/>
  <c r="P131" i="2"/>
  <c r="P135" i="2"/>
  <c r="P139" i="2"/>
  <c r="P133" i="2"/>
  <c r="P137" i="2"/>
  <c r="P141" i="2"/>
  <c r="P129" i="2"/>
  <c r="O197" i="2"/>
  <c r="O773" i="2"/>
  <c r="O677" i="2"/>
  <c r="O581" i="2"/>
  <c r="O485" i="2"/>
  <c r="O389" i="2"/>
  <c r="O293" i="2"/>
  <c r="O194" i="2"/>
  <c r="P98" i="2"/>
  <c r="P94" i="2"/>
  <c r="P101" i="2"/>
  <c r="P97" i="2"/>
  <c r="O770" i="2"/>
  <c r="O674" i="2"/>
  <c r="O578" i="2"/>
  <c r="O482" i="2"/>
  <c r="O386" i="2"/>
  <c r="O290" i="2"/>
  <c r="P100" i="2"/>
  <c r="P96" i="2"/>
  <c r="P99" i="2"/>
  <c r="P95" i="2"/>
  <c r="P176" i="2"/>
  <c r="P180" i="2"/>
  <c r="P184" i="2"/>
  <c r="P188" i="2"/>
  <c r="P174" i="2"/>
  <c r="P178" i="2"/>
  <c r="P182" i="2"/>
  <c r="P186" i="2"/>
  <c r="P175" i="2"/>
  <c r="P179" i="2"/>
  <c r="P183" i="2"/>
  <c r="P187" i="2"/>
  <c r="P181" i="2"/>
  <c r="P185" i="2"/>
  <c r="P189" i="2"/>
  <c r="P177" i="2"/>
  <c r="O196" i="2"/>
  <c r="O772" i="2"/>
  <c r="O676" i="2"/>
  <c r="O580" i="2"/>
  <c r="O484" i="2"/>
  <c r="O388" i="2"/>
  <c r="O292" i="2"/>
  <c r="P104" i="2"/>
  <c r="P108" i="2"/>
  <c r="P105" i="2"/>
  <c r="P102" i="2"/>
  <c r="P106" i="2"/>
  <c r="P103" i="2"/>
  <c r="P107" i="2"/>
  <c r="P109" i="2"/>
  <c r="M455" i="2"/>
  <c r="N528" i="2"/>
  <c r="K528" i="2" s="1"/>
  <c r="M335" i="2"/>
  <c r="N335" i="2"/>
  <c r="K335" i="2" s="1"/>
  <c r="M48" i="2"/>
  <c r="M313" i="2"/>
  <c r="M697" i="2"/>
  <c r="M327" i="2"/>
  <c r="N421" i="2"/>
  <c r="K421" i="2" s="1"/>
  <c r="N328" i="2"/>
  <c r="K328" i="2" s="1"/>
  <c r="N121" i="2"/>
  <c r="K121" i="2" s="1"/>
  <c r="N124" i="2"/>
  <c r="K124" i="2" s="1"/>
  <c r="N355" i="2"/>
  <c r="K355" i="2" s="1"/>
  <c r="M450" i="2"/>
  <c r="M402" i="2"/>
  <c r="M355" i="2"/>
  <c r="M101" i="2"/>
  <c r="N341" i="2"/>
  <c r="K341" i="2" s="1"/>
  <c r="N439" i="2"/>
  <c r="K439" i="2" s="1"/>
  <c r="N344" i="2"/>
  <c r="K344" i="2" s="1"/>
  <c r="M297" i="2"/>
  <c r="N294" i="2"/>
  <c r="K294" i="2" s="1"/>
  <c r="M295" i="2"/>
  <c r="M31" i="2"/>
  <c r="N31" i="2"/>
  <c r="K31" i="2" s="1"/>
  <c r="N377" i="2"/>
  <c r="K377" i="2" s="1"/>
  <c r="M379" i="2"/>
  <c r="N297" i="2"/>
  <c r="K297" i="2" s="1"/>
  <c r="N299" i="2"/>
  <c r="K299" i="2" s="1"/>
  <c r="N295" i="2"/>
  <c r="K295" i="2" s="1"/>
  <c r="M60" i="2"/>
  <c r="M61" i="2"/>
  <c r="M474" i="2"/>
  <c r="N668" i="2"/>
  <c r="K668" i="2" s="1"/>
  <c r="M341" i="2"/>
  <c r="M725" i="2"/>
  <c r="M689" i="2"/>
  <c r="M688" i="2"/>
  <c r="N82" i="2"/>
  <c r="K82" i="2" s="1"/>
  <c r="M82" i="2"/>
  <c r="M83" i="2"/>
  <c r="M93" i="2"/>
  <c r="M134" i="2"/>
  <c r="M378" i="2"/>
  <c r="M299" i="2"/>
  <c r="M128" i="2"/>
  <c r="N120" i="2"/>
  <c r="K120" i="2" s="1"/>
  <c r="N84" i="2"/>
  <c r="K84" i="2" s="1"/>
  <c r="M76" i="2"/>
  <c r="M69" i="2"/>
  <c r="M57" i="2"/>
  <c r="N44" i="2"/>
  <c r="K44" i="2" s="1"/>
  <c r="M33" i="2"/>
  <c r="M21" i="2"/>
  <c r="N19" i="2"/>
  <c r="K19" i="2" s="1"/>
  <c r="M13" i="2"/>
  <c r="M303" i="2"/>
  <c r="M122" i="2"/>
  <c r="M120" i="2"/>
  <c r="M97" i="2"/>
  <c r="M59" i="2"/>
  <c r="N23" i="2"/>
  <c r="K23" i="2" s="1"/>
  <c r="N540" i="2"/>
  <c r="K540" i="2" s="1"/>
  <c r="M155" i="2"/>
  <c r="N154" i="2"/>
  <c r="K154" i="2" s="1"/>
  <c r="M148" i="2"/>
  <c r="M56" i="2"/>
  <c r="N356" i="2"/>
  <c r="K356" i="2" s="1"/>
  <c r="N347" i="2"/>
  <c r="K347" i="2" s="1"/>
  <c r="N343" i="2"/>
  <c r="K343" i="2" s="1"/>
  <c r="N342" i="2"/>
  <c r="K342" i="2" s="1"/>
  <c r="M312" i="2"/>
  <c r="N300" i="2"/>
  <c r="K300" i="2" s="1"/>
  <c r="N91" i="2"/>
  <c r="K91" i="2" s="1"/>
  <c r="M85" i="2"/>
  <c r="M41" i="2"/>
  <c r="M347" i="2"/>
  <c r="M343" i="2"/>
  <c r="M342" i="2"/>
  <c r="N298" i="2"/>
  <c r="K298" i="2" s="1"/>
  <c r="M183" i="2"/>
  <c r="N182" i="2"/>
  <c r="K182" i="2" s="1"/>
  <c r="N160" i="2"/>
  <c r="K160" i="2" s="1"/>
  <c r="N136" i="2"/>
  <c r="K136" i="2" s="1"/>
  <c r="N135" i="2"/>
  <c r="K135" i="2" s="1"/>
  <c r="M119" i="2"/>
  <c r="N118" i="2"/>
  <c r="K118" i="2" s="1"/>
  <c r="M116" i="2"/>
  <c r="M111" i="2"/>
  <c r="N110" i="2"/>
  <c r="K110" i="2" s="1"/>
  <c r="M108" i="2"/>
  <c r="N92" i="2"/>
  <c r="K92" i="2" s="1"/>
  <c r="M91" i="2"/>
  <c r="M81" i="2"/>
  <c r="N43" i="2"/>
  <c r="K43" i="2" s="1"/>
  <c r="M8" i="2"/>
  <c r="M196" i="2"/>
  <c r="N156" i="2"/>
  <c r="K156" i="2" s="1"/>
  <c r="N155" i="2"/>
  <c r="K155" i="2" s="1"/>
  <c r="M152" i="2"/>
  <c r="M135" i="2"/>
  <c r="N134" i="2"/>
  <c r="K134" i="2" s="1"/>
  <c r="M132" i="2"/>
  <c r="M463" i="2"/>
  <c r="N654" i="2"/>
  <c r="K654" i="2" s="1"/>
  <c r="N438" i="2"/>
  <c r="K438" i="2" s="1"/>
  <c r="M173" i="2"/>
  <c r="M172" i="2"/>
  <c r="M165" i="2"/>
  <c r="M164" i="2"/>
  <c r="N137" i="2"/>
  <c r="K137" i="2" s="1"/>
  <c r="N140" i="2"/>
  <c r="K140" i="2" s="1"/>
  <c r="M44" i="2"/>
  <c r="M45" i="2"/>
  <c r="N173" i="2"/>
  <c r="K173" i="2" s="1"/>
  <c r="N174" i="2"/>
  <c r="K174" i="2" s="1"/>
  <c r="M175" i="2"/>
  <c r="M72" i="2"/>
  <c r="M73" i="2"/>
  <c r="N54" i="2"/>
  <c r="K54" i="2" s="1"/>
  <c r="M54" i="2"/>
  <c r="M55" i="2"/>
  <c r="N56" i="2"/>
  <c r="N165" i="2"/>
  <c r="K165" i="2" s="1"/>
  <c r="N166" i="2"/>
  <c r="K166" i="2" s="1"/>
  <c r="M167" i="2"/>
  <c r="N130" i="2"/>
  <c r="K130" i="2" s="1"/>
  <c r="N129" i="2"/>
  <c r="K129" i="2" s="1"/>
  <c r="M130" i="2"/>
  <c r="N132" i="2"/>
  <c r="K132" i="2" s="1"/>
  <c r="M88" i="2"/>
  <c r="M89" i="2"/>
  <c r="N66" i="2"/>
  <c r="K66" i="2" s="1"/>
  <c r="M66" i="2"/>
  <c r="M67" i="2"/>
  <c r="N68" i="2"/>
  <c r="K68" i="2" s="1"/>
  <c r="M53" i="2"/>
  <c r="N37" i="2"/>
  <c r="K37" i="2" s="1"/>
  <c r="N38" i="2"/>
  <c r="K38" i="2" s="1"/>
  <c r="N40" i="2"/>
  <c r="K40" i="2" s="1"/>
  <c r="M39" i="2"/>
  <c r="M16" i="2"/>
  <c r="M17" i="2"/>
  <c r="M325" i="2"/>
  <c r="M324" i="2"/>
  <c r="N161" i="2"/>
  <c r="K161" i="2" s="1"/>
  <c r="M162" i="2"/>
  <c r="N163" i="2"/>
  <c r="K163" i="2" s="1"/>
  <c r="N164" i="2"/>
  <c r="K164" i="2" s="1"/>
  <c r="N142" i="2"/>
  <c r="K142" i="2" s="1"/>
  <c r="N141" i="2"/>
  <c r="K141" i="2" s="1"/>
  <c r="M142" i="2"/>
  <c r="N125" i="2"/>
  <c r="K125" i="2" s="1"/>
  <c r="N126" i="2"/>
  <c r="K126" i="2" s="1"/>
  <c r="M127" i="2"/>
  <c r="N128" i="2"/>
  <c r="K128" i="2" s="1"/>
  <c r="N33" i="2"/>
  <c r="K33" i="2" s="1"/>
  <c r="N36" i="2"/>
  <c r="K36" i="2" s="1"/>
  <c r="N34" i="2"/>
  <c r="K34" i="2" s="1"/>
  <c r="M6" i="2"/>
  <c r="N7" i="2"/>
  <c r="K7" i="2" s="1"/>
  <c r="N8" i="2"/>
  <c r="K8" i="2" s="1"/>
  <c r="M7" i="2"/>
  <c r="M516" i="2"/>
  <c r="M390" i="2"/>
  <c r="N392" i="2"/>
  <c r="K392" i="2" s="1"/>
  <c r="M351" i="2"/>
  <c r="N340" i="2"/>
  <c r="K340" i="2" s="1"/>
  <c r="N333" i="2"/>
  <c r="K333" i="2" s="1"/>
  <c r="N336" i="2"/>
  <c r="K336" i="2" s="1"/>
  <c r="N46" i="2"/>
  <c r="K46" i="2" s="1"/>
  <c r="M46" i="2"/>
  <c r="M47" i="2"/>
  <c r="N48" i="2"/>
  <c r="K48" i="2" s="1"/>
  <c r="N47" i="2"/>
  <c r="K47" i="2" s="1"/>
  <c r="N35" i="2"/>
  <c r="K35" i="2" s="1"/>
  <c r="N645" i="2"/>
  <c r="K645" i="2" s="1"/>
  <c r="N446" i="2"/>
  <c r="K446" i="2" s="1"/>
  <c r="M492" i="2"/>
  <c r="M391" i="2"/>
  <c r="M329" i="2"/>
  <c r="N311" i="2"/>
  <c r="K311" i="2" s="1"/>
  <c r="M525" i="2"/>
  <c r="N408" i="2"/>
  <c r="K408" i="2" s="1"/>
  <c r="N353" i="2"/>
  <c r="K353" i="2" s="1"/>
  <c r="N354" i="2"/>
  <c r="K354" i="2" s="1"/>
  <c r="M332" i="2"/>
  <c r="N318" i="2"/>
  <c r="K318" i="2" s="1"/>
  <c r="M415" i="2"/>
  <c r="M306" i="2"/>
  <c r="N308" i="2"/>
  <c r="K308" i="2" s="1"/>
  <c r="M300" i="2"/>
  <c r="N293" i="2"/>
  <c r="K293" i="2" s="1"/>
  <c r="N296" i="2"/>
  <c r="K296" i="2" s="1"/>
  <c r="M181" i="2"/>
  <c r="M180" i="2"/>
  <c r="M163" i="2"/>
  <c r="N162" i="2"/>
  <c r="K162" i="2" s="1"/>
  <c r="N94" i="2"/>
  <c r="K94" i="2" s="1"/>
  <c r="N95" i="2"/>
  <c r="K95" i="2" s="1"/>
  <c r="M65" i="2"/>
  <c r="N55" i="2"/>
  <c r="K55" i="2" s="1"/>
  <c r="N50" i="2"/>
  <c r="K50" i="2" s="1"/>
  <c r="M51" i="2"/>
  <c r="N52" i="2"/>
  <c r="K52" i="2" s="1"/>
  <c r="M50" i="2"/>
  <c r="N39" i="2"/>
  <c r="K39" i="2" s="1"/>
  <c r="N29" i="2"/>
  <c r="K29" i="2" s="1"/>
  <c r="M30" i="2"/>
  <c r="M26" i="2"/>
  <c r="N27" i="2"/>
  <c r="K27" i="2" s="1"/>
  <c r="M158" i="2"/>
  <c r="M156" i="2"/>
  <c r="N152" i="2"/>
  <c r="K152" i="2" s="1"/>
  <c r="N98" i="2"/>
  <c r="K98" i="2" s="1"/>
  <c r="M98" i="2"/>
  <c r="N86" i="2"/>
  <c r="K86" i="2" s="1"/>
  <c r="N87" i="2"/>
  <c r="K87" i="2" s="1"/>
  <c r="N18" i="2"/>
  <c r="K18" i="2" s="1"/>
  <c r="M19" i="2"/>
  <c r="N20" i="2"/>
  <c r="K20" i="2" s="1"/>
  <c r="N101" i="2"/>
  <c r="K101" i="2" s="1"/>
  <c r="M102" i="2"/>
  <c r="M62" i="2"/>
  <c r="M63" i="2"/>
  <c r="N64" i="2"/>
  <c r="K64" i="2" s="1"/>
  <c r="M58" i="2"/>
  <c r="N59" i="2"/>
  <c r="K59" i="2" s="1"/>
  <c r="M24" i="2"/>
  <c r="M25" i="2"/>
  <c r="N549" i="2"/>
  <c r="K549" i="2" s="1"/>
  <c r="N415" i="2"/>
  <c r="K415" i="2" s="1"/>
  <c r="N459" i="2"/>
  <c r="K459" i="2" s="1"/>
  <c r="N527" i="2"/>
  <c r="K527" i="2" s="1"/>
  <c r="N373" i="2"/>
  <c r="K373" i="2" s="1"/>
  <c r="M374" i="2"/>
  <c r="M375" i="2"/>
  <c r="N376" i="2"/>
  <c r="K376" i="2" s="1"/>
  <c r="N374" i="2"/>
  <c r="K374" i="2" s="1"/>
  <c r="N375" i="2"/>
  <c r="K375" i="2" s="1"/>
  <c r="N567" i="2"/>
  <c r="K567" i="2" s="1"/>
  <c r="N453" i="2"/>
  <c r="K453" i="2" s="1"/>
  <c r="N454" i="2"/>
  <c r="K454" i="2" s="1"/>
  <c r="N456" i="2"/>
  <c r="K456" i="2" s="1"/>
  <c r="M613" i="2"/>
  <c r="N428" i="2"/>
  <c r="K428" i="2" s="1"/>
  <c r="N427" i="2"/>
  <c r="K427" i="2" s="1"/>
  <c r="N521" i="2"/>
  <c r="K521" i="2" s="1"/>
  <c r="M522" i="2"/>
  <c r="N523" i="2"/>
  <c r="K523" i="2" s="1"/>
  <c r="N522" i="2"/>
  <c r="K522" i="2" s="1"/>
  <c r="M618" i="2"/>
  <c r="M541" i="2"/>
  <c r="M540" i="2"/>
  <c r="N524" i="2"/>
  <c r="K524" i="2" s="1"/>
  <c r="N398" i="2"/>
  <c r="K398" i="2" s="1"/>
  <c r="N357" i="2"/>
  <c r="K357" i="2" s="1"/>
  <c r="M358" i="2"/>
  <c r="N359" i="2"/>
  <c r="K359" i="2" s="1"/>
  <c r="N360" i="2"/>
  <c r="K360" i="2" s="1"/>
  <c r="N358" i="2"/>
  <c r="K358" i="2" s="1"/>
  <c r="N312" i="2"/>
  <c r="K312" i="2" s="1"/>
  <c r="N365" i="2"/>
  <c r="K365" i="2" s="1"/>
  <c r="M367" i="2"/>
  <c r="N305" i="2"/>
  <c r="K305" i="2" s="1"/>
  <c r="N306" i="2"/>
  <c r="K306" i="2" s="1"/>
  <c r="N307" i="2"/>
  <c r="K307" i="2" s="1"/>
  <c r="N337" i="2"/>
  <c r="K337" i="2" s="1"/>
  <c r="M338" i="2"/>
  <c r="N339" i="2"/>
  <c r="K339" i="2" s="1"/>
  <c r="N338" i="2"/>
  <c r="K338" i="2" s="1"/>
  <c r="N309" i="2"/>
  <c r="K309" i="2" s="1"/>
  <c r="N310" i="2"/>
  <c r="K310" i="2" s="1"/>
  <c r="N301" i="2"/>
  <c r="K301" i="2" s="1"/>
  <c r="N302" i="2"/>
  <c r="K302" i="2" s="1"/>
  <c r="N303" i="2"/>
  <c r="K303" i="2" s="1"/>
  <c r="N196" i="2"/>
  <c r="K196" i="2" s="1"/>
  <c r="N195" i="2"/>
  <c r="K195" i="2" s="1"/>
  <c r="M43" i="2"/>
  <c r="M195" i="2"/>
  <c r="N194" i="2"/>
  <c r="K194" i="2" s="1"/>
  <c r="N184" i="2"/>
  <c r="K184" i="2" s="1"/>
  <c r="N176" i="2"/>
  <c r="K176" i="2" s="1"/>
  <c r="M151" i="2"/>
  <c r="N150" i="2"/>
  <c r="K150" i="2" s="1"/>
  <c r="N144" i="2"/>
  <c r="K144" i="2" s="1"/>
  <c r="N143" i="2"/>
  <c r="K143" i="2" s="1"/>
  <c r="M107" i="2"/>
  <c r="N106" i="2"/>
  <c r="K106" i="2" s="1"/>
  <c r="N96" i="2"/>
  <c r="K96" i="2" s="1"/>
  <c r="M95" i="2"/>
  <c r="M90" i="2"/>
  <c r="N88" i="2"/>
  <c r="K88" i="2" s="1"/>
  <c r="M87" i="2"/>
  <c r="M75" i="2"/>
  <c r="N71" i="2"/>
  <c r="K71" i="2" s="1"/>
  <c r="N69" i="2"/>
  <c r="K69" i="2" s="1"/>
  <c r="N65" i="2"/>
  <c r="K65" i="2" s="1"/>
  <c r="N61" i="2"/>
  <c r="K61" i="2" s="1"/>
  <c r="N57" i="2"/>
  <c r="N53" i="2"/>
  <c r="K53" i="2" s="1"/>
  <c r="N49" i="2"/>
  <c r="K49" i="2" s="1"/>
  <c r="N45" i="2"/>
  <c r="K45" i="2" s="1"/>
  <c r="M34" i="2"/>
  <c r="N32" i="2"/>
  <c r="K32" i="2" s="1"/>
  <c r="N26" i="2"/>
  <c r="K26" i="2" s="1"/>
  <c r="N24" i="2"/>
  <c r="K24" i="2" s="1"/>
  <c r="M23" i="2"/>
  <c r="N6" i="2"/>
  <c r="K6" i="2" s="1"/>
  <c r="M194" i="2"/>
  <c r="M192" i="2"/>
  <c r="M187" i="2"/>
  <c r="N186" i="2"/>
  <c r="K186" i="2" s="1"/>
  <c r="M184" i="2"/>
  <c r="N183" i="2"/>
  <c r="K183" i="2" s="1"/>
  <c r="N180" i="2"/>
  <c r="K180" i="2" s="1"/>
  <c r="M178" i="2"/>
  <c r="M176" i="2"/>
  <c r="N175" i="2"/>
  <c r="K175" i="2" s="1"/>
  <c r="M143" i="2"/>
  <c r="M138" i="2"/>
  <c r="M136" i="2"/>
  <c r="M106" i="2"/>
  <c r="M104" i="2"/>
  <c r="N72" i="2"/>
  <c r="K72" i="2" s="1"/>
  <c r="M71" i="2"/>
  <c r="N62" i="2"/>
  <c r="K62" i="2" s="1"/>
  <c r="N58" i="2"/>
  <c r="K58" i="2" s="1"/>
  <c r="N42" i="2"/>
  <c r="K42" i="2" s="1"/>
  <c r="N30" i="2"/>
  <c r="K30" i="2" s="1"/>
  <c r="M11" i="2"/>
  <c r="M94" i="2"/>
  <c r="M86" i="2"/>
  <c r="M22" i="2"/>
  <c r="M753" i="2"/>
  <c r="M752" i="2"/>
  <c r="N485" i="2"/>
  <c r="K485" i="2" s="1"/>
  <c r="N486" i="2"/>
  <c r="K486" i="2" s="1"/>
  <c r="N487" i="2"/>
  <c r="K487" i="2" s="1"/>
  <c r="N488" i="2"/>
  <c r="K488" i="2" s="1"/>
  <c r="M487" i="2"/>
  <c r="M493" i="2"/>
  <c r="N457" i="2"/>
  <c r="K457" i="2" s="1"/>
  <c r="M458" i="2"/>
  <c r="N458" i="2"/>
  <c r="K458" i="2" s="1"/>
  <c r="M459" i="2"/>
  <c r="N538" i="2"/>
  <c r="K538" i="2" s="1"/>
  <c r="N451" i="2"/>
  <c r="K451" i="2" s="1"/>
  <c r="N425" i="2"/>
  <c r="K425" i="2" s="1"/>
  <c r="M426" i="2"/>
  <c r="N426" i="2"/>
  <c r="K426" i="2" s="1"/>
  <c r="M427" i="2"/>
  <c r="N409" i="2"/>
  <c r="K409" i="2" s="1"/>
  <c r="M410" i="2"/>
  <c r="M411" i="2"/>
  <c r="M506" i="2"/>
  <c r="N410" i="2"/>
  <c r="K410" i="2" s="1"/>
  <c r="N411" i="2"/>
  <c r="K411" i="2" s="1"/>
  <c r="N412" i="2"/>
  <c r="K412" i="2" s="1"/>
  <c r="N369" i="2"/>
  <c r="K369" i="2" s="1"/>
  <c r="N370" i="2"/>
  <c r="K370" i="2" s="1"/>
  <c r="M371" i="2"/>
  <c r="N371" i="2"/>
  <c r="K371" i="2" s="1"/>
  <c r="N372" i="2"/>
  <c r="K372" i="2" s="1"/>
  <c r="N361" i="2"/>
  <c r="K361" i="2" s="1"/>
  <c r="M362" i="2"/>
  <c r="N362" i="2"/>
  <c r="K362" i="2" s="1"/>
  <c r="M363" i="2"/>
  <c r="N363" i="2"/>
  <c r="K363" i="2" s="1"/>
  <c r="N364" i="2"/>
  <c r="K364" i="2" s="1"/>
  <c r="N473" i="2"/>
  <c r="K473" i="2" s="1"/>
  <c r="N474" i="2"/>
  <c r="K474" i="2" s="1"/>
  <c r="M475" i="2"/>
  <c r="N476" i="2"/>
  <c r="K476" i="2" s="1"/>
  <c r="N475" i="2"/>
  <c r="K475" i="2" s="1"/>
  <c r="M431" i="2"/>
  <c r="N389" i="2"/>
  <c r="K389" i="2" s="1"/>
  <c r="N390" i="2"/>
  <c r="K390" i="2" s="1"/>
  <c r="N391" i="2"/>
  <c r="K391" i="2" s="1"/>
  <c r="N385" i="2"/>
  <c r="K385" i="2" s="1"/>
  <c r="N386" i="2"/>
  <c r="K386" i="2" s="1"/>
  <c r="M387" i="2"/>
  <c r="N387" i="2"/>
  <c r="K387" i="2" s="1"/>
  <c r="N388" i="2"/>
  <c r="K388" i="2" s="1"/>
  <c r="N321" i="2"/>
  <c r="K321" i="2" s="1"/>
  <c r="N322" i="2"/>
  <c r="K322" i="2" s="1"/>
  <c r="N323" i="2"/>
  <c r="K323" i="2" s="1"/>
  <c r="M322" i="2"/>
  <c r="N324" i="2"/>
  <c r="K324" i="2" s="1"/>
  <c r="M418" i="2"/>
  <c r="N313" i="2"/>
  <c r="K313" i="2" s="1"/>
  <c r="N314" i="2"/>
  <c r="K314" i="2" s="1"/>
  <c r="N315" i="2"/>
  <c r="K315" i="2" s="1"/>
  <c r="N316" i="2"/>
  <c r="K316" i="2" s="1"/>
  <c r="M315" i="2"/>
  <c r="N189" i="2"/>
  <c r="K189" i="2" s="1"/>
  <c r="M190" i="2"/>
  <c r="N190" i="2"/>
  <c r="K190" i="2" s="1"/>
  <c r="M191" i="2"/>
  <c r="N191" i="2"/>
  <c r="K191" i="2" s="1"/>
  <c r="M113" i="2"/>
  <c r="M112" i="2"/>
  <c r="N461" i="2"/>
  <c r="K461" i="2" s="1"/>
  <c r="N462" i="2"/>
  <c r="K462" i="2" s="1"/>
  <c r="N463" i="2"/>
  <c r="K463" i="2" s="1"/>
  <c r="N464" i="2"/>
  <c r="K464" i="2" s="1"/>
  <c r="N441" i="2"/>
  <c r="K441" i="2" s="1"/>
  <c r="M442" i="2"/>
  <c r="M443" i="2"/>
  <c r="N442" i="2"/>
  <c r="K442" i="2" s="1"/>
  <c r="N443" i="2"/>
  <c r="K443" i="2" s="1"/>
  <c r="N444" i="2"/>
  <c r="K444" i="2" s="1"/>
  <c r="N393" i="2"/>
  <c r="K393" i="2" s="1"/>
  <c r="M394" i="2"/>
  <c r="M395" i="2"/>
  <c r="N394" i="2"/>
  <c r="K394" i="2" s="1"/>
  <c r="N395" i="2"/>
  <c r="K395" i="2" s="1"/>
  <c r="N396" i="2"/>
  <c r="K396" i="2" s="1"/>
  <c r="N381" i="2"/>
  <c r="K381" i="2" s="1"/>
  <c r="N382" i="2"/>
  <c r="K382" i="2" s="1"/>
  <c r="M383" i="2"/>
  <c r="N383" i="2"/>
  <c r="K383" i="2" s="1"/>
  <c r="N384" i="2"/>
  <c r="K384" i="2" s="1"/>
  <c r="M478" i="2"/>
  <c r="M28" i="2"/>
  <c r="M29" i="2"/>
  <c r="N349" i="2"/>
  <c r="K349" i="2" s="1"/>
  <c r="N351" i="2"/>
  <c r="K351" i="2" s="1"/>
  <c r="N352" i="2"/>
  <c r="K352" i="2" s="1"/>
  <c r="N329" i="2"/>
  <c r="K329" i="2" s="1"/>
  <c r="M330" i="2"/>
  <c r="M331" i="2"/>
  <c r="N332" i="2"/>
  <c r="K332" i="2" s="1"/>
  <c r="N330" i="2"/>
  <c r="K330" i="2" s="1"/>
  <c r="N331" i="2"/>
  <c r="K331" i="2" s="1"/>
  <c r="N325" i="2"/>
  <c r="K325" i="2" s="1"/>
  <c r="M326" i="2"/>
  <c r="N327" i="2"/>
  <c r="K327" i="2" s="1"/>
  <c r="N326" i="2"/>
  <c r="K326" i="2" s="1"/>
  <c r="N169" i="2"/>
  <c r="K169" i="2" s="1"/>
  <c r="M170" i="2"/>
  <c r="N170" i="2"/>
  <c r="K170" i="2" s="1"/>
  <c r="M171" i="2"/>
  <c r="N171" i="2"/>
  <c r="K171" i="2" s="1"/>
  <c r="M145" i="2"/>
  <c r="M144" i="2"/>
  <c r="N380" i="2"/>
  <c r="K380" i="2" s="1"/>
  <c r="N379" i="2"/>
  <c r="K379" i="2" s="1"/>
  <c r="N368" i="2"/>
  <c r="K368" i="2" s="1"/>
  <c r="N367" i="2"/>
  <c r="K367" i="2" s="1"/>
  <c r="N366" i="2"/>
  <c r="K366" i="2" s="1"/>
  <c r="N319" i="2"/>
  <c r="K319" i="2" s="1"/>
  <c r="M189" i="2"/>
  <c r="M188" i="2"/>
  <c r="N145" i="2"/>
  <c r="K145" i="2" s="1"/>
  <c r="N146" i="2"/>
  <c r="K146" i="2" s="1"/>
  <c r="M147" i="2"/>
  <c r="N147" i="2"/>
  <c r="K147" i="2" s="1"/>
  <c r="N148" i="2"/>
  <c r="K148" i="2" s="1"/>
  <c r="N113" i="2"/>
  <c r="K113" i="2" s="1"/>
  <c r="M114" i="2"/>
  <c r="N114" i="2"/>
  <c r="K114" i="2" s="1"/>
  <c r="M115" i="2"/>
  <c r="N115" i="2"/>
  <c r="K115" i="2" s="1"/>
  <c r="M37" i="2"/>
  <c r="M14" i="2"/>
  <c r="N14" i="2"/>
  <c r="K14" i="2" s="1"/>
  <c r="N13" i="2"/>
  <c r="K13" i="2" s="1"/>
  <c r="M15" i="2"/>
  <c r="N16" i="2"/>
  <c r="K16" i="2" s="1"/>
  <c r="M10" i="2"/>
  <c r="N11" i="2"/>
  <c r="K11" i="2" s="1"/>
  <c r="N10" i="2"/>
  <c r="K10" i="2" s="1"/>
  <c r="N9" i="2"/>
  <c r="K9" i="2" s="1"/>
  <c r="N345" i="2"/>
  <c r="K345" i="2" s="1"/>
  <c r="N346" i="2"/>
  <c r="K346" i="2" s="1"/>
  <c r="N348" i="2"/>
  <c r="K348" i="2" s="1"/>
  <c r="N317" i="2"/>
  <c r="K317" i="2" s="1"/>
  <c r="N320" i="2"/>
  <c r="K320" i="2" s="1"/>
  <c r="M169" i="2"/>
  <c r="M168" i="2"/>
  <c r="M78" i="2"/>
  <c r="N78" i="2"/>
  <c r="K78" i="2" s="1"/>
  <c r="N77" i="2"/>
  <c r="K77" i="2" s="1"/>
  <c r="M79" i="2"/>
  <c r="N80" i="2"/>
  <c r="K80" i="2" s="1"/>
  <c r="M74" i="2"/>
  <c r="N75" i="2"/>
  <c r="K75" i="2" s="1"/>
  <c r="N74" i="2"/>
  <c r="K74" i="2" s="1"/>
  <c r="N73" i="2"/>
  <c r="K73" i="2" s="1"/>
  <c r="M294" i="2"/>
  <c r="N188" i="2"/>
  <c r="K188" i="2" s="1"/>
  <c r="M182" i="2"/>
  <c r="N179" i="2"/>
  <c r="K179" i="2" s="1"/>
  <c r="N168" i="2"/>
  <c r="K168" i="2" s="1"/>
  <c r="M160" i="2"/>
  <c r="N159" i="2"/>
  <c r="K159" i="2" s="1"/>
  <c r="M140" i="2"/>
  <c r="N139" i="2"/>
  <c r="K139" i="2" s="1"/>
  <c r="N131" i="2"/>
  <c r="K131" i="2" s="1"/>
  <c r="M124" i="2"/>
  <c r="N123" i="2"/>
  <c r="K123" i="2" s="1"/>
  <c r="N112" i="2"/>
  <c r="K112" i="2" s="1"/>
  <c r="N103" i="2"/>
  <c r="K103" i="2" s="1"/>
  <c r="N97" i="2"/>
  <c r="K97" i="2" s="1"/>
  <c r="N93" i="2"/>
  <c r="K93" i="2" s="1"/>
  <c r="N89" i="2"/>
  <c r="K89" i="2" s="1"/>
  <c r="N85" i="2"/>
  <c r="K85" i="2" s="1"/>
  <c r="N81" i="2"/>
  <c r="K81" i="2" s="1"/>
  <c r="N70" i="2"/>
  <c r="K70" i="2" s="1"/>
  <c r="N28" i="2"/>
  <c r="K28" i="2" s="1"/>
  <c r="M27" i="2"/>
  <c r="N25" i="2"/>
  <c r="K25" i="2" s="1"/>
  <c r="N21" i="2"/>
  <c r="K21" i="2" s="1"/>
  <c r="N17" i="2"/>
  <c r="K17" i="2" s="1"/>
  <c r="N187" i="2"/>
  <c r="K187" i="2" s="1"/>
  <c r="M179" i="2"/>
  <c r="N178" i="2"/>
  <c r="K178" i="2" s="1"/>
  <c r="N167" i="2"/>
  <c r="K167" i="2" s="1"/>
  <c r="M159" i="2"/>
  <c r="N158" i="2"/>
  <c r="K158" i="2" s="1"/>
  <c r="M139" i="2"/>
  <c r="N138" i="2"/>
  <c r="K138" i="2" s="1"/>
  <c r="M131" i="2"/>
  <c r="M123" i="2"/>
  <c r="N122" i="2"/>
  <c r="K122" i="2" s="1"/>
  <c r="N111" i="2"/>
  <c r="K111" i="2" s="1"/>
  <c r="M103" i="2"/>
  <c r="N102" i="2"/>
  <c r="K102" i="2" s="1"/>
  <c r="N100" i="2"/>
  <c r="K100" i="2" s="1"/>
  <c r="N99" i="2"/>
  <c r="K99" i="2" s="1"/>
  <c r="N41" i="2"/>
  <c r="K41" i="2" s="1"/>
  <c r="M572" i="2"/>
  <c r="M573" i="2"/>
  <c r="M564" i="2"/>
  <c r="M565" i="2"/>
  <c r="M545" i="2"/>
  <c r="M544" i="2"/>
  <c r="M440" i="2"/>
  <c r="M441" i="2"/>
  <c r="M485" i="2"/>
  <c r="M484" i="2"/>
  <c r="M456" i="2"/>
  <c r="M457" i="2"/>
  <c r="M656" i="2"/>
  <c r="M657" i="2"/>
  <c r="M592" i="2"/>
  <c r="M593" i="2"/>
  <c r="M393" i="2"/>
  <c r="M376" i="2"/>
  <c r="M377" i="2"/>
  <c r="M356" i="2"/>
  <c r="M357" i="2"/>
  <c r="M652" i="2"/>
  <c r="M653" i="2"/>
  <c r="M640" i="2"/>
  <c r="M641" i="2"/>
  <c r="M473" i="2"/>
  <c r="M472" i="2"/>
  <c r="M460" i="2"/>
  <c r="M461" i="2"/>
  <c r="M448" i="2"/>
  <c r="M449" i="2"/>
  <c r="M469" i="2"/>
  <c r="M468" i="2"/>
  <c r="M480" i="2"/>
  <c r="M465" i="2"/>
  <c r="M464" i="2"/>
  <c r="M412" i="2"/>
  <c r="M413" i="2"/>
  <c r="M556" i="2"/>
  <c r="M557" i="2"/>
  <c r="M477" i="2"/>
  <c r="M476" i="2"/>
  <c r="M337" i="2"/>
  <c r="M336" i="2"/>
  <c r="M628" i="2"/>
  <c r="M629" i="2"/>
  <c r="M560" i="2"/>
  <c r="M561" i="2"/>
  <c r="M533" i="2"/>
  <c r="M532" i="2"/>
  <c r="M497" i="2"/>
  <c r="M496" i="2"/>
  <c r="M400" i="2"/>
  <c r="M401" i="2"/>
  <c r="M305" i="2"/>
  <c r="M304" i="2"/>
  <c r="M436" i="2"/>
  <c r="M437" i="2"/>
  <c r="M405" i="2"/>
  <c r="M364" i="2"/>
  <c r="M365" i="2"/>
  <c r="M345" i="2"/>
  <c r="M344" i="2"/>
  <c r="M317" i="2"/>
  <c r="M316" i="2"/>
  <c r="M425" i="2"/>
  <c r="M388" i="2"/>
  <c r="M389" i="2"/>
  <c r="M384" i="2"/>
  <c r="M385" i="2"/>
  <c r="M380" i="2"/>
  <c r="M381" i="2"/>
  <c r="M372" i="2"/>
  <c r="M373" i="2"/>
  <c r="M368" i="2"/>
  <c r="M369" i="2"/>
  <c r="M360" i="2"/>
  <c r="M361" i="2"/>
  <c r="M352" i="2"/>
  <c r="M353" i="2"/>
  <c r="M538" i="2"/>
  <c r="M486" i="2"/>
  <c r="M462" i="2"/>
  <c r="M454" i="2"/>
  <c r="M414" i="2"/>
  <c r="M386" i="2"/>
  <c r="M382" i="2"/>
  <c r="M370" i="2"/>
  <c r="M366" i="2"/>
  <c r="M350" i="2"/>
  <c r="M348" i="2"/>
  <c r="M340" i="2"/>
  <c r="M308" i="2"/>
  <c r="M296" i="2"/>
  <c r="M328" i="2"/>
  <c r="M320" i="2"/>
  <c r="M334" i="2"/>
  <c r="M318" i="2"/>
  <c r="M314" i="2"/>
  <c r="M310" i="2"/>
  <c r="M302" i="2"/>
  <c r="M298" i="2"/>
  <c r="M186" i="2"/>
  <c r="M174" i="2"/>
  <c r="M166" i="2"/>
  <c r="M154" i="2"/>
  <c r="M150" i="2"/>
  <c r="M146" i="2"/>
  <c r="M126" i="2"/>
  <c r="M118" i="2"/>
  <c r="M110" i="2"/>
  <c r="F1" i="1"/>
  <c r="B1" i="1"/>
  <c r="P383" i="2" l="1"/>
  <c r="P387" i="2"/>
  <c r="P386" i="2"/>
  <c r="P382" i="2"/>
  <c r="P388" i="2"/>
  <c r="P384" i="2"/>
  <c r="P389" i="2"/>
  <c r="P385" i="2"/>
  <c r="P766" i="2"/>
  <c r="P770" i="2"/>
  <c r="P767" i="2"/>
  <c r="P771" i="2"/>
  <c r="P768" i="2"/>
  <c r="P772" i="2"/>
  <c r="P769" i="2"/>
  <c r="P773" i="2"/>
  <c r="P480" i="2"/>
  <c r="P484" i="2"/>
  <c r="P481" i="2"/>
  <c r="P485" i="2"/>
  <c r="P478" i="2"/>
  <c r="P482" i="2"/>
  <c r="P479" i="2"/>
  <c r="P483" i="2"/>
  <c r="P192" i="2"/>
  <c r="P196" i="2"/>
  <c r="P190" i="2"/>
  <c r="P194" i="2"/>
  <c r="P191" i="2"/>
  <c r="P195" i="2"/>
  <c r="P197" i="2"/>
  <c r="P193" i="2"/>
  <c r="P576" i="2"/>
  <c r="P580" i="2"/>
  <c r="P577" i="2"/>
  <c r="P581" i="2"/>
  <c r="P574" i="2"/>
  <c r="P578" i="2"/>
  <c r="P575" i="2"/>
  <c r="P579" i="2"/>
  <c r="P288" i="2"/>
  <c r="P292" i="2"/>
  <c r="P286" i="2"/>
  <c r="P290" i="2"/>
  <c r="P287" i="2"/>
  <c r="P291" i="2"/>
  <c r="P293" i="2"/>
  <c r="P289" i="2"/>
  <c r="P670" i="2"/>
  <c r="P674" i="2"/>
  <c r="P671" i="2"/>
  <c r="P675" i="2"/>
  <c r="P672" i="2"/>
  <c r="P676" i="2"/>
  <c r="P673" i="2"/>
  <c r="P677" i="2"/>
  <c r="M634" i="2"/>
  <c r="M539" i="2"/>
  <c r="N539" i="2"/>
  <c r="K539" i="2" s="1"/>
  <c r="N537" i="2"/>
  <c r="K537" i="2" s="1"/>
  <c r="N400" i="2"/>
  <c r="K400" i="2" s="1"/>
  <c r="M526" i="2"/>
  <c r="M392" i="2"/>
  <c r="N432" i="2"/>
  <c r="K432" i="2" s="1"/>
  <c r="N455" i="2"/>
  <c r="K455" i="2" s="1"/>
  <c r="M733" i="2"/>
  <c r="M637" i="2"/>
  <c r="M527" i="2"/>
  <c r="N525" i="2"/>
  <c r="K525" i="2" s="1"/>
  <c r="M445" i="2"/>
  <c r="N431" i="2"/>
  <c r="K431" i="2" s="1"/>
  <c r="M430" i="2"/>
  <c r="M444" i="2"/>
  <c r="N430" i="2"/>
  <c r="K430" i="2" s="1"/>
  <c r="N429" i="2"/>
  <c r="K429" i="2" s="1"/>
  <c r="N621" i="2"/>
  <c r="K621" i="2" s="1"/>
  <c r="N526" i="2"/>
  <c r="K526" i="2" s="1"/>
  <c r="M559" i="2"/>
  <c r="N569" i="2"/>
  <c r="K569" i="2" s="1"/>
  <c r="N653" i="2"/>
  <c r="K653" i="2" s="1"/>
  <c r="N423" i="2"/>
  <c r="K423" i="2" s="1"/>
  <c r="N450" i="2"/>
  <c r="K450" i="2" s="1"/>
  <c r="M451" i="2"/>
  <c r="M417" i="2"/>
  <c r="M512" i="2"/>
  <c r="N449" i="2"/>
  <c r="K449" i="2" s="1"/>
  <c r="N548" i="2"/>
  <c r="K548" i="2" s="1"/>
  <c r="M416" i="2"/>
  <c r="M571" i="2"/>
  <c r="N452" i="2"/>
  <c r="K452" i="2" s="1"/>
  <c r="M513" i="2"/>
  <c r="M608" i="2"/>
  <c r="M609" i="2"/>
  <c r="M471" i="2"/>
  <c r="N403" i="2"/>
  <c r="K403" i="2" s="1"/>
  <c r="N566" i="2"/>
  <c r="K566" i="2" s="1"/>
  <c r="N401" i="2"/>
  <c r="K401" i="2" s="1"/>
  <c r="N620" i="2"/>
  <c r="K620" i="2" s="1"/>
  <c r="N572" i="2"/>
  <c r="K572" i="2" s="1"/>
  <c r="N404" i="2"/>
  <c r="K404" i="2" s="1"/>
  <c r="N656" i="2"/>
  <c r="K656" i="2" s="1"/>
  <c r="N560" i="2"/>
  <c r="K560" i="2" s="1"/>
  <c r="M558" i="2"/>
  <c r="M517" i="2"/>
  <c r="M409" i="2"/>
  <c r="M421" i="2"/>
  <c r="M396" i="2"/>
  <c r="M505" i="2"/>
  <c r="M601" i="2"/>
  <c r="M612" i="2"/>
  <c r="M403" i="2"/>
  <c r="N655" i="2"/>
  <c r="K655" i="2" s="1"/>
  <c r="N559" i="2"/>
  <c r="K559" i="2" s="1"/>
  <c r="N557" i="2"/>
  <c r="K557" i="2" s="1"/>
  <c r="N413" i="2"/>
  <c r="K413" i="2" s="1"/>
  <c r="N571" i="2"/>
  <c r="K571" i="2" s="1"/>
  <c r="M397" i="2"/>
  <c r="M654" i="2"/>
  <c r="M504" i="2"/>
  <c r="M408" i="2"/>
  <c r="M420" i="2"/>
  <c r="M570" i="2"/>
  <c r="M600" i="2"/>
  <c r="N570" i="2"/>
  <c r="K570" i="2" s="1"/>
  <c r="N500" i="2"/>
  <c r="K500" i="2" s="1"/>
  <c r="N402" i="2"/>
  <c r="K402" i="2" s="1"/>
  <c r="N558" i="2"/>
  <c r="K558" i="2" s="1"/>
  <c r="M696" i="2"/>
  <c r="M667" i="2"/>
  <c r="K57" i="2"/>
  <c r="N424" i="2"/>
  <c r="K424" i="2" s="1"/>
  <c r="M724" i="2"/>
  <c r="N519" i="2"/>
  <c r="K519" i="2" s="1"/>
  <c r="N422" i="2"/>
  <c r="K422" i="2" s="1"/>
  <c r="M646" i="2"/>
  <c r="N545" i="2"/>
  <c r="K545" i="2" s="1"/>
  <c r="M423" i="2"/>
  <c r="N547" i="2"/>
  <c r="K547" i="2" s="1"/>
  <c r="N470" i="2"/>
  <c r="K470" i="2" s="1"/>
  <c r="M422" i="2"/>
  <c r="N741" i="2"/>
  <c r="K741" i="2" s="1"/>
  <c r="N552" i="2"/>
  <c r="K552" i="2" s="1"/>
  <c r="K56" i="2"/>
  <c r="M447" i="2"/>
  <c r="N533" i="2"/>
  <c r="K533" i="2" s="1"/>
  <c r="N437" i="2"/>
  <c r="K437" i="2" s="1"/>
  <c r="M438" i="2"/>
  <c r="M524" i="2"/>
  <c r="M399" i="2"/>
  <c r="N647" i="2"/>
  <c r="K647" i="2" s="1"/>
  <c r="N667" i="2"/>
  <c r="K667" i="2" s="1"/>
  <c r="M742" i="2"/>
  <c r="M546" i="2"/>
  <c r="M547" i="2"/>
  <c r="N642" i="2"/>
  <c r="K642" i="2" s="1"/>
  <c r="M551" i="2"/>
  <c r="N440" i="2"/>
  <c r="K440" i="2" s="1"/>
  <c r="N546" i="2"/>
  <c r="K546" i="2" s="1"/>
  <c r="M398" i="2"/>
  <c r="N551" i="2"/>
  <c r="K551" i="2" s="1"/>
  <c r="M550" i="2"/>
  <c r="M439" i="2"/>
  <c r="N414" i="2"/>
  <c r="K414" i="2" s="1"/>
  <c r="M494" i="2"/>
  <c r="N416" i="2"/>
  <c r="K416" i="2" s="1"/>
  <c r="M620" i="2"/>
  <c r="N407" i="2"/>
  <c r="K407" i="2" s="1"/>
  <c r="M501" i="2"/>
  <c r="N619" i="2"/>
  <c r="K619" i="2" s="1"/>
  <c r="N716" i="2"/>
  <c r="K716" i="2" s="1"/>
  <c r="M407" i="2"/>
  <c r="N447" i="2"/>
  <c r="K447" i="2" s="1"/>
  <c r="N448" i="2"/>
  <c r="K448" i="2" s="1"/>
  <c r="M429" i="2"/>
  <c r="N397" i="2"/>
  <c r="K397" i="2" s="1"/>
  <c r="M446" i="2"/>
  <c r="N617" i="2"/>
  <c r="K617" i="2" s="1"/>
  <c r="M732" i="2"/>
  <c r="N406" i="2"/>
  <c r="K406" i="2" s="1"/>
  <c r="N646" i="2"/>
  <c r="K646" i="2" s="1"/>
  <c r="N648" i="2"/>
  <c r="K648" i="2" s="1"/>
  <c r="M521" i="2"/>
  <c r="M406" i="2"/>
  <c r="M424" i="2"/>
  <c r="M404" i="2"/>
  <c r="M520" i="2"/>
  <c r="M636" i="2"/>
  <c r="M500" i="2"/>
  <c r="N472" i="2"/>
  <c r="K472" i="2" s="1"/>
  <c r="M470" i="2"/>
  <c r="N399" i="2"/>
  <c r="K399" i="2" s="1"/>
  <c r="M428" i="2"/>
  <c r="M709" i="2"/>
  <c r="N471" i="2"/>
  <c r="K471" i="2" s="1"/>
  <c r="N469" i="2"/>
  <c r="K469" i="2" s="1"/>
  <c r="N445" i="2"/>
  <c r="K445" i="2" s="1"/>
  <c r="M666" i="2"/>
  <c r="M763" i="2"/>
  <c r="N666" i="2"/>
  <c r="K666" i="2" s="1"/>
  <c r="N665" i="2"/>
  <c r="K665" i="2" s="1"/>
  <c r="N405" i="2"/>
  <c r="K405" i="2" s="1"/>
  <c r="M647" i="2"/>
  <c r="N550" i="2"/>
  <c r="K550" i="2" s="1"/>
  <c r="M655" i="2"/>
  <c r="N509" i="2"/>
  <c r="K509" i="2" s="1"/>
  <c r="M510" i="2"/>
  <c r="M511" i="2"/>
  <c r="N510" i="2"/>
  <c r="K510" i="2" s="1"/>
  <c r="N511" i="2"/>
  <c r="K511" i="2" s="1"/>
  <c r="N512" i="2"/>
  <c r="K512" i="2" s="1"/>
  <c r="M643" i="2"/>
  <c r="N433" i="2"/>
  <c r="K433" i="2" s="1"/>
  <c r="N434" i="2"/>
  <c r="K434" i="2" s="1"/>
  <c r="M435" i="2"/>
  <c r="N435" i="2"/>
  <c r="K435" i="2" s="1"/>
  <c r="N436" i="2"/>
  <c r="K436" i="2" s="1"/>
  <c r="M434" i="2"/>
  <c r="N618" i="2"/>
  <c r="K618" i="2" s="1"/>
  <c r="M619" i="2"/>
  <c r="N565" i="2"/>
  <c r="K565" i="2" s="1"/>
  <c r="M566" i="2"/>
  <c r="N568" i="2"/>
  <c r="K568" i="2" s="1"/>
  <c r="M567" i="2"/>
  <c r="N489" i="2"/>
  <c r="K489" i="2" s="1"/>
  <c r="N492" i="2"/>
  <c r="K492" i="2" s="1"/>
  <c r="N490" i="2"/>
  <c r="K490" i="2" s="1"/>
  <c r="M491" i="2"/>
  <c r="N491" i="2"/>
  <c r="K491" i="2" s="1"/>
  <c r="M490" i="2"/>
  <c r="N481" i="2"/>
  <c r="K481" i="2" s="1"/>
  <c r="M482" i="2"/>
  <c r="M483" i="2"/>
  <c r="N482" i="2"/>
  <c r="K482" i="2" s="1"/>
  <c r="N483" i="2"/>
  <c r="K483" i="2" s="1"/>
  <c r="N484" i="2"/>
  <c r="K484" i="2" s="1"/>
  <c r="N505" i="2"/>
  <c r="K505" i="2" s="1"/>
  <c r="N506" i="2"/>
  <c r="K506" i="2" s="1"/>
  <c r="M507" i="2"/>
  <c r="N508" i="2"/>
  <c r="K508" i="2" s="1"/>
  <c r="N507" i="2"/>
  <c r="K507" i="2" s="1"/>
  <c r="N764" i="2"/>
  <c r="K764" i="2" s="1"/>
  <c r="N581" i="2"/>
  <c r="K581" i="2" s="1"/>
  <c r="N584" i="2"/>
  <c r="K584" i="2" s="1"/>
  <c r="M583" i="2"/>
  <c r="M582" i="2"/>
  <c r="N583" i="2"/>
  <c r="K583" i="2" s="1"/>
  <c r="N582" i="2"/>
  <c r="K582" i="2" s="1"/>
  <c r="M589" i="2"/>
  <c r="M588" i="2"/>
  <c r="N477" i="2"/>
  <c r="K477" i="2" s="1"/>
  <c r="N478" i="2"/>
  <c r="K478" i="2" s="1"/>
  <c r="N479" i="2"/>
  <c r="K479" i="2" s="1"/>
  <c r="N480" i="2"/>
  <c r="K480" i="2" s="1"/>
  <c r="M479" i="2"/>
  <c r="N417" i="2"/>
  <c r="K417" i="2" s="1"/>
  <c r="N418" i="2"/>
  <c r="K418" i="2" s="1"/>
  <c r="M419" i="2"/>
  <c r="N419" i="2"/>
  <c r="K419" i="2" s="1"/>
  <c r="N420" i="2"/>
  <c r="K420" i="2" s="1"/>
  <c r="N633" i="2"/>
  <c r="K633" i="2" s="1"/>
  <c r="M635" i="2"/>
  <c r="N635" i="2"/>
  <c r="K635" i="2" s="1"/>
  <c r="N636" i="2"/>
  <c r="K636" i="2" s="1"/>
  <c r="N634" i="2"/>
  <c r="K634" i="2" s="1"/>
  <c r="N554" i="2"/>
  <c r="K554" i="2" s="1"/>
  <c r="M555" i="2"/>
  <c r="N555" i="2"/>
  <c r="K555" i="2" s="1"/>
  <c r="N556" i="2"/>
  <c r="K556" i="2" s="1"/>
  <c r="M554" i="2"/>
  <c r="N553" i="2"/>
  <c r="K553" i="2" s="1"/>
  <c r="N465" i="2"/>
  <c r="K465" i="2" s="1"/>
  <c r="N467" i="2"/>
  <c r="K467" i="2" s="1"/>
  <c r="N466" i="2"/>
  <c r="K466" i="2" s="1"/>
  <c r="M467" i="2"/>
  <c r="N468" i="2"/>
  <c r="K468" i="2" s="1"/>
  <c r="M466" i="2"/>
  <c r="M432" i="2"/>
  <c r="M433" i="2"/>
  <c r="M552" i="2"/>
  <c r="M553" i="2"/>
  <c r="M749" i="2"/>
  <c r="M748" i="2"/>
  <c r="M705" i="2"/>
  <c r="M704" i="2"/>
  <c r="M568" i="2"/>
  <c r="M569" i="2"/>
  <c r="M452" i="2"/>
  <c r="M453" i="2"/>
  <c r="M537" i="2"/>
  <c r="M536" i="2"/>
  <c r="M668" i="2"/>
  <c r="M669" i="2"/>
  <c r="M576" i="2"/>
  <c r="M577" i="2"/>
  <c r="M489" i="2"/>
  <c r="M488" i="2"/>
  <c r="M660" i="2"/>
  <c r="M661" i="2"/>
  <c r="M737" i="2"/>
  <c r="M736" i="2"/>
  <c r="M509" i="2"/>
  <c r="M508" i="2"/>
  <c r="M580" i="2"/>
  <c r="M581" i="2"/>
  <c r="F29" i="2"/>
  <c r="N495" i="2" l="1"/>
  <c r="K495" i="2" s="1"/>
  <c r="M714" i="2"/>
  <c r="N624" i="2"/>
  <c r="K624" i="2" s="1"/>
  <c r="N715" i="2"/>
  <c r="K715" i="2" s="1"/>
  <c r="M495" i="2"/>
  <c r="N622" i="2"/>
  <c r="K622" i="2" s="1"/>
  <c r="N714" i="2"/>
  <c r="K714" i="2" s="1"/>
  <c r="N713" i="2"/>
  <c r="K713" i="2" s="1"/>
  <c r="N623" i="2"/>
  <c r="K623" i="2" s="1"/>
  <c r="M715" i="2"/>
  <c r="N517" i="2"/>
  <c r="K517" i="2" s="1"/>
  <c r="M743" i="2"/>
  <c r="N494" i="2"/>
  <c r="K494" i="2" s="1"/>
  <c r="N496" i="2"/>
  <c r="K496" i="2" s="1"/>
  <c r="N518" i="2"/>
  <c r="K518" i="2" s="1"/>
  <c r="M518" i="2"/>
  <c r="M622" i="2"/>
  <c r="N590" i="2"/>
  <c r="K590" i="2" s="1"/>
  <c r="N493" i="2"/>
  <c r="K493" i="2" s="1"/>
  <c r="M623" i="2"/>
  <c r="N742" i="2"/>
  <c r="K742" i="2" s="1"/>
  <c r="N762" i="2"/>
  <c r="K762" i="2" s="1"/>
  <c r="M762" i="2"/>
  <c r="N763" i="2"/>
  <c r="K763" i="2" s="1"/>
  <c r="N761" i="2"/>
  <c r="K761" i="2" s="1"/>
  <c r="M595" i="2"/>
  <c r="N498" i="2"/>
  <c r="K498" i="2" s="1"/>
  <c r="N499" i="2"/>
  <c r="K499" i="2" s="1"/>
  <c r="M684" i="2"/>
  <c r="M685" i="2"/>
  <c r="M498" i="2"/>
  <c r="M499" i="2"/>
  <c r="N497" i="2"/>
  <c r="K497" i="2" s="1"/>
  <c r="N643" i="2"/>
  <c r="K643" i="2" s="1"/>
  <c r="N632" i="2"/>
  <c r="K632" i="2" s="1"/>
  <c r="N743" i="2"/>
  <c r="K743" i="2" s="1"/>
  <c r="N744" i="2"/>
  <c r="K744" i="2" s="1"/>
  <c r="N520" i="2"/>
  <c r="K520" i="2" s="1"/>
  <c r="M519" i="2"/>
  <c r="N644" i="2"/>
  <c r="K644" i="2" s="1"/>
  <c r="M708" i="2"/>
  <c r="N641" i="2"/>
  <c r="K641" i="2" s="1"/>
  <c r="N536" i="2"/>
  <c r="K536" i="2" s="1"/>
  <c r="M534" i="2"/>
  <c r="N535" i="2"/>
  <c r="K535" i="2" s="1"/>
  <c r="M535" i="2"/>
  <c r="N534" i="2"/>
  <c r="K534" i="2" s="1"/>
  <c r="M738" i="2"/>
  <c r="M642" i="2"/>
  <c r="M621" i="2"/>
  <c r="N750" i="2"/>
  <c r="K750" i="2" s="1"/>
  <c r="M751" i="2"/>
  <c r="N751" i="2"/>
  <c r="K751" i="2" s="1"/>
  <c r="N752" i="2"/>
  <c r="K752" i="2" s="1"/>
  <c r="M750" i="2"/>
  <c r="N749" i="2"/>
  <c r="K749" i="2" s="1"/>
  <c r="N541" i="2"/>
  <c r="K541" i="2" s="1"/>
  <c r="N544" i="2"/>
  <c r="K544" i="2" s="1"/>
  <c r="N543" i="2"/>
  <c r="K543" i="2" s="1"/>
  <c r="N542" i="2"/>
  <c r="K542" i="2" s="1"/>
  <c r="M542" i="2"/>
  <c r="M543" i="2"/>
  <c r="N501" i="2"/>
  <c r="K501" i="2" s="1"/>
  <c r="N503" i="2"/>
  <c r="K503" i="2" s="1"/>
  <c r="N502" i="2"/>
  <c r="K502" i="2" s="1"/>
  <c r="M503" i="2"/>
  <c r="N504" i="2"/>
  <c r="K504" i="2" s="1"/>
  <c r="M502" i="2"/>
  <c r="M596" i="2"/>
  <c r="M597" i="2"/>
  <c r="M616" i="2"/>
  <c r="M617" i="2"/>
  <c r="N531" i="2"/>
  <c r="K531" i="2" s="1"/>
  <c r="M530" i="2"/>
  <c r="N529" i="2"/>
  <c r="K529" i="2" s="1"/>
  <c r="N532" i="2"/>
  <c r="K532" i="2" s="1"/>
  <c r="N530" i="2"/>
  <c r="K530" i="2" s="1"/>
  <c r="M531" i="2"/>
  <c r="M607" i="2"/>
  <c r="N607" i="2"/>
  <c r="K607" i="2" s="1"/>
  <c r="N608" i="2"/>
  <c r="K608" i="2" s="1"/>
  <c r="N605" i="2"/>
  <c r="K605" i="2" s="1"/>
  <c r="M606" i="2"/>
  <c r="N606" i="2"/>
  <c r="K606" i="2" s="1"/>
  <c r="N662" i="2"/>
  <c r="K662" i="2" s="1"/>
  <c r="N663" i="2"/>
  <c r="K663" i="2" s="1"/>
  <c r="N664" i="2"/>
  <c r="K664" i="2" s="1"/>
  <c r="N661" i="2"/>
  <c r="K661" i="2" s="1"/>
  <c r="M662" i="2"/>
  <c r="M663" i="2"/>
  <c r="N738" i="2"/>
  <c r="K738" i="2" s="1"/>
  <c r="N717" i="2"/>
  <c r="K717" i="2" s="1"/>
  <c r="N718" i="2"/>
  <c r="K718" i="2" s="1"/>
  <c r="N719" i="2"/>
  <c r="K719" i="2" s="1"/>
  <c r="M718" i="2"/>
  <c r="N720" i="2"/>
  <c r="K720" i="2" s="1"/>
  <c r="M719" i="2"/>
  <c r="N601" i="2"/>
  <c r="K601" i="2" s="1"/>
  <c r="N602" i="2"/>
  <c r="K602" i="2" s="1"/>
  <c r="M603" i="2"/>
  <c r="N604" i="2"/>
  <c r="K604" i="2" s="1"/>
  <c r="N603" i="2"/>
  <c r="K603" i="2" s="1"/>
  <c r="M602" i="2"/>
  <c r="N585" i="2"/>
  <c r="K585" i="2" s="1"/>
  <c r="M586" i="2"/>
  <c r="M587" i="2"/>
  <c r="N586" i="2"/>
  <c r="K586" i="2" s="1"/>
  <c r="N587" i="2"/>
  <c r="K587" i="2" s="1"/>
  <c r="N588" i="2"/>
  <c r="K588" i="2" s="1"/>
  <c r="N561" i="2"/>
  <c r="K561" i="2" s="1"/>
  <c r="M562" i="2"/>
  <c r="N562" i="2"/>
  <c r="K562" i="2" s="1"/>
  <c r="M563" i="2"/>
  <c r="N564" i="2"/>
  <c r="K564" i="2" s="1"/>
  <c r="N563" i="2"/>
  <c r="K563" i="2" s="1"/>
  <c r="N649" i="2"/>
  <c r="K649" i="2" s="1"/>
  <c r="M651" i="2"/>
  <c r="N652" i="2"/>
  <c r="K652" i="2" s="1"/>
  <c r="N650" i="2"/>
  <c r="K650" i="2" s="1"/>
  <c r="N651" i="2"/>
  <c r="K651" i="2" s="1"/>
  <c r="M650" i="2"/>
  <c r="N729" i="2"/>
  <c r="K729" i="2" s="1"/>
  <c r="M731" i="2"/>
  <c r="N730" i="2"/>
  <c r="K730" i="2" s="1"/>
  <c r="M730" i="2"/>
  <c r="N731" i="2"/>
  <c r="K731" i="2" s="1"/>
  <c r="N732" i="2"/>
  <c r="K732" i="2" s="1"/>
  <c r="N513" i="2"/>
  <c r="K513" i="2" s="1"/>
  <c r="M514" i="2"/>
  <c r="N514" i="2"/>
  <c r="K514" i="2" s="1"/>
  <c r="M515" i="2"/>
  <c r="N515" i="2"/>
  <c r="K515" i="2" s="1"/>
  <c r="N516" i="2"/>
  <c r="K516" i="2" s="1"/>
  <c r="N573" i="2"/>
  <c r="K573" i="2" s="1"/>
  <c r="M574" i="2"/>
  <c r="M575" i="2"/>
  <c r="N576" i="2"/>
  <c r="K576" i="2" s="1"/>
  <c r="N574" i="2"/>
  <c r="K574" i="2" s="1"/>
  <c r="N575" i="2"/>
  <c r="K575" i="2" s="1"/>
  <c r="N677" i="2"/>
  <c r="K677" i="2" s="1"/>
  <c r="N680" i="2"/>
  <c r="K680" i="2" s="1"/>
  <c r="N679" i="2"/>
  <c r="K679" i="2" s="1"/>
  <c r="N678" i="2"/>
  <c r="K678" i="2" s="1"/>
  <c r="M679" i="2"/>
  <c r="M678" i="2"/>
  <c r="N589" i="2"/>
  <c r="K589" i="2" s="1"/>
  <c r="M590" i="2"/>
  <c r="M591" i="2"/>
  <c r="N591" i="2"/>
  <c r="K591" i="2" s="1"/>
  <c r="N592" i="2"/>
  <c r="K592" i="2" s="1"/>
  <c r="N577" i="2"/>
  <c r="K577" i="2" s="1"/>
  <c r="N579" i="2"/>
  <c r="K579" i="2" s="1"/>
  <c r="M578" i="2"/>
  <c r="N578" i="2"/>
  <c r="K578" i="2" s="1"/>
  <c r="M579" i="2"/>
  <c r="N580" i="2"/>
  <c r="K580" i="2" s="1"/>
  <c r="M549" i="2"/>
  <c r="M548" i="2"/>
  <c r="M632" i="2"/>
  <c r="M633" i="2"/>
  <c r="M529" i="2"/>
  <c r="M528" i="2"/>
  <c r="M604" i="2"/>
  <c r="M605" i="2"/>
  <c r="M584" i="2"/>
  <c r="M585" i="2"/>
  <c r="M765" i="2"/>
  <c r="M764" i="2"/>
  <c r="M648" i="2"/>
  <c r="M649" i="2"/>
  <c r="M676" i="2"/>
  <c r="M677" i="2"/>
  <c r="M757" i="2"/>
  <c r="M756" i="2"/>
  <c r="M672" i="2"/>
  <c r="M673" i="2"/>
  <c r="M664" i="2"/>
  <c r="M665" i="2"/>
  <c r="N594" i="2" l="1"/>
  <c r="K594" i="2" s="1"/>
  <c r="N595" i="2"/>
  <c r="K595" i="2" s="1"/>
  <c r="N593" i="2"/>
  <c r="K593" i="2" s="1"/>
  <c r="N596" i="2"/>
  <c r="K596" i="2" s="1"/>
  <c r="M687" i="2"/>
  <c r="N739" i="2"/>
  <c r="K739" i="2" s="1"/>
  <c r="M739" i="2"/>
  <c r="M594" i="2"/>
  <c r="M631" i="2"/>
  <c r="M630" i="2"/>
  <c r="N631" i="2"/>
  <c r="K631" i="2" s="1"/>
  <c r="N630" i="2"/>
  <c r="K630" i="2" s="1"/>
  <c r="N629" i="2"/>
  <c r="K629" i="2" s="1"/>
  <c r="M615" i="2"/>
  <c r="N616" i="2"/>
  <c r="K616" i="2" s="1"/>
  <c r="N613" i="2"/>
  <c r="K613" i="2" s="1"/>
  <c r="M614" i="2"/>
  <c r="N614" i="2"/>
  <c r="K614" i="2" s="1"/>
  <c r="N615" i="2"/>
  <c r="K615" i="2" s="1"/>
  <c r="N737" i="2"/>
  <c r="K737" i="2" s="1"/>
  <c r="N740" i="2"/>
  <c r="K740" i="2" s="1"/>
  <c r="M717" i="2"/>
  <c r="M716" i="2"/>
  <c r="M713" i="2"/>
  <c r="M712" i="2"/>
  <c r="N597" i="2"/>
  <c r="K597" i="2" s="1"/>
  <c r="N598" i="2"/>
  <c r="K598" i="2" s="1"/>
  <c r="N599" i="2"/>
  <c r="K599" i="2" s="1"/>
  <c r="N600" i="2"/>
  <c r="K600" i="2" s="1"/>
  <c r="M598" i="2"/>
  <c r="M599" i="2"/>
  <c r="M727" i="2"/>
  <c r="M726" i="2"/>
  <c r="N726" i="2"/>
  <c r="K726" i="2" s="1"/>
  <c r="N725" i="2"/>
  <c r="K725" i="2" s="1"/>
  <c r="N728" i="2"/>
  <c r="K728" i="2" s="1"/>
  <c r="N727" i="2"/>
  <c r="K727" i="2" s="1"/>
  <c r="M693" i="2"/>
  <c r="M692" i="2"/>
  <c r="M639" i="2"/>
  <c r="N640" i="2"/>
  <c r="K640" i="2" s="1"/>
  <c r="M638" i="2"/>
  <c r="N639" i="2"/>
  <c r="K639" i="2" s="1"/>
  <c r="N637" i="2"/>
  <c r="K637" i="2" s="1"/>
  <c r="N638" i="2"/>
  <c r="K638" i="2" s="1"/>
  <c r="N757" i="2"/>
  <c r="K757" i="2" s="1"/>
  <c r="N759" i="2"/>
  <c r="K759" i="2" s="1"/>
  <c r="N758" i="2"/>
  <c r="K758" i="2" s="1"/>
  <c r="M759" i="2"/>
  <c r="M758" i="2"/>
  <c r="N760" i="2"/>
  <c r="K760" i="2" s="1"/>
  <c r="N701" i="2"/>
  <c r="K701" i="2" s="1"/>
  <c r="M702" i="2"/>
  <c r="N702" i="2"/>
  <c r="K702" i="2" s="1"/>
  <c r="N703" i="2"/>
  <c r="K703" i="2" s="1"/>
  <c r="M703" i="2"/>
  <c r="N704" i="2"/>
  <c r="K704" i="2" s="1"/>
  <c r="N628" i="2"/>
  <c r="K628" i="2" s="1"/>
  <c r="M627" i="2"/>
  <c r="N627" i="2"/>
  <c r="K627" i="2" s="1"/>
  <c r="N625" i="2"/>
  <c r="K625" i="2" s="1"/>
  <c r="M626" i="2"/>
  <c r="N626" i="2"/>
  <c r="K626" i="2" s="1"/>
  <c r="N688" i="2"/>
  <c r="K688" i="2" s="1"/>
  <c r="N697" i="2"/>
  <c r="K697" i="2" s="1"/>
  <c r="M698" i="2"/>
  <c r="N698" i="2"/>
  <c r="K698" i="2" s="1"/>
  <c r="M699" i="2"/>
  <c r="N700" i="2"/>
  <c r="K700" i="2" s="1"/>
  <c r="N699" i="2"/>
  <c r="K699" i="2" s="1"/>
  <c r="N773" i="2"/>
  <c r="K773" i="2" s="1"/>
  <c r="N774" i="2"/>
  <c r="K774" i="2" s="1"/>
  <c r="M774" i="2"/>
  <c r="N745" i="2"/>
  <c r="K745" i="2" s="1"/>
  <c r="N747" i="2"/>
  <c r="K747" i="2" s="1"/>
  <c r="N746" i="2"/>
  <c r="K746" i="2" s="1"/>
  <c r="N748" i="2"/>
  <c r="K748" i="2" s="1"/>
  <c r="M747" i="2"/>
  <c r="M746" i="2"/>
  <c r="N657" i="2"/>
  <c r="K657" i="2" s="1"/>
  <c r="N659" i="2"/>
  <c r="K659" i="2" s="1"/>
  <c r="N658" i="2"/>
  <c r="K658" i="2" s="1"/>
  <c r="N660" i="2"/>
  <c r="K660" i="2" s="1"/>
  <c r="M658" i="2"/>
  <c r="M659" i="2"/>
  <c r="N689" i="2"/>
  <c r="K689" i="2" s="1"/>
  <c r="M690" i="2"/>
  <c r="N690" i="2"/>
  <c r="K690" i="2" s="1"/>
  <c r="N691" i="2"/>
  <c r="K691" i="2" s="1"/>
  <c r="M691" i="2"/>
  <c r="N692" i="2"/>
  <c r="K692" i="2" s="1"/>
  <c r="N669" i="2"/>
  <c r="K669" i="2" s="1"/>
  <c r="N670" i="2"/>
  <c r="K670" i="2" s="1"/>
  <c r="M671" i="2"/>
  <c r="N671" i="2"/>
  <c r="K671" i="2" s="1"/>
  <c r="N672" i="2"/>
  <c r="K672" i="2" s="1"/>
  <c r="M670" i="2"/>
  <c r="N673" i="2"/>
  <c r="K673" i="2" s="1"/>
  <c r="N674" i="2"/>
  <c r="K674" i="2" s="1"/>
  <c r="M675" i="2"/>
  <c r="N676" i="2"/>
  <c r="K676" i="2" s="1"/>
  <c r="M674" i="2"/>
  <c r="N675" i="2"/>
  <c r="K675" i="2" s="1"/>
  <c r="N609" i="2"/>
  <c r="K609" i="2" s="1"/>
  <c r="N611" i="2"/>
  <c r="K611" i="2" s="1"/>
  <c r="N612" i="2"/>
  <c r="K612" i="2" s="1"/>
  <c r="M610" i="2"/>
  <c r="N610" i="2"/>
  <c r="K610" i="2" s="1"/>
  <c r="M611" i="2"/>
  <c r="N681" i="2"/>
  <c r="K681" i="2" s="1"/>
  <c r="M683" i="2"/>
  <c r="N683" i="2"/>
  <c r="K683" i="2" s="1"/>
  <c r="N682" i="2"/>
  <c r="K682" i="2" s="1"/>
  <c r="N684" i="2"/>
  <c r="K684" i="2" s="1"/>
  <c r="M682" i="2"/>
  <c r="M769" i="2"/>
  <c r="M768" i="2"/>
  <c r="M624" i="2"/>
  <c r="M625" i="2"/>
  <c r="M761" i="2"/>
  <c r="M760" i="2"/>
  <c r="M773" i="2"/>
  <c r="M772" i="2"/>
  <c r="M680" i="2"/>
  <c r="M681" i="2"/>
  <c r="M644" i="2"/>
  <c r="M645" i="2"/>
  <c r="M745" i="2"/>
  <c r="M744" i="2"/>
  <c r="M701" i="2"/>
  <c r="M700" i="2"/>
  <c r="M729" i="2"/>
  <c r="M728" i="2"/>
  <c r="N686" i="2" l="1"/>
  <c r="K686" i="2" s="1"/>
  <c r="N687" i="2"/>
  <c r="K687" i="2" s="1"/>
  <c r="N685" i="2"/>
  <c r="K685" i="2" s="1"/>
  <c r="M686" i="2"/>
  <c r="N711" i="2"/>
  <c r="K711" i="2" s="1"/>
  <c r="M710" i="2"/>
  <c r="M711" i="2"/>
  <c r="N709" i="2"/>
  <c r="K709" i="2" s="1"/>
  <c r="N710" i="2"/>
  <c r="K710" i="2" s="1"/>
  <c r="N712" i="2"/>
  <c r="K712" i="2" s="1"/>
  <c r="N735" i="2"/>
  <c r="K735" i="2" s="1"/>
  <c r="M735" i="2"/>
  <c r="N734" i="2"/>
  <c r="K734" i="2" s="1"/>
  <c r="N733" i="2"/>
  <c r="K733" i="2" s="1"/>
  <c r="M734" i="2"/>
  <c r="N736" i="2"/>
  <c r="K736" i="2" s="1"/>
  <c r="M694" i="2"/>
  <c r="N693" i="2"/>
  <c r="K693" i="2" s="1"/>
  <c r="N695" i="2"/>
  <c r="K695" i="2" s="1"/>
  <c r="M695" i="2"/>
  <c r="N694" i="2"/>
  <c r="K694" i="2" s="1"/>
  <c r="N696" i="2"/>
  <c r="K696" i="2" s="1"/>
  <c r="M723" i="2"/>
  <c r="M722" i="2"/>
  <c r="N724" i="2"/>
  <c r="K724" i="2" s="1"/>
  <c r="N721" i="2"/>
  <c r="K721" i="2" s="1"/>
  <c r="N723" i="2"/>
  <c r="K723" i="2" s="1"/>
  <c r="N722" i="2"/>
  <c r="K722" i="2" s="1"/>
  <c r="N705" i="2"/>
  <c r="K705" i="2" s="1"/>
  <c r="N706" i="2"/>
  <c r="K706" i="2" s="1"/>
  <c r="N707" i="2"/>
  <c r="K707" i="2" s="1"/>
  <c r="N708" i="2"/>
  <c r="K708" i="2" s="1"/>
  <c r="M707" i="2"/>
  <c r="M706" i="2"/>
  <c r="N769" i="2"/>
  <c r="K769" i="2" s="1"/>
  <c r="N770" i="2"/>
  <c r="K770" i="2" s="1"/>
  <c r="M771" i="2"/>
  <c r="N772" i="2"/>
  <c r="K772" i="2" s="1"/>
  <c r="N771" i="2"/>
  <c r="K771" i="2" s="1"/>
  <c r="M770" i="2"/>
  <c r="N753" i="2"/>
  <c r="K753" i="2" s="1"/>
  <c r="N754" i="2"/>
  <c r="K754" i="2" s="1"/>
  <c r="M755" i="2"/>
  <c r="N756" i="2"/>
  <c r="K756" i="2" s="1"/>
  <c r="N755" i="2"/>
  <c r="K755" i="2" s="1"/>
  <c r="M754" i="2"/>
  <c r="N765" i="2"/>
  <c r="K765" i="2" s="1"/>
  <c r="N766" i="2"/>
  <c r="K766" i="2" s="1"/>
  <c r="M767" i="2"/>
  <c r="N768" i="2"/>
  <c r="K768" i="2" s="1"/>
  <c r="N767" i="2"/>
  <c r="K767" i="2" s="1"/>
  <c r="M766" i="2"/>
  <c r="M741" i="2"/>
  <c r="M740" i="2"/>
  <c r="M721" i="2"/>
  <c r="M720" i="2"/>
  <c r="A222" i="2"/>
  <c r="A254" i="2"/>
  <c r="A286" i="2"/>
  <c r="A285" i="2" l="1"/>
  <c r="A289" i="2"/>
  <c r="A281" i="2"/>
  <c r="A288" i="2"/>
  <c r="A284" i="2"/>
  <c r="A276" i="2"/>
  <c r="A264" i="2"/>
  <c r="A256" i="2"/>
  <c r="A252" i="2"/>
  <c r="A244" i="2"/>
  <c r="A232" i="2"/>
  <c r="A224" i="2"/>
  <c r="A216" i="2"/>
  <c r="A208" i="2"/>
  <c r="A290" i="2"/>
  <c r="A282" i="2"/>
  <c r="A278" i="2"/>
  <c r="A274" i="2"/>
  <c r="A270" i="2"/>
  <c r="A266" i="2"/>
  <c r="A262" i="2"/>
  <c r="A258" i="2"/>
  <c r="A250" i="2"/>
  <c r="A246" i="2"/>
  <c r="A242" i="2"/>
  <c r="A238" i="2"/>
  <c r="A234" i="2"/>
  <c r="A230" i="2"/>
  <c r="A226" i="2"/>
  <c r="A218" i="2"/>
  <c r="A214" i="2"/>
  <c r="A210" i="2"/>
  <c r="A206" i="2"/>
  <c r="A202" i="2"/>
  <c r="A198" i="2"/>
  <c r="A268" i="2"/>
  <c r="A236" i="2"/>
  <c r="A212" i="2"/>
  <c r="A200" i="2"/>
  <c r="A292" i="2"/>
  <c r="A280" i="2"/>
  <c r="A272" i="2"/>
  <c r="A260" i="2"/>
  <c r="A248" i="2"/>
  <c r="A240" i="2"/>
  <c r="A228" i="2"/>
  <c r="A220" i="2"/>
  <c r="A204" i="2"/>
  <c r="A291" i="2"/>
  <c r="A287" i="2"/>
  <c r="A283" i="2"/>
  <c r="A279" i="2"/>
  <c r="A275" i="2"/>
  <c r="A271" i="2"/>
  <c r="A267" i="2"/>
  <c r="A263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277" i="2"/>
  <c r="A273" i="2"/>
  <c r="A269" i="2"/>
  <c r="A265" i="2"/>
  <c r="A261" i="2"/>
  <c r="A257" i="2"/>
  <c r="A253" i="2"/>
  <c r="A249" i="2"/>
  <c r="A245" i="2"/>
  <c r="A241" i="2"/>
  <c r="A237" i="2"/>
  <c r="A233" i="2"/>
  <c r="A229" i="2"/>
  <c r="A225" i="2"/>
  <c r="A221" i="2"/>
  <c r="A217" i="2"/>
  <c r="A213" i="2"/>
  <c r="A209" i="2"/>
  <c r="A205" i="2"/>
  <c r="A201" i="2"/>
  <c r="F369" i="2" l="1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294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6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02" i="2" l="1"/>
  <c r="F55" i="2"/>
  <c r="F56" i="2"/>
  <c r="A197" i="2"/>
  <c r="A101" i="2"/>
  <c r="F474" i="2"/>
  <c r="F470" i="2"/>
  <c r="F462" i="2"/>
  <c r="F458" i="2"/>
  <c r="F454" i="2"/>
  <c r="F442" i="2"/>
  <c r="F438" i="2"/>
  <c r="F434" i="2"/>
  <c r="F430" i="2"/>
  <c r="F422" i="2"/>
  <c r="F410" i="2"/>
  <c r="F406" i="2"/>
  <c r="F394" i="2"/>
  <c r="A293" i="2"/>
  <c r="F485" i="2"/>
  <c r="F481" i="2"/>
  <c r="F477" i="2"/>
  <c r="F473" i="2"/>
  <c r="F469" i="2"/>
  <c r="F465" i="2"/>
  <c r="F461" i="2"/>
  <c r="F457" i="2"/>
  <c r="F453" i="2"/>
  <c r="F449" i="2"/>
  <c r="F445" i="2"/>
  <c r="F441" i="2"/>
  <c r="F437" i="2"/>
  <c r="F433" i="2"/>
  <c r="F429" i="2"/>
  <c r="F425" i="2"/>
  <c r="F421" i="2"/>
  <c r="F417" i="2"/>
  <c r="F413" i="2"/>
  <c r="F409" i="2"/>
  <c r="F405" i="2"/>
  <c r="F401" i="2"/>
  <c r="F397" i="2"/>
  <c r="F393" i="2"/>
  <c r="F484" i="2"/>
  <c r="F480" i="2"/>
  <c r="F476" i="2"/>
  <c r="F472" i="2"/>
  <c r="F468" i="2"/>
  <c r="F464" i="2"/>
  <c r="F460" i="2"/>
  <c r="F456" i="2"/>
  <c r="F452" i="2"/>
  <c r="F448" i="2"/>
  <c r="F444" i="2"/>
  <c r="F440" i="2"/>
  <c r="F436" i="2"/>
  <c r="F432" i="2"/>
  <c r="F428" i="2"/>
  <c r="F424" i="2"/>
  <c r="F420" i="2"/>
  <c r="F416" i="2"/>
  <c r="F412" i="2"/>
  <c r="F408" i="2"/>
  <c r="F404" i="2"/>
  <c r="F400" i="2"/>
  <c r="F396" i="2"/>
  <c r="F392" i="2"/>
  <c r="F390" i="2"/>
  <c r="F483" i="2"/>
  <c r="F479" i="2"/>
  <c r="F475" i="2"/>
  <c r="F471" i="2"/>
  <c r="F467" i="2"/>
  <c r="F463" i="2"/>
  <c r="F459" i="2"/>
  <c r="F455" i="2"/>
  <c r="F451" i="2"/>
  <c r="F447" i="2"/>
  <c r="F443" i="2"/>
  <c r="F439" i="2"/>
  <c r="F435" i="2"/>
  <c r="F431" i="2"/>
  <c r="F427" i="2"/>
  <c r="F423" i="2"/>
  <c r="F419" i="2"/>
  <c r="F415" i="2"/>
  <c r="F411" i="2"/>
  <c r="F407" i="2"/>
  <c r="F403" i="2"/>
  <c r="F399" i="2"/>
  <c r="F395" i="2"/>
  <c r="F391" i="2"/>
  <c r="F398" i="2" l="1"/>
  <c r="F414" i="2"/>
  <c r="F478" i="2"/>
  <c r="F522" i="2"/>
  <c r="F426" i="2"/>
  <c r="F446" i="2"/>
  <c r="F402" i="2"/>
  <c r="F418" i="2"/>
  <c r="F450" i="2"/>
  <c r="F466" i="2"/>
  <c r="F482" i="2"/>
  <c r="F546" i="2"/>
  <c r="A161" i="2"/>
  <c r="A302" i="2"/>
  <c r="A307" i="2"/>
  <c r="A318" i="2"/>
  <c r="A323" i="2"/>
  <c r="A334" i="2"/>
  <c r="A339" i="2"/>
  <c r="A350" i="2"/>
  <c r="A355" i="2"/>
  <c r="A366" i="2"/>
  <c r="A160" i="2"/>
  <c r="A176" i="2"/>
  <c r="A371" i="2"/>
  <c r="A382" i="2"/>
  <c r="A387" i="2"/>
  <c r="A13" i="2"/>
  <c r="A21" i="2"/>
  <c r="A29" i="2"/>
  <c r="A37" i="2"/>
  <c r="A45" i="2"/>
  <c r="A53" i="2"/>
  <c r="A61" i="2"/>
  <c r="A69" i="2"/>
  <c r="A77" i="2"/>
  <c r="A85" i="2"/>
  <c r="A93" i="2"/>
  <c r="A109" i="2"/>
  <c r="A117" i="2"/>
  <c r="A125" i="2"/>
  <c r="A133" i="2"/>
  <c r="A141" i="2"/>
  <c r="A149" i="2"/>
  <c r="A157" i="2"/>
  <c r="A173" i="2"/>
  <c r="A185" i="2"/>
  <c r="A301" i="2"/>
  <c r="A309" i="2"/>
  <c r="A317" i="2"/>
  <c r="A325" i="2"/>
  <c r="A333" i="2"/>
  <c r="A341" i="2"/>
  <c r="A349" i="2"/>
  <c r="A357" i="2"/>
  <c r="A365" i="2"/>
  <c r="A158" i="2"/>
  <c r="A170" i="2"/>
  <c r="A182" i="2"/>
  <c r="A194" i="2"/>
  <c r="A377" i="2"/>
  <c r="A385" i="2"/>
  <c r="A294" i="2"/>
  <c r="A14" i="2"/>
  <c r="A22" i="2"/>
  <c r="A30" i="2"/>
  <c r="A38" i="2"/>
  <c r="A46" i="2"/>
  <c r="A54" i="2"/>
  <c r="A62" i="2"/>
  <c r="A70" i="2"/>
  <c r="A78" i="2"/>
  <c r="A86" i="2"/>
  <c r="A94" i="2"/>
  <c r="A7" i="2"/>
  <c r="A110" i="2"/>
  <c r="A118" i="2"/>
  <c r="A126" i="2"/>
  <c r="A134" i="2"/>
  <c r="A142" i="2"/>
  <c r="A150" i="2"/>
  <c r="A162" i="2"/>
  <c r="A186" i="2"/>
  <c r="A298" i="2"/>
  <c r="A303" i="2"/>
  <c r="A314" i="2"/>
  <c r="A319" i="2"/>
  <c r="A330" i="2"/>
  <c r="A335" i="2"/>
  <c r="A346" i="2"/>
  <c r="A351" i="2"/>
  <c r="A362" i="2"/>
  <c r="A367" i="2"/>
  <c r="A169" i="2"/>
  <c r="A189" i="2"/>
  <c r="A378" i="2"/>
  <c r="A383" i="2"/>
  <c r="A12" i="2"/>
  <c r="A20" i="2"/>
  <c r="A28" i="2"/>
  <c r="A36" i="2"/>
  <c r="A44" i="2"/>
  <c r="A52" i="2"/>
  <c r="A60" i="2"/>
  <c r="A68" i="2"/>
  <c r="A76" i="2"/>
  <c r="A84" i="2"/>
  <c r="A92" i="2"/>
  <c r="A100" i="2"/>
  <c r="A108" i="2"/>
  <c r="A116" i="2"/>
  <c r="A124" i="2"/>
  <c r="A132" i="2"/>
  <c r="A140" i="2"/>
  <c r="A148" i="2"/>
  <c r="A156" i="2"/>
  <c r="A172" i="2"/>
  <c r="A184" i="2"/>
  <c r="A196" i="2"/>
  <c r="A300" i="2"/>
  <c r="A308" i="2"/>
  <c r="A316" i="2"/>
  <c r="A324" i="2"/>
  <c r="A332" i="2"/>
  <c r="A340" i="2"/>
  <c r="A348" i="2"/>
  <c r="A356" i="2"/>
  <c r="A364" i="2"/>
  <c r="A159" i="2"/>
  <c r="A171" i="2"/>
  <c r="A183" i="2"/>
  <c r="A195" i="2"/>
  <c r="A376" i="2"/>
  <c r="A384" i="2"/>
  <c r="A295" i="2"/>
  <c r="A15" i="2"/>
  <c r="A23" i="2"/>
  <c r="A31" i="2"/>
  <c r="A39" i="2"/>
  <c r="A47" i="2"/>
  <c r="A55" i="2"/>
  <c r="A63" i="2"/>
  <c r="A71" i="2"/>
  <c r="A79" i="2"/>
  <c r="A87" i="2"/>
  <c r="A95" i="2"/>
  <c r="A6" i="2"/>
  <c r="A111" i="2"/>
  <c r="A119" i="2"/>
  <c r="A127" i="2"/>
  <c r="A135" i="2"/>
  <c r="A143" i="2"/>
  <c r="A151" i="2"/>
  <c r="A163" i="2"/>
  <c r="A187" i="2"/>
  <c r="A299" i="2"/>
  <c r="A310" i="2"/>
  <c r="A315" i="2"/>
  <c r="A326" i="2"/>
  <c r="A331" i="2"/>
  <c r="A342" i="2"/>
  <c r="A347" i="2"/>
  <c r="A358" i="2"/>
  <c r="A363" i="2"/>
  <c r="A168" i="2"/>
  <c r="A188" i="2"/>
  <c r="A374" i="2"/>
  <c r="A379" i="2"/>
  <c r="A9" i="2"/>
  <c r="A17" i="2"/>
  <c r="A25" i="2"/>
  <c r="A33" i="2"/>
  <c r="A41" i="2"/>
  <c r="A49" i="2"/>
  <c r="A57" i="2"/>
  <c r="A65" i="2"/>
  <c r="A73" i="2"/>
  <c r="A81" i="2"/>
  <c r="A89" i="2"/>
  <c r="A97" i="2"/>
  <c r="A105" i="2"/>
  <c r="A113" i="2"/>
  <c r="A121" i="2"/>
  <c r="A129" i="2"/>
  <c r="A137" i="2"/>
  <c r="A145" i="2"/>
  <c r="A153" i="2"/>
  <c r="A165" i="2"/>
  <c r="A181" i="2"/>
  <c r="A193" i="2"/>
  <c r="A297" i="2"/>
  <c r="A305" i="2"/>
  <c r="A313" i="2"/>
  <c r="A321" i="2"/>
  <c r="A329" i="2"/>
  <c r="A337" i="2"/>
  <c r="A345" i="2"/>
  <c r="A353" i="2"/>
  <c r="A361" i="2"/>
  <c r="A369" i="2"/>
  <c r="A166" i="2"/>
  <c r="A178" i="2"/>
  <c r="A190" i="2"/>
  <c r="A373" i="2"/>
  <c r="A381" i="2"/>
  <c r="A10" i="2"/>
  <c r="A18" i="2"/>
  <c r="A26" i="2"/>
  <c r="A34" i="2"/>
  <c r="A42" i="2"/>
  <c r="A50" i="2"/>
  <c r="A58" i="2"/>
  <c r="A66" i="2"/>
  <c r="A74" i="2"/>
  <c r="A82" i="2"/>
  <c r="A90" i="2"/>
  <c r="A98" i="2"/>
  <c r="A106" i="2"/>
  <c r="A114" i="2"/>
  <c r="A122" i="2"/>
  <c r="A130" i="2"/>
  <c r="A138" i="2"/>
  <c r="A146" i="2"/>
  <c r="A154" i="2"/>
  <c r="A174" i="2"/>
  <c r="A102" i="2"/>
  <c r="A306" i="2"/>
  <c r="A311" i="2"/>
  <c r="A322" i="2"/>
  <c r="A327" i="2"/>
  <c r="A338" i="2"/>
  <c r="A343" i="2"/>
  <c r="A354" i="2"/>
  <c r="A359" i="2"/>
  <c r="A177" i="2"/>
  <c r="A370" i="2"/>
  <c r="A375" i="2"/>
  <c r="A386" i="2"/>
  <c r="A8" i="2"/>
  <c r="A16" i="2"/>
  <c r="A24" i="2"/>
  <c r="A32" i="2"/>
  <c r="A40" i="2"/>
  <c r="A48" i="2"/>
  <c r="A56" i="2"/>
  <c r="A64" i="2"/>
  <c r="A72" i="2"/>
  <c r="A80" i="2"/>
  <c r="A88" i="2"/>
  <c r="A96" i="2"/>
  <c r="A104" i="2"/>
  <c r="A112" i="2"/>
  <c r="A120" i="2"/>
  <c r="A128" i="2"/>
  <c r="A136" i="2"/>
  <c r="A144" i="2"/>
  <c r="A152" i="2"/>
  <c r="A164" i="2"/>
  <c r="A180" i="2"/>
  <c r="A192" i="2"/>
  <c r="A296" i="2"/>
  <c r="A304" i="2"/>
  <c r="A312" i="2"/>
  <c r="A320" i="2"/>
  <c r="A328" i="2"/>
  <c r="A336" i="2"/>
  <c r="A344" i="2"/>
  <c r="A352" i="2"/>
  <c r="A360" i="2"/>
  <c r="A368" i="2"/>
  <c r="A167" i="2"/>
  <c r="A179" i="2"/>
  <c r="A191" i="2"/>
  <c r="A372" i="2"/>
  <c r="A380" i="2"/>
  <c r="A388" i="2"/>
  <c r="A11" i="2"/>
  <c r="A19" i="2"/>
  <c r="A27" i="2"/>
  <c r="A35" i="2"/>
  <c r="A43" i="2"/>
  <c r="A51" i="2"/>
  <c r="A59" i="2"/>
  <c r="A67" i="2"/>
  <c r="A75" i="2"/>
  <c r="A83" i="2"/>
  <c r="A91" i="2"/>
  <c r="A99" i="2"/>
  <c r="A107" i="2"/>
  <c r="A115" i="2"/>
  <c r="A123" i="2"/>
  <c r="A131" i="2"/>
  <c r="A139" i="2"/>
  <c r="A147" i="2"/>
  <c r="A155" i="2"/>
  <c r="A175" i="2"/>
  <c r="A103" i="2"/>
  <c r="F518" i="2"/>
  <c r="F566" i="2"/>
  <c r="A409" i="2"/>
  <c r="A406" i="2"/>
  <c r="A422" i="2"/>
  <c r="A455" i="2"/>
  <c r="A470" i="2"/>
  <c r="A396" i="2"/>
  <c r="A428" i="2"/>
  <c r="A429" i="2"/>
  <c r="A444" i="2"/>
  <c r="A445" i="2"/>
  <c r="A477" i="2"/>
  <c r="A403" i="2"/>
  <c r="A450" i="2"/>
  <c r="A466" i="2"/>
  <c r="A482" i="2"/>
  <c r="A398" i="2"/>
  <c r="A420" i="2"/>
  <c r="F499" i="2"/>
  <c r="F515" i="2"/>
  <c r="F547" i="2"/>
  <c r="F579" i="2"/>
  <c r="F491" i="2"/>
  <c r="F507" i="2"/>
  <c r="F523" i="2"/>
  <c r="F539" i="2"/>
  <c r="F555" i="2"/>
  <c r="F571" i="2"/>
  <c r="F496" i="2"/>
  <c r="F512" i="2"/>
  <c r="F528" i="2"/>
  <c r="F544" i="2"/>
  <c r="F560" i="2"/>
  <c r="F576" i="2"/>
  <c r="F497" i="2"/>
  <c r="F513" i="2"/>
  <c r="F529" i="2"/>
  <c r="F545" i="2"/>
  <c r="F561" i="2"/>
  <c r="F577" i="2"/>
  <c r="F531" i="2"/>
  <c r="F495" i="2"/>
  <c r="F511" i="2"/>
  <c r="F527" i="2"/>
  <c r="F543" i="2"/>
  <c r="F559" i="2"/>
  <c r="F575" i="2"/>
  <c r="A389" i="2"/>
  <c r="F486" i="2"/>
  <c r="F500" i="2"/>
  <c r="F516" i="2"/>
  <c r="F532" i="2"/>
  <c r="F548" i="2"/>
  <c r="F564" i="2"/>
  <c r="F580" i="2"/>
  <c r="F501" i="2"/>
  <c r="F517" i="2"/>
  <c r="F533" i="2"/>
  <c r="F549" i="2"/>
  <c r="F565" i="2"/>
  <c r="F581" i="2"/>
  <c r="F563" i="2"/>
  <c r="F504" i="2"/>
  <c r="F520" i="2"/>
  <c r="F536" i="2"/>
  <c r="F552" i="2"/>
  <c r="F568" i="2"/>
  <c r="F489" i="2"/>
  <c r="F505" i="2"/>
  <c r="F521" i="2"/>
  <c r="F537" i="2"/>
  <c r="F553" i="2"/>
  <c r="F569" i="2"/>
  <c r="F488" i="2"/>
  <c r="F487" i="2"/>
  <c r="F503" i="2"/>
  <c r="F519" i="2"/>
  <c r="F535" i="2"/>
  <c r="F551" i="2"/>
  <c r="F567" i="2"/>
  <c r="F492" i="2"/>
  <c r="F508" i="2"/>
  <c r="F524" i="2"/>
  <c r="F540" i="2"/>
  <c r="F556" i="2"/>
  <c r="F572" i="2"/>
  <c r="F493" i="2"/>
  <c r="F509" i="2"/>
  <c r="F525" i="2"/>
  <c r="F541" i="2"/>
  <c r="F557" i="2"/>
  <c r="F573" i="2"/>
  <c r="F642" i="2"/>
  <c r="B482" i="2" l="1"/>
  <c r="C482" i="2" s="1"/>
  <c r="D482" i="2" s="1"/>
  <c r="E482" i="2" s="1"/>
  <c r="B396" i="2"/>
  <c r="C396" i="2" s="1"/>
  <c r="D396" i="2" s="1"/>
  <c r="E396" i="2" s="1"/>
  <c r="G390" i="2"/>
  <c r="H390" i="2" s="1"/>
  <c r="B450" i="2"/>
  <c r="C450" i="2" s="1"/>
  <c r="D450" i="2" s="1"/>
  <c r="E450" i="2" s="1"/>
  <c r="G518" i="2"/>
  <c r="H518" i="2" s="1"/>
  <c r="A414" i="2"/>
  <c r="B414" i="2" s="1"/>
  <c r="C414" i="2" s="1"/>
  <c r="D414" i="2" s="1"/>
  <c r="E414" i="2" s="1"/>
  <c r="B428" i="2"/>
  <c r="C428" i="2" s="1"/>
  <c r="D428" i="2" s="1"/>
  <c r="E428" i="2" s="1"/>
  <c r="B409" i="2"/>
  <c r="C409" i="2" s="1"/>
  <c r="D409" i="2" s="1"/>
  <c r="E409" i="2" s="1"/>
  <c r="G573" i="2"/>
  <c r="H573" i="2" s="1"/>
  <c r="G509" i="2"/>
  <c r="H509" i="2" s="1"/>
  <c r="G540" i="2"/>
  <c r="H540" i="2" s="1"/>
  <c r="G567" i="2"/>
  <c r="H567" i="2" s="1"/>
  <c r="G503" i="2"/>
  <c r="H503" i="2" s="1"/>
  <c r="G553" i="2"/>
  <c r="H553" i="2" s="1"/>
  <c r="G489" i="2"/>
  <c r="H489" i="2" s="1"/>
  <c r="G520" i="2"/>
  <c r="H520" i="2" s="1"/>
  <c r="G565" i="2"/>
  <c r="H565" i="2" s="1"/>
  <c r="G501" i="2"/>
  <c r="H501" i="2" s="1"/>
  <c r="G532" i="2"/>
  <c r="H532" i="2" s="1"/>
  <c r="G575" i="2"/>
  <c r="H575" i="2" s="1"/>
  <c r="G511" i="2"/>
  <c r="H511" i="2" s="1"/>
  <c r="G561" i="2"/>
  <c r="H561" i="2" s="1"/>
  <c r="G497" i="2"/>
  <c r="H497" i="2" s="1"/>
  <c r="G528" i="2"/>
  <c r="H528" i="2" s="1"/>
  <c r="G555" i="2"/>
  <c r="H555" i="2" s="1"/>
  <c r="G491" i="2"/>
  <c r="H491" i="2" s="1"/>
  <c r="G499" i="2"/>
  <c r="H499" i="2" s="1"/>
  <c r="F578" i="2"/>
  <c r="G578" i="2" s="1"/>
  <c r="H578" i="2" s="1"/>
  <c r="G416" i="2"/>
  <c r="H416" i="2" s="1"/>
  <c r="G411" i="2"/>
  <c r="H411" i="2" s="1"/>
  <c r="G406" i="2"/>
  <c r="H406" i="2" s="1"/>
  <c r="I406" i="2" s="1"/>
  <c r="J406" i="2" s="1"/>
  <c r="G396" i="2"/>
  <c r="H396" i="2" s="1"/>
  <c r="I396" i="2" s="1"/>
  <c r="J396" i="2" s="1"/>
  <c r="G409" i="2"/>
  <c r="H409" i="2" s="1"/>
  <c r="I409" i="2" s="1"/>
  <c r="J409" i="2" s="1"/>
  <c r="G427" i="2"/>
  <c r="H427" i="2" s="1"/>
  <c r="G485" i="2"/>
  <c r="H485" i="2" s="1"/>
  <c r="G471" i="2"/>
  <c r="H471" i="2" s="1"/>
  <c r="G474" i="2"/>
  <c r="H474" i="2" s="1"/>
  <c r="G522" i="2"/>
  <c r="H522" i="2" s="1"/>
  <c r="G424" i="2"/>
  <c r="H424" i="2" s="1"/>
  <c r="G568" i="2"/>
  <c r="H568" i="2" s="1"/>
  <c r="G512" i="2"/>
  <c r="H512" i="2" s="1"/>
  <c r="F554" i="2"/>
  <c r="G554" i="2" s="1"/>
  <c r="H554" i="2" s="1"/>
  <c r="F570" i="2"/>
  <c r="G570" i="2" s="1"/>
  <c r="H570" i="2" s="1"/>
  <c r="F498" i="2"/>
  <c r="G498" i="2" s="1"/>
  <c r="H498" i="2" s="1"/>
  <c r="G466" i="2"/>
  <c r="H466" i="2" s="1"/>
  <c r="I466" i="2" s="1"/>
  <c r="J466" i="2" s="1"/>
  <c r="G434" i="2"/>
  <c r="H434" i="2" s="1"/>
  <c r="G433" i="2"/>
  <c r="H433" i="2" s="1"/>
  <c r="G464" i="2"/>
  <c r="H464" i="2" s="1"/>
  <c r="G400" i="2"/>
  <c r="H400" i="2" s="1"/>
  <c r="G435" i="2"/>
  <c r="H435" i="2" s="1"/>
  <c r="G425" i="2"/>
  <c r="H425" i="2" s="1"/>
  <c r="G392" i="2"/>
  <c r="H392" i="2" s="1"/>
  <c r="G446" i="2"/>
  <c r="H446" i="2" s="1"/>
  <c r="G421" i="2"/>
  <c r="H421" i="2" s="1"/>
  <c r="G455" i="2"/>
  <c r="H455" i="2" s="1"/>
  <c r="I455" i="2" s="1"/>
  <c r="J455" i="2" s="1"/>
  <c r="G454" i="2"/>
  <c r="H454" i="2" s="1"/>
  <c r="G477" i="2"/>
  <c r="H477" i="2" s="1"/>
  <c r="I477" i="2" s="1"/>
  <c r="J477" i="2" s="1"/>
  <c r="G413" i="2"/>
  <c r="H413" i="2" s="1"/>
  <c r="G444" i="2"/>
  <c r="H444" i="2" s="1"/>
  <c r="I444" i="2" s="1"/>
  <c r="J444" i="2" s="1"/>
  <c r="G479" i="2"/>
  <c r="H479" i="2" s="1"/>
  <c r="G415" i="2"/>
  <c r="H415" i="2" s="1"/>
  <c r="G456" i="2"/>
  <c r="H456" i="2" s="1"/>
  <c r="G395" i="2"/>
  <c r="H395" i="2" s="1"/>
  <c r="G437" i="2"/>
  <c r="H437" i="2" s="1"/>
  <c r="G423" i="2"/>
  <c r="H423" i="2" s="1"/>
  <c r="G458" i="2"/>
  <c r="H458" i="2" s="1"/>
  <c r="G410" i="2"/>
  <c r="H410" i="2" s="1"/>
  <c r="G478" i="2"/>
  <c r="H478" i="2" s="1"/>
  <c r="G398" i="2"/>
  <c r="H398" i="2" s="1"/>
  <c r="I398" i="2" s="1"/>
  <c r="J398" i="2" s="1"/>
  <c r="G404" i="2"/>
  <c r="H404" i="2" s="1"/>
  <c r="F538" i="2"/>
  <c r="G538" i="2" s="1"/>
  <c r="H538" i="2" s="1"/>
  <c r="G402" i="2"/>
  <c r="H402" i="2" s="1"/>
  <c r="G480" i="2"/>
  <c r="H480" i="2" s="1"/>
  <c r="G457" i="2"/>
  <c r="H457" i="2" s="1"/>
  <c r="G469" i="2"/>
  <c r="H469" i="2" s="1"/>
  <c r="G470" i="2"/>
  <c r="H470" i="2" s="1"/>
  <c r="I470" i="2" s="1"/>
  <c r="J470" i="2" s="1"/>
  <c r="G460" i="2"/>
  <c r="H460" i="2" s="1"/>
  <c r="G452" i="2"/>
  <c r="H452" i="2" s="1"/>
  <c r="G557" i="2"/>
  <c r="H557" i="2" s="1"/>
  <c r="G524" i="2"/>
  <c r="H524" i="2" s="1"/>
  <c r="G537" i="2"/>
  <c r="H537" i="2" s="1"/>
  <c r="G549" i="2"/>
  <c r="H549" i="2" s="1"/>
  <c r="G516" i="2"/>
  <c r="H516" i="2" s="1"/>
  <c r="G495" i="2"/>
  <c r="H495" i="2" s="1"/>
  <c r="G545" i="2"/>
  <c r="H545" i="2" s="1"/>
  <c r="G539" i="2"/>
  <c r="H539" i="2" s="1"/>
  <c r="A415" i="2"/>
  <c r="B415" i="2" s="1"/>
  <c r="C415" i="2" s="1"/>
  <c r="D415" i="2" s="1"/>
  <c r="E415" i="2" s="1"/>
  <c r="G566" i="2"/>
  <c r="H566" i="2" s="1"/>
  <c r="F510" i="2"/>
  <c r="G510" i="2" s="1"/>
  <c r="H510" i="2" s="1"/>
  <c r="G541" i="2"/>
  <c r="H541" i="2" s="1"/>
  <c r="G572" i="2"/>
  <c r="H572" i="2" s="1"/>
  <c r="G508" i="2"/>
  <c r="H508" i="2" s="1"/>
  <c r="G535" i="2"/>
  <c r="H535" i="2" s="1"/>
  <c r="G488" i="2"/>
  <c r="H488" i="2" s="1"/>
  <c r="G521" i="2"/>
  <c r="H521" i="2" s="1"/>
  <c r="G552" i="2"/>
  <c r="H552" i="2" s="1"/>
  <c r="G563" i="2"/>
  <c r="H563" i="2" s="1"/>
  <c r="G533" i="2"/>
  <c r="H533" i="2" s="1"/>
  <c r="G564" i="2"/>
  <c r="H564" i="2" s="1"/>
  <c r="G500" i="2"/>
  <c r="H500" i="2" s="1"/>
  <c r="G543" i="2"/>
  <c r="H543" i="2" s="1"/>
  <c r="G531" i="2"/>
  <c r="H531" i="2" s="1"/>
  <c r="G529" i="2"/>
  <c r="H529" i="2" s="1"/>
  <c r="G560" i="2"/>
  <c r="H560" i="2" s="1"/>
  <c r="G496" i="2"/>
  <c r="H496" i="2" s="1"/>
  <c r="G523" i="2"/>
  <c r="H523" i="2" s="1"/>
  <c r="G547" i="2"/>
  <c r="H547" i="2" s="1"/>
  <c r="F530" i="2"/>
  <c r="G530" i="2" s="1"/>
  <c r="H530" i="2" s="1"/>
  <c r="F490" i="2"/>
  <c r="G490" i="2" s="1"/>
  <c r="H490" i="2" s="1"/>
  <c r="F506" i="2"/>
  <c r="G506" i="2" s="1"/>
  <c r="H506" i="2" s="1"/>
  <c r="F534" i="2"/>
  <c r="G534" i="2" s="1"/>
  <c r="H534" i="2" s="1"/>
  <c r="G546" i="2"/>
  <c r="H546" i="2" s="1"/>
  <c r="F574" i="2"/>
  <c r="G574" i="2" s="1"/>
  <c r="H574" i="2" s="1"/>
  <c r="G418" i="2"/>
  <c r="H418" i="2" s="1"/>
  <c r="G481" i="2"/>
  <c r="H481" i="2" s="1"/>
  <c r="G417" i="2"/>
  <c r="H417" i="2" s="1"/>
  <c r="G448" i="2"/>
  <c r="H448" i="2" s="1"/>
  <c r="G483" i="2"/>
  <c r="H483" i="2" s="1"/>
  <c r="G419" i="2"/>
  <c r="H419" i="2" s="1"/>
  <c r="G393" i="2"/>
  <c r="H393" i="2" s="1"/>
  <c r="G459" i="2"/>
  <c r="H459" i="2" s="1"/>
  <c r="G405" i="2"/>
  <c r="H405" i="2" s="1"/>
  <c r="G407" i="2"/>
  <c r="H407" i="2" s="1"/>
  <c r="G438" i="2"/>
  <c r="H438" i="2" s="1"/>
  <c r="G461" i="2"/>
  <c r="H461" i="2" s="1"/>
  <c r="G397" i="2"/>
  <c r="H397" i="2" s="1"/>
  <c r="G428" i="2"/>
  <c r="H428" i="2" s="1"/>
  <c r="I428" i="2" s="1"/>
  <c r="J428" i="2" s="1"/>
  <c r="G463" i="2"/>
  <c r="H463" i="2" s="1"/>
  <c r="G399" i="2"/>
  <c r="H399" i="2" s="1"/>
  <c r="G408" i="2"/>
  <c r="H408" i="2" s="1"/>
  <c r="G55" i="2"/>
  <c r="H55" i="2" s="1"/>
  <c r="I55" i="2" s="1"/>
  <c r="J55" i="2" s="1"/>
  <c r="G468" i="2"/>
  <c r="H468" i="2" s="1"/>
  <c r="G391" i="2"/>
  <c r="H391" i="2" s="1"/>
  <c r="G442" i="2"/>
  <c r="H442" i="2" s="1"/>
  <c r="G394" i="2"/>
  <c r="H394" i="2" s="1"/>
  <c r="F526" i="2"/>
  <c r="G526" i="2" s="1"/>
  <c r="H526" i="2" s="1"/>
  <c r="F542" i="2"/>
  <c r="G542" i="2" s="1"/>
  <c r="H542" i="2" s="1"/>
  <c r="F514" i="2"/>
  <c r="G514" i="2" s="1"/>
  <c r="H514" i="2" s="1"/>
  <c r="G449" i="2"/>
  <c r="H449" i="2" s="1"/>
  <c r="G451" i="2"/>
  <c r="H451" i="2" s="1"/>
  <c r="G440" i="2"/>
  <c r="H440" i="2" s="1"/>
  <c r="G420" i="2"/>
  <c r="H420" i="2" s="1"/>
  <c r="I420" i="2" s="1"/>
  <c r="J420" i="2" s="1"/>
  <c r="G429" i="2"/>
  <c r="H429" i="2" s="1"/>
  <c r="I429" i="2" s="1"/>
  <c r="J429" i="2" s="1"/>
  <c r="G431" i="2"/>
  <c r="H431" i="2" s="1"/>
  <c r="G642" i="2"/>
  <c r="H642" i="2" s="1"/>
  <c r="G493" i="2"/>
  <c r="H493" i="2" s="1"/>
  <c r="G551" i="2"/>
  <c r="H551" i="2" s="1"/>
  <c r="G487" i="2"/>
  <c r="H487" i="2" s="1"/>
  <c r="G504" i="2"/>
  <c r="H504" i="2" s="1"/>
  <c r="G580" i="2"/>
  <c r="H580" i="2" s="1"/>
  <c r="G559" i="2"/>
  <c r="H559" i="2" s="1"/>
  <c r="G576" i="2"/>
  <c r="H576" i="2" s="1"/>
  <c r="G579" i="2"/>
  <c r="H579" i="2" s="1"/>
  <c r="A483" i="2"/>
  <c r="F618" i="2"/>
  <c r="G618" i="2" s="1"/>
  <c r="H618" i="2" s="1"/>
  <c r="G525" i="2"/>
  <c r="H525" i="2" s="1"/>
  <c r="G556" i="2"/>
  <c r="H556" i="2" s="1"/>
  <c r="G492" i="2"/>
  <c r="H492" i="2" s="1"/>
  <c r="G519" i="2"/>
  <c r="H519" i="2" s="1"/>
  <c r="G569" i="2"/>
  <c r="H569" i="2" s="1"/>
  <c r="G505" i="2"/>
  <c r="H505" i="2" s="1"/>
  <c r="G536" i="2"/>
  <c r="H536" i="2" s="1"/>
  <c r="G581" i="2"/>
  <c r="H581" i="2" s="1"/>
  <c r="G517" i="2"/>
  <c r="H517" i="2" s="1"/>
  <c r="G548" i="2"/>
  <c r="H548" i="2" s="1"/>
  <c r="G486" i="2"/>
  <c r="H486" i="2" s="1"/>
  <c r="G527" i="2"/>
  <c r="H527" i="2" s="1"/>
  <c r="G577" i="2"/>
  <c r="H577" i="2" s="1"/>
  <c r="G513" i="2"/>
  <c r="H513" i="2" s="1"/>
  <c r="G544" i="2"/>
  <c r="H544" i="2" s="1"/>
  <c r="G571" i="2"/>
  <c r="H571" i="2" s="1"/>
  <c r="G507" i="2"/>
  <c r="H507" i="2" s="1"/>
  <c r="G515" i="2"/>
  <c r="H515" i="2" s="1"/>
  <c r="F502" i="2"/>
  <c r="G502" i="2" s="1"/>
  <c r="H502" i="2" s="1"/>
  <c r="F550" i="2"/>
  <c r="G550" i="2" s="1"/>
  <c r="H550" i="2" s="1"/>
  <c r="F494" i="2"/>
  <c r="G494" i="2" s="1"/>
  <c r="H494" i="2" s="1"/>
  <c r="F558" i="2"/>
  <c r="G558" i="2" s="1"/>
  <c r="H558" i="2" s="1"/>
  <c r="B320" i="2"/>
  <c r="C320" i="2" s="1"/>
  <c r="D320" i="2" s="1"/>
  <c r="E320" i="2" s="1"/>
  <c r="F562" i="2"/>
  <c r="G562" i="2" s="1"/>
  <c r="H562" i="2" s="1"/>
  <c r="G201" i="2"/>
  <c r="H201" i="2" s="1"/>
  <c r="I201" i="2" s="1"/>
  <c r="J201" i="2" s="1"/>
  <c r="G205" i="2"/>
  <c r="H205" i="2" s="1"/>
  <c r="I205" i="2" s="1"/>
  <c r="J205" i="2" s="1"/>
  <c r="G209" i="2"/>
  <c r="H209" i="2" s="1"/>
  <c r="I209" i="2" s="1"/>
  <c r="J209" i="2" s="1"/>
  <c r="G217" i="2"/>
  <c r="H217" i="2" s="1"/>
  <c r="I217" i="2" s="1"/>
  <c r="J217" i="2" s="1"/>
  <c r="G241" i="2"/>
  <c r="H241" i="2" s="1"/>
  <c r="I241" i="2" s="1"/>
  <c r="J241" i="2" s="1"/>
  <c r="G249" i="2"/>
  <c r="H249" i="2" s="1"/>
  <c r="I249" i="2" s="1"/>
  <c r="J249" i="2" s="1"/>
  <c r="G257" i="2"/>
  <c r="H257" i="2" s="1"/>
  <c r="I257" i="2" s="1"/>
  <c r="J257" i="2" s="1"/>
  <c r="G277" i="2"/>
  <c r="H277" i="2" s="1"/>
  <c r="I277" i="2" s="1"/>
  <c r="J277" i="2" s="1"/>
  <c r="G198" i="2"/>
  <c r="H198" i="2" s="1"/>
  <c r="I198" i="2" s="1"/>
  <c r="J198" i="2" s="1"/>
  <c r="G202" i="2"/>
  <c r="H202" i="2" s="1"/>
  <c r="I202" i="2" s="1"/>
  <c r="J202" i="2" s="1"/>
  <c r="G206" i="2"/>
  <c r="H206" i="2" s="1"/>
  <c r="I206" i="2" s="1"/>
  <c r="J206" i="2" s="1"/>
  <c r="G210" i="2"/>
  <c r="H210" i="2" s="1"/>
  <c r="I210" i="2" s="1"/>
  <c r="J210" i="2" s="1"/>
  <c r="G214" i="2"/>
  <c r="H214" i="2" s="1"/>
  <c r="I214" i="2" s="1"/>
  <c r="J214" i="2" s="1"/>
  <c r="G218" i="2"/>
  <c r="H218" i="2" s="1"/>
  <c r="I218" i="2" s="1"/>
  <c r="J218" i="2" s="1"/>
  <c r="G222" i="2"/>
  <c r="H222" i="2" s="1"/>
  <c r="I222" i="2" s="1"/>
  <c r="J222" i="2" s="1"/>
  <c r="G226" i="2"/>
  <c r="H226" i="2" s="1"/>
  <c r="I226" i="2" s="1"/>
  <c r="J226" i="2" s="1"/>
  <c r="G230" i="2"/>
  <c r="H230" i="2" s="1"/>
  <c r="I230" i="2" s="1"/>
  <c r="J230" i="2" s="1"/>
  <c r="G234" i="2"/>
  <c r="H234" i="2" s="1"/>
  <c r="I234" i="2" s="1"/>
  <c r="J234" i="2" s="1"/>
  <c r="G238" i="2"/>
  <c r="H238" i="2" s="1"/>
  <c r="I238" i="2" s="1"/>
  <c r="J238" i="2" s="1"/>
  <c r="G242" i="2"/>
  <c r="H242" i="2" s="1"/>
  <c r="I242" i="2" s="1"/>
  <c r="J242" i="2" s="1"/>
  <c r="G246" i="2"/>
  <c r="H246" i="2" s="1"/>
  <c r="I246" i="2" s="1"/>
  <c r="J246" i="2" s="1"/>
  <c r="G250" i="2"/>
  <c r="H250" i="2" s="1"/>
  <c r="I250" i="2" s="1"/>
  <c r="J250" i="2" s="1"/>
  <c r="G254" i="2"/>
  <c r="H254" i="2" s="1"/>
  <c r="I254" i="2" s="1"/>
  <c r="J254" i="2" s="1"/>
  <c r="G258" i="2"/>
  <c r="H258" i="2" s="1"/>
  <c r="I258" i="2" s="1"/>
  <c r="J258" i="2" s="1"/>
  <c r="G262" i="2"/>
  <c r="H262" i="2" s="1"/>
  <c r="I262" i="2" s="1"/>
  <c r="J262" i="2" s="1"/>
  <c r="G199" i="2"/>
  <c r="H199" i="2" s="1"/>
  <c r="I199" i="2" s="1"/>
  <c r="J199" i="2" s="1"/>
  <c r="G203" i="2"/>
  <c r="H203" i="2" s="1"/>
  <c r="I203" i="2" s="1"/>
  <c r="J203" i="2" s="1"/>
  <c r="G207" i="2"/>
  <c r="H207" i="2" s="1"/>
  <c r="I207" i="2" s="1"/>
  <c r="J207" i="2" s="1"/>
  <c r="G211" i="2"/>
  <c r="H211" i="2" s="1"/>
  <c r="I211" i="2" s="1"/>
  <c r="J211" i="2" s="1"/>
  <c r="G215" i="2"/>
  <c r="H215" i="2" s="1"/>
  <c r="I215" i="2" s="1"/>
  <c r="J215" i="2" s="1"/>
  <c r="G219" i="2"/>
  <c r="H219" i="2" s="1"/>
  <c r="I219" i="2" s="1"/>
  <c r="J219" i="2" s="1"/>
  <c r="G223" i="2"/>
  <c r="H223" i="2" s="1"/>
  <c r="I223" i="2" s="1"/>
  <c r="J223" i="2" s="1"/>
  <c r="G227" i="2"/>
  <c r="H227" i="2" s="1"/>
  <c r="I227" i="2" s="1"/>
  <c r="J227" i="2" s="1"/>
  <c r="G231" i="2"/>
  <c r="H231" i="2" s="1"/>
  <c r="I231" i="2" s="1"/>
  <c r="J231" i="2" s="1"/>
  <c r="G235" i="2"/>
  <c r="H235" i="2" s="1"/>
  <c r="I235" i="2" s="1"/>
  <c r="J235" i="2" s="1"/>
  <c r="G239" i="2"/>
  <c r="H239" i="2" s="1"/>
  <c r="I239" i="2" s="1"/>
  <c r="J239" i="2" s="1"/>
  <c r="G243" i="2"/>
  <c r="H243" i="2" s="1"/>
  <c r="I243" i="2" s="1"/>
  <c r="J243" i="2" s="1"/>
  <c r="G247" i="2"/>
  <c r="H247" i="2" s="1"/>
  <c r="I247" i="2" s="1"/>
  <c r="J247" i="2" s="1"/>
  <c r="G251" i="2"/>
  <c r="H251" i="2" s="1"/>
  <c r="I251" i="2" s="1"/>
  <c r="J251" i="2" s="1"/>
  <c r="G255" i="2"/>
  <c r="H255" i="2" s="1"/>
  <c r="I255" i="2" s="1"/>
  <c r="J255" i="2" s="1"/>
  <c r="G259" i="2"/>
  <c r="H259" i="2" s="1"/>
  <c r="I259" i="2" s="1"/>
  <c r="J259" i="2" s="1"/>
  <c r="G263" i="2"/>
  <c r="H263" i="2" s="1"/>
  <c r="I263" i="2" s="1"/>
  <c r="J263" i="2" s="1"/>
  <c r="G267" i="2"/>
  <c r="H267" i="2" s="1"/>
  <c r="I267" i="2" s="1"/>
  <c r="J267" i="2" s="1"/>
  <c r="G271" i="2"/>
  <c r="H271" i="2" s="1"/>
  <c r="I271" i="2" s="1"/>
  <c r="J271" i="2" s="1"/>
  <c r="G275" i="2"/>
  <c r="H275" i="2" s="1"/>
  <c r="I275" i="2" s="1"/>
  <c r="J275" i="2" s="1"/>
  <c r="G279" i="2"/>
  <c r="H279" i="2" s="1"/>
  <c r="I279" i="2" s="1"/>
  <c r="J279" i="2" s="1"/>
  <c r="G283" i="2"/>
  <c r="H283" i="2" s="1"/>
  <c r="I283" i="2" s="1"/>
  <c r="J283" i="2" s="1"/>
  <c r="G287" i="2"/>
  <c r="H287" i="2" s="1"/>
  <c r="I287" i="2" s="1"/>
  <c r="J287" i="2" s="1"/>
  <c r="G291" i="2"/>
  <c r="H291" i="2" s="1"/>
  <c r="I291" i="2" s="1"/>
  <c r="J291" i="2" s="1"/>
  <c r="G266" i="2"/>
  <c r="H266" i="2" s="1"/>
  <c r="I266" i="2" s="1"/>
  <c r="J266" i="2" s="1"/>
  <c r="G270" i="2"/>
  <c r="H270" i="2" s="1"/>
  <c r="I270" i="2" s="1"/>
  <c r="J270" i="2" s="1"/>
  <c r="G274" i="2"/>
  <c r="H274" i="2" s="1"/>
  <c r="I274" i="2" s="1"/>
  <c r="J274" i="2" s="1"/>
  <c r="G278" i="2"/>
  <c r="H278" i="2" s="1"/>
  <c r="I278" i="2" s="1"/>
  <c r="J278" i="2" s="1"/>
  <c r="G282" i="2"/>
  <c r="H282" i="2" s="1"/>
  <c r="I282" i="2" s="1"/>
  <c r="J282" i="2" s="1"/>
  <c r="G286" i="2"/>
  <c r="H286" i="2" s="1"/>
  <c r="I286" i="2" s="1"/>
  <c r="J286" i="2" s="1"/>
  <c r="G290" i="2"/>
  <c r="H290" i="2" s="1"/>
  <c r="I290" i="2" s="1"/>
  <c r="J290" i="2" s="1"/>
  <c r="G280" i="2"/>
  <c r="H280" i="2" s="1"/>
  <c r="I280" i="2" s="1"/>
  <c r="J280" i="2" s="1"/>
  <c r="G292" i="2"/>
  <c r="H292" i="2" s="1"/>
  <c r="I292" i="2" s="1"/>
  <c r="J292" i="2" s="1"/>
  <c r="G293" i="2"/>
  <c r="H293" i="2" s="1"/>
  <c r="I293" i="2" s="1"/>
  <c r="J293" i="2" s="1"/>
  <c r="G273" i="2"/>
  <c r="H273" i="2" s="1"/>
  <c r="I273" i="2" s="1"/>
  <c r="J273" i="2" s="1"/>
  <c r="G256" i="2"/>
  <c r="H256" i="2" s="1"/>
  <c r="I256" i="2" s="1"/>
  <c r="J256" i="2" s="1"/>
  <c r="G240" i="2"/>
  <c r="H240" i="2" s="1"/>
  <c r="I240" i="2" s="1"/>
  <c r="J240" i="2" s="1"/>
  <c r="G224" i="2"/>
  <c r="H224" i="2" s="1"/>
  <c r="I224" i="2" s="1"/>
  <c r="J224" i="2" s="1"/>
  <c r="G208" i="2"/>
  <c r="H208" i="2" s="1"/>
  <c r="I208" i="2" s="1"/>
  <c r="J208" i="2" s="1"/>
  <c r="G253" i="2"/>
  <c r="H253" i="2" s="1"/>
  <c r="I253" i="2" s="1"/>
  <c r="J253" i="2" s="1"/>
  <c r="G229" i="2"/>
  <c r="H229" i="2" s="1"/>
  <c r="I229" i="2" s="1"/>
  <c r="J229" i="2" s="1"/>
  <c r="G264" i="2"/>
  <c r="H264" i="2" s="1"/>
  <c r="I264" i="2" s="1"/>
  <c r="J264" i="2" s="1"/>
  <c r="G284" i="2"/>
  <c r="H284" i="2" s="1"/>
  <c r="I284" i="2" s="1"/>
  <c r="J284" i="2" s="1"/>
  <c r="G289" i="2"/>
  <c r="H289" i="2" s="1"/>
  <c r="I289" i="2" s="1"/>
  <c r="J289" i="2" s="1"/>
  <c r="G269" i="2"/>
  <c r="H269" i="2" s="1"/>
  <c r="I269" i="2" s="1"/>
  <c r="J269" i="2" s="1"/>
  <c r="G252" i="2"/>
  <c r="H252" i="2" s="1"/>
  <c r="I252" i="2" s="1"/>
  <c r="J252" i="2" s="1"/>
  <c r="G236" i="2"/>
  <c r="H236" i="2" s="1"/>
  <c r="I236" i="2" s="1"/>
  <c r="J236" i="2" s="1"/>
  <c r="G220" i="2"/>
  <c r="H220" i="2" s="1"/>
  <c r="I220" i="2" s="1"/>
  <c r="J220" i="2" s="1"/>
  <c r="G204" i="2"/>
  <c r="H204" i="2" s="1"/>
  <c r="I204" i="2" s="1"/>
  <c r="J204" i="2" s="1"/>
  <c r="G245" i="2"/>
  <c r="H245" i="2" s="1"/>
  <c r="I245" i="2" s="1"/>
  <c r="J245" i="2" s="1"/>
  <c r="G225" i="2"/>
  <c r="H225" i="2" s="1"/>
  <c r="I225" i="2" s="1"/>
  <c r="J225" i="2" s="1"/>
  <c r="G288" i="2"/>
  <c r="H288" i="2" s="1"/>
  <c r="I288" i="2" s="1"/>
  <c r="J288" i="2" s="1"/>
  <c r="G276" i="2"/>
  <c r="H276" i="2" s="1"/>
  <c r="I276" i="2" s="1"/>
  <c r="J276" i="2" s="1"/>
  <c r="G285" i="2"/>
  <c r="H285" i="2" s="1"/>
  <c r="I285" i="2" s="1"/>
  <c r="J285" i="2" s="1"/>
  <c r="G265" i="2"/>
  <c r="H265" i="2" s="1"/>
  <c r="I265" i="2" s="1"/>
  <c r="J265" i="2" s="1"/>
  <c r="G248" i="2"/>
  <c r="H248" i="2" s="1"/>
  <c r="I248" i="2" s="1"/>
  <c r="J248" i="2" s="1"/>
  <c r="G232" i="2"/>
  <c r="H232" i="2" s="1"/>
  <c r="I232" i="2" s="1"/>
  <c r="J232" i="2" s="1"/>
  <c r="G216" i="2"/>
  <c r="H216" i="2" s="1"/>
  <c r="I216" i="2" s="1"/>
  <c r="J216" i="2" s="1"/>
  <c r="G200" i="2"/>
  <c r="H200" i="2" s="1"/>
  <c r="I200" i="2" s="1"/>
  <c r="J200" i="2" s="1"/>
  <c r="G237" i="2"/>
  <c r="H237" i="2" s="1"/>
  <c r="I237" i="2" s="1"/>
  <c r="J237" i="2" s="1"/>
  <c r="G221" i="2"/>
  <c r="H221" i="2" s="1"/>
  <c r="I221" i="2" s="1"/>
  <c r="J221" i="2" s="1"/>
  <c r="G272" i="2"/>
  <c r="H272" i="2" s="1"/>
  <c r="I272" i="2" s="1"/>
  <c r="J272" i="2" s="1"/>
  <c r="G268" i="2"/>
  <c r="H268" i="2" s="1"/>
  <c r="I268" i="2" s="1"/>
  <c r="J268" i="2" s="1"/>
  <c r="G281" i="2"/>
  <c r="H281" i="2" s="1"/>
  <c r="I281" i="2" s="1"/>
  <c r="J281" i="2" s="1"/>
  <c r="G260" i="2"/>
  <c r="H260" i="2" s="1"/>
  <c r="I260" i="2" s="1"/>
  <c r="J260" i="2" s="1"/>
  <c r="G244" i="2"/>
  <c r="H244" i="2" s="1"/>
  <c r="I244" i="2" s="1"/>
  <c r="J244" i="2" s="1"/>
  <c r="G228" i="2"/>
  <c r="H228" i="2" s="1"/>
  <c r="I228" i="2" s="1"/>
  <c r="J228" i="2" s="1"/>
  <c r="G212" i="2"/>
  <c r="H212" i="2" s="1"/>
  <c r="I212" i="2" s="1"/>
  <c r="J212" i="2" s="1"/>
  <c r="G261" i="2"/>
  <c r="H261" i="2" s="1"/>
  <c r="I261" i="2" s="1"/>
  <c r="J261" i="2" s="1"/>
  <c r="G233" i="2"/>
  <c r="H233" i="2" s="1"/>
  <c r="I233" i="2" s="1"/>
  <c r="J233" i="2" s="1"/>
  <c r="G213" i="2"/>
  <c r="H213" i="2" s="1"/>
  <c r="I213" i="2" s="1"/>
  <c r="J213" i="2" s="1"/>
  <c r="G29" i="2"/>
  <c r="H29" i="2" s="1"/>
  <c r="I29" i="2" s="1"/>
  <c r="J29" i="2" s="1"/>
  <c r="G187" i="2"/>
  <c r="H187" i="2" s="1"/>
  <c r="I187" i="2" s="1"/>
  <c r="J187" i="2" s="1"/>
  <c r="G143" i="2"/>
  <c r="H143" i="2" s="1"/>
  <c r="I143" i="2" s="1"/>
  <c r="J143" i="2" s="1"/>
  <c r="G95" i="2"/>
  <c r="H95" i="2" s="1"/>
  <c r="I95" i="2" s="1"/>
  <c r="J95" i="2" s="1"/>
  <c r="G47" i="2"/>
  <c r="H47" i="2" s="1"/>
  <c r="I47" i="2" s="1"/>
  <c r="J47" i="2" s="1"/>
  <c r="G294" i="2"/>
  <c r="H294" i="2" s="1"/>
  <c r="I294" i="2" s="1"/>
  <c r="J294" i="2" s="1"/>
  <c r="G341" i="2"/>
  <c r="H341" i="2" s="1"/>
  <c r="I341" i="2" s="1"/>
  <c r="J341" i="2" s="1"/>
  <c r="G309" i="2"/>
  <c r="H309" i="2" s="1"/>
  <c r="I309" i="2" s="1"/>
  <c r="J309" i="2" s="1"/>
  <c r="G372" i="2"/>
  <c r="H372" i="2" s="1"/>
  <c r="I372" i="2" s="1"/>
  <c r="J372" i="2" s="1"/>
  <c r="G190" i="2"/>
  <c r="H190" i="2" s="1"/>
  <c r="I190" i="2" s="1"/>
  <c r="J190" i="2" s="1"/>
  <c r="G174" i="2"/>
  <c r="H174" i="2" s="1"/>
  <c r="I174" i="2" s="1"/>
  <c r="J174" i="2" s="1"/>
  <c r="G158" i="2"/>
  <c r="H158" i="2" s="1"/>
  <c r="I158" i="2" s="1"/>
  <c r="J158" i="2" s="1"/>
  <c r="G142" i="2"/>
  <c r="H142" i="2" s="1"/>
  <c r="I142" i="2" s="1"/>
  <c r="J142" i="2" s="1"/>
  <c r="G126" i="2"/>
  <c r="H126" i="2" s="1"/>
  <c r="I126" i="2" s="1"/>
  <c r="J126" i="2" s="1"/>
  <c r="G110" i="2"/>
  <c r="H110" i="2" s="1"/>
  <c r="I110" i="2" s="1"/>
  <c r="J110" i="2" s="1"/>
  <c r="G94" i="2"/>
  <c r="H94" i="2" s="1"/>
  <c r="I94" i="2" s="1"/>
  <c r="J94" i="2" s="1"/>
  <c r="G78" i="2"/>
  <c r="H78" i="2" s="1"/>
  <c r="I78" i="2" s="1"/>
  <c r="J78" i="2" s="1"/>
  <c r="G62" i="2"/>
  <c r="H62" i="2" s="1"/>
  <c r="I62" i="2" s="1"/>
  <c r="J62" i="2" s="1"/>
  <c r="G46" i="2"/>
  <c r="H46" i="2" s="1"/>
  <c r="I46" i="2" s="1"/>
  <c r="J46" i="2" s="1"/>
  <c r="G30" i="2"/>
  <c r="H30" i="2" s="1"/>
  <c r="I30" i="2" s="1"/>
  <c r="J30" i="2" s="1"/>
  <c r="G13" i="2"/>
  <c r="H13" i="2" s="1"/>
  <c r="I13" i="2" s="1"/>
  <c r="J13" i="2" s="1"/>
  <c r="G360" i="2"/>
  <c r="H360" i="2" s="1"/>
  <c r="I360" i="2" s="1"/>
  <c r="J360" i="2" s="1"/>
  <c r="G344" i="2"/>
  <c r="H344" i="2" s="1"/>
  <c r="I344" i="2" s="1"/>
  <c r="J344" i="2" s="1"/>
  <c r="G328" i="2"/>
  <c r="H328" i="2" s="1"/>
  <c r="I328" i="2" s="1"/>
  <c r="J328" i="2" s="1"/>
  <c r="G312" i="2"/>
  <c r="H312" i="2" s="1"/>
  <c r="I312" i="2" s="1"/>
  <c r="J312" i="2" s="1"/>
  <c r="G296" i="2"/>
  <c r="H296" i="2" s="1"/>
  <c r="I296" i="2" s="1"/>
  <c r="J296" i="2" s="1"/>
  <c r="G375" i="2"/>
  <c r="H375" i="2" s="1"/>
  <c r="I375" i="2" s="1"/>
  <c r="J375" i="2" s="1"/>
  <c r="G167" i="2"/>
  <c r="H167" i="2" s="1"/>
  <c r="I167" i="2" s="1"/>
  <c r="J167" i="2" s="1"/>
  <c r="G115" i="2"/>
  <c r="H115" i="2" s="1"/>
  <c r="I115" i="2" s="1"/>
  <c r="J115" i="2" s="1"/>
  <c r="G71" i="2"/>
  <c r="H71" i="2" s="1"/>
  <c r="I71" i="2" s="1"/>
  <c r="J71" i="2" s="1"/>
  <c r="G43" i="2"/>
  <c r="H43" i="2" s="1"/>
  <c r="I43" i="2" s="1"/>
  <c r="J43" i="2" s="1"/>
  <c r="G10" i="2"/>
  <c r="H10" i="2" s="1"/>
  <c r="I10" i="2" s="1"/>
  <c r="J10" i="2" s="1"/>
  <c r="G333" i="2"/>
  <c r="H333" i="2" s="1"/>
  <c r="I333" i="2" s="1"/>
  <c r="J333" i="2" s="1"/>
  <c r="G305" i="2"/>
  <c r="H305" i="2" s="1"/>
  <c r="I305" i="2" s="1"/>
  <c r="J305" i="2" s="1"/>
  <c r="G197" i="2"/>
  <c r="H197" i="2" s="1"/>
  <c r="I197" i="2" s="1"/>
  <c r="J197" i="2" s="1"/>
  <c r="G181" i="2"/>
  <c r="H181" i="2" s="1"/>
  <c r="I181" i="2" s="1"/>
  <c r="J181" i="2" s="1"/>
  <c r="G165" i="2"/>
  <c r="H165" i="2" s="1"/>
  <c r="I165" i="2" s="1"/>
  <c r="J165" i="2" s="1"/>
  <c r="G149" i="2"/>
  <c r="H149" i="2" s="1"/>
  <c r="I149" i="2" s="1"/>
  <c r="J149" i="2" s="1"/>
  <c r="G133" i="2"/>
  <c r="H133" i="2" s="1"/>
  <c r="I133" i="2" s="1"/>
  <c r="J133" i="2" s="1"/>
  <c r="G117" i="2"/>
  <c r="H117" i="2" s="1"/>
  <c r="I117" i="2" s="1"/>
  <c r="J117" i="2" s="1"/>
  <c r="G101" i="2"/>
  <c r="H101" i="2" s="1"/>
  <c r="I101" i="2" s="1"/>
  <c r="J101" i="2" s="1"/>
  <c r="G85" i="2"/>
  <c r="H85" i="2" s="1"/>
  <c r="I85" i="2" s="1"/>
  <c r="J85" i="2" s="1"/>
  <c r="G69" i="2"/>
  <c r="H69" i="2" s="1"/>
  <c r="I69" i="2" s="1"/>
  <c r="J69" i="2" s="1"/>
  <c r="G53" i="2"/>
  <c r="H53" i="2" s="1"/>
  <c r="I53" i="2" s="1"/>
  <c r="J53" i="2" s="1"/>
  <c r="G37" i="2"/>
  <c r="H37" i="2" s="1"/>
  <c r="I37" i="2" s="1"/>
  <c r="J37" i="2" s="1"/>
  <c r="G20" i="2"/>
  <c r="H20" i="2" s="1"/>
  <c r="I20" i="2" s="1"/>
  <c r="J20" i="2" s="1"/>
  <c r="G367" i="2"/>
  <c r="H367" i="2" s="1"/>
  <c r="I367" i="2" s="1"/>
  <c r="J367" i="2" s="1"/>
  <c r="G351" i="2"/>
  <c r="H351" i="2" s="1"/>
  <c r="I351" i="2" s="1"/>
  <c r="J351" i="2" s="1"/>
  <c r="G335" i="2"/>
  <c r="H335" i="2" s="1"/>
  <c r="I335" i="2" s="1"/>
  <c r="J335" i="2" s="1"/>
  <c r="G319" i="2"/>
  <c r="H319" i="2" s="1"/>
  <c r="I319" i="2" s="1"/>
  <c r="J319" i="2" s="1"/>
  <c r="G303" i="2"/>
  <c r="H303" i="2" s="1"/>
  <c r="I303" i="2" s="1"/>
  <c r="J303" i="2" s="1"/>
  <c r="G382" i="2"/>
  <c r="H382" i="2" s="1"/>
  <c r="I382" i="2" s="1"/>
  <c r="J382" i="2" s="1"/>
  <c r="G195" i="2"/>
  <c r="H195" i="2" s="1"/>
  <c r="I195" i="2" s="1"/>
  <c r="J195" i="2" s="1"/>
  <c r="G147" i="2"/>
  <c r="H147" i="2" s="1"/>
  <c r="I147" i="2" s="1"/>
  <c r="J147" i="2" s="1"/>
  <c r="G99" i="2"/>
  <c r="H99" i="2" s="1"/>
  <c r="I99" i="2" s="1"/>
  <c r="J99" i="2" s="1"/>
  <c r="G22" i="2"/>
  <c r="H22" i="2" s="1"/>
  <c r="I22" i="2" s="1"/>
  <c r="J22" i="2" s="1"/>
  <c r="G184" i="2"/>
  <c r="H184" i="2" s="1"/>
  <c r="I184" i="2" s="1"/>
  <c r="J184" i="2" s="1"/>
  <c r="G168" i="2"/>
  <c r="H168" i="2" s="1"/>
  <c r="I168" i="2" s="1"/>
  <c r="J168" i="2" s="1"/>
  <c r="G152" i="2"/>
  <c r="H152" i="2" s="1"/>
  <c r="I152" i="2" s="1"/>
  <c r="J152" i="2" s="1"/>
  <c r="G136" i="2"/>
  <c r="H136" i="2" s="1"/>
  <c r="I136" i="2" s="1"/>
  <c r="J136" i="2" s="1"/>
  <c r="G120" i="2"/>
  <c r="H120" i="2" s="1"/>
  <c r="I120" i="2" s="1"/>
  <c r="J120" i="2" s="1"/>
  <c r="G104" i="2"/>
  <c r="H104" i="2" s="1"/>
  <c r="I104" i="2" s="1"/>
  <c r="J104" i="2" s="1"/>
  <c r="G88" i="2"/>
  <c r="H88" i="2" s="1"/>
  <c r="I88" i="2" s="1"/>
  <c r="J88" i="2" s="1"/>
  <c r="G72" i="2"/>
  <c r="H72" i="2" s="1"/>
  <c r="I72" i="2" s="1"/>
  <c r="J72" i="2" s="1"/>
  <c r="G44" i="2"/>
  <c r="H44" i="2" s="1"/>
  <c r="I44" i="2" s="1"/>
  <c r="J44" i="2" s="1"/>
  <c r="G27" i="2"/>
  <c r="H27" i="2" s="1"/>
  <c r="I27" i="2" s="1"/>
  <c r="J27" i="2" s="1"/>
  <c r="G11" i="2"/>
  <c r="H11" i="2" s="1"/>
  <c r="I11" i="2" s="1"/>
  <c r="J11" i="2" s="1"/>
  <c r="G358" i="2"/>
  <c r="H358" i="2" s="1"/>
  <c r="I358" i="2" s="1"/>
  <c r="J358" i="2" s="1"/>
  <c r="G342" i="2"/>
  <c r="H342" i="2" s="1"/>
  <c r="I342" i="2" s="1"/>
  <c r="J342" i="2" s="1"/>
  <c r="G326" i="2"/>
  <c r="H326" i="2" s="1"/>
  <c r="I326" i="2" s="1"/>
  <c r="J326" i="2" s="1"/>
  <c r="G310" i="2"/>
  <c r="H310" i="2" s="1"/>
  <c r="I310" i="2" s="1"/>
  <c r="J310" i="2" s="1"/>
  <c r="G389" i="2"/>
  <c r="H389" i="2" s="1"/>
  <c r="I389" i="2" s="1"/>
  <c r="J389" i="2" s="1"/>
  <c r="G373" i="2"/>
  <c r="H373" i="2" s="1"/>
  <c r="I373" i="2" s="1"/>
  <c r="J373" i="2" s="1"/>
  <c r="G155" i="2"/>
  <c r="H155" i="2" s="1"/>
  <c r="I155" i="2" s="1"/>
  <c r="J155" i="2" s="1"/>
  <c r="G349" i="2"/>
  <c r="H349" i="2" s="1"/>
  <c r="I349" i="2" s="1"/>
  <c r="J349" i="2" s="1"/>
  <c r="G317" i="2"/>
  <c r="H317" i="2" s="1"/>
  <c r="I317" i="2" s="1"/>
  <c r="J317" i="2" s="1"/>
  <c r="G178" i="2"/>
  <c r="H178" i="2" s="1"/>
  <c r="I178" i="2" s="1"/>
  <c r="J178" i="2" s="1"/>
  <c r="G146" i="2"/>
  <c r="H146" i="2" s="1"/>
  <c r="I146" i="2" s="1"/>
  <c r="J146" i="2" s="1"/>
  <c r="G114" i="2"/>
  <c r="H114" i="2" s="1"/>
  <c r="I114" i="2" s="1"/>
  <c r="J114" i="2" s="1"/>
  <c r="G82" i="2"/>
  <c r="H82" i="2" s="1"/>
  <c r="I82" i="2" s="1"/>
  <c r="J82" i="2" s="1"/>
  <c r="G50" i="2"/>
  <c r="H50" i="2" s="1"/>
  <c r="I50" i="2" s="1"/>
  <c r="J50" i="2" s="1"/>
  <c r="G364" i="2"/>
  <c r="H364" i="2" s="1"/>
  <c r="I364" i="2" s="1"/>
  <c r="J364" i="2" s="1"/>
  <c r="G332" i="2"/>
  <c r="H332" i="2" s="1"/>
  <c r="I332" i="2" s="1"/>
  <c r="J332" i="2" s="1"/>
  <c r="G379" i="2"/>
  <c r="H379" i="2" s="1"/>
  <c r="I379" i="2" s="1"/>
  <c r="J379" i="2" s="1"/>
  <c r="G127" i="2"/>
  <c r="H127" i="2" s="1"/>
  <c r="I127" i="2" s="1"/>
  <c r="J127" i="2" s="1"/>
  <c r="G18" i="2"/>
  <c r="H18" i="2" s="1"/>
  <c r="I18" i="2" s="1"/>
  <c r="J18" i="2" s="1"/>
  <c r="G313" i="2"/>
  <c r="H313" i="2" s="1"/>
  <c r="I313" i="2" s="1"/>
  <c r="J313" i="2" s="1"/>
  <c r="G185" i="2"/>
  <c r="H185" i="2" s="1"/>
  <c r="I185" i="2" s="1"/>
  <c r="J185" i="2" s="1"/>
  <c r="G137" i="2"/>
  <c r="H137" i="2" s="1"/>
  <c r="I137" i="2" s="1"/>
  <c r="J137" i="2" s="1"/>
  <c r="G73" i="2"/>
  <c r="H73" i="2" s="1"/>
  <c r="I73" i="2" s="1"/>
  <c r="J73" i="2" s="1"/>
  <c r="G24" i="2"/>
  <c r="H24" i="2" s="1"/>
  <c r="I24" i="2" s="1"/>
  <c r="J24" i="2" s="1"/>
  <c r="G355" i="2"/>
  <c r="H355" i="2" s="1"/>
  <c r="I355" i="2" s="1"/>
  <c r="J355" i="2" s="1"/>
  <c r="G386" i="2"/>
  <c r="H386" i="2" s="1"/>
  <c r="I386" i="2" s="1"/>
  <c r="J386" i="2" s="1"/>
  <c r="G107" i="2"/>
  <c r="H107" i="2" s="1"/>
  <c r="I107" i="2" s="1"/>
  <c r="J107" i="2" s="1"/>
  <c r="G172" i="2"/>
  <c r="H172" i="2" s="1"/>
  <c r="I172" i="2" s="1"/>
  <c r="J172" i="2" s="1"/>
  <c r="G124" i="2"/>
  <c r="H124" i="2" s="1"/>
  <c r="I124" i="2" s="1"/>
  <c r="J124" i="2" s="1"/>
  <c r="G76" i="2"/>
  <c r="H76" i="2" s="1"/>
  <c r="I76" i="2" s="1"/>
  <c r="J76" i="2" s="1"/>
  <c r="G32" i="2"/>
  <c r="H32" i="2" s="1"/>
  <c r="I32" i="2" s="1"/>
  <c r="J32" i="2" s="1"/>
  <c r="G330" i="2"/>
  <c r="H330" i="2" s="1"/>
  <c r="I330" i="2" s="1"/>
  <c r="J330" i="2" s="1"/>
  <c r="G377" i="2"/>
  <c r="H377" i="2" s="1"/>
  <c r="I377" i="2" s="1"/>
  <c r="J377" i="2" s="1"/>
  <c r="G175" i="2"/>
  <c r="H175" i="2" s="1"/>
  <c r="I175" i="2" s="1"/>
  <c r="J175" i="2" s="1"/>
  <c r="G131" i="2"/>
  <c r="H131" i="2" s="1"/>
  <c r="I131" i="2" s="1"/>
  <c r="J131" i="2" s="1"/>
  <c r="G79" i="2"/>
  <c r="H79" i="2" s="1"/>
  <c r="I79" i="2" s="1"/>
  <c r="J79" i="2" s="1"/>
  <c r="G39" i="2"/>
  <c r="H39" i="2" s="1"/>
  <c r="I39" i="2" s="1"/>
  <c r="J39" i="2" s="1"/>
  <c r="G361" i="2"/>
  <c r="H361" i="2" s="1"/>
  <c r="I361" i="2" s="1"/>
  <c r="J361" i="2" s="1"/>
  <c r="G337" i="2"/>
  <c r="H337" i="2" s="1"/>
  <c r="I337" i="2" s="1"/>
  <c r="J337" i="2" s="1"/>
  <c r="G301" i="2"/>
  <c r="H301" i="2" s="1"/>
  <c r="I301" i="2" s="1"/>
  <c r="J301" i="2" s="1"/>
  <c r="G186" i="2"/>
  <c r="H186" i="2" s="1"/>
  <c r="I186" i="2" s="1"/>
  <c r="J186" i="2" s="1"/>
  <c r="G170" i="2"/>
  <c r="H170" i="2" s="1"/>
  <c r="I170" i="2" s="1"/>
  <c r="J170" i="2" s="1"/>
  <c r="G154" i="2"/>
  <c r="H154" i="2" s="1"/>
  <c r="I154" i="2" s="1"/>
  <c r="J154" i="2" s="1"/>
  <c r="G138" i="2"/>
  <c r="H138" i="2" s="1"/>
  <c r="I138" i="2" s="1"/>
  <c r="J138" i="2" s="1"/>
  <c r="G122" i="2"/>
  <c r="H122" i="2" s="1"/>
  <c r="I122" i="2" s="1"/>
  <c r="J122" i="2" s="1"/>
  <c r="G106" i="2"/>
  <c r="H106" i="2" s="1"/>
  <c r="I106" i="2" s="1"/>
  <c r="J106" i="2" s="1"/>
  <c r="G90" i="2"/>
  <c r="H90" i="2" s="1"/>
  <c r="I90" i="2" s="1"/>
  <c r="J90" i="2" s="1"/>
  <c r="G74" i="2"/>
  <c r="H74" i="2" s="1"/>
  <c r="I74" i="2" s="1"/>
  <c r="J74" i="2" s="1"/>
  <c r="G58" i="2"/>
  <c r="H58" i="2" s="1"/>
  <c r="I58" i="2" s="1"/>
  <c r="J58" i="2" s="1"/>
  <c r="G42" i="2"/>
  <c r="H42" i="2" s="1"/>
  <c r="I42" i="2" s="1"/>
  <c r="J42" i="2" s="1"/>
  <c r="G25" i="2"/>
  <c r="H25" i="2" s="1"/>
  <c r="I25" i="2" s="1"/>
  <c r="J25" i="2" s="1"/>
  <c r="G9" i="2"/>
  <c r="H9" i="2" s="1"/>
  <c r="I9" i="2" s="1"/>
  <c r="J9" i="2" s="1"/>
  <c r="G356" i="2"/>
  <c r="H356" i="2" s="1"/>
  <c r="I356" i="2" s="1"/>
  <c r="J356" i="2" s="1"/>
  <c r="G340" i="2"/>
  <c r="H340" i="2" s="1"/>
  <c r="I340" i="2" s="1"/>
  <c r="J340" i="2" s="1"/>
  <c r="G324" i="2"/>
  <c r="H324" i="2" s="1"/>
  <c r="I324" i="2" s="1"/>
  <c r="J324" i="2" s="1"/>
  <c r="G308" i="2"/>
  <c r="H308" i="2" s="1"/>
  <c r="I308" i="2" s="1"/>
  <c r="J308" i="2" s="1"/>
  <c r="G387" i="2"/>
  <c r="H387" i="2" s="1"/>
  <c r="I387" i="2" s="1"/>
  <c r="J387" i="2" s="1"/>
  <c r="G371" i="2"/>
  <c r="H371" i="2" s="1"/>
  <c r="I371" i="2" s="1"/>
  <c r="J371" i="2" s="1"/>
  <c r="G151" i="2"/>
  <c r="H151" i="2" s="1"/>
  <c r="I151" i="2" s="1"/>
  <c r="J151" i="2" s="1"/>
  <c r="G103" i="2"/>
  <c r="H103" i="2" s="1"/>
  <c r="I103" i="2" s="1"/>
  <c r="J103" i="2" s="1"/>
  <c r="G63" i="2"/>
  <c r="H63" i="2" s="1"/>
  <c r="I63" i="2" s="1"/>
  <c r="J63" i="2" s="1"/>
  <c r="G35" i="2"/>
  <c r="H35" i="2" s="1"/>
  <c r="I35" i="2" s="1"/>
  <c r="J35" i="2" s="1"/>
  <c r="G365" i="2"/>
  <c r="H365" i="2" s="1"/>
  <c r="I365" i="2" s="1"/>
  <c r="J365" i="2" s="1"/>
  <c r="G325" i="2"/>
  <c r="H325" i="2" s="1"/>
  <c r="I325" i="2" s="1"/>
  <c r="J325" i="2" s="1"/>
  <c r="G297" i="2"/>
  <c r="H297" i="2" s="1"/>
  <c r="I297" i="2" s="1"/>
  <c r="J297" i="2" s="1"/>
  <c r="G193" i="2"/>
  <c r="H193" i="2" s="1"/>
  <c r="I193" i="2" s="1"/>
  <c r="J193" i="2" s="1"/>
  <c r="G177" i="2"/>
  <c r="H177" i="2" s="1"/>
  <c r="I177" i="2" s="1"/>
  <c r="J177" i="2" s="1"/>
  <c r="G161" i="2"/>
  <c r="H161" i="2" s="1"/>
  <c r="I161" i="2" s="1"/>
  <c r="J161" i="2" s="1"/>
  <c r="G145" i="2"/>
  <c r="H145" i="2" s="1"/>
  <c r="I145" i="2" s="1"/>
  <c r="J145" i="2" s="1"/>
  <c r="G129" i="2"/>
  <c r="H129" i="2" s="1"/>
  <c r="I129" i="2" s="1"/>
  <c r="J129" i="2" s="1"/>
  <c r="G113" i="2"/>
  <c r="H113" i="2" s="1"/>
  <c r="I113" i="2" s="1"/>
  <c r="J113" i="2" s="1"/>
  <c r="G97" i="2"/>
  <c r="H97" i="2" s="1"/>
  <c r="I97" i="2" s="1"/>
  <c r="J97" i="2" s="1"/>
  <c r="G81" i="2"/>
  <c r="H81" i="2" s="1"/>
  <c r="I81" i="2" s="1"/>
  <c r="J81" i="2" s="1"/>
  <c r="G65" i="2"/>
  <c r="H65" i="2" s="1"/>
  <c r="I65" i="2" s="1"/>
  <c r="J65" i="2" s="1"/>
  <c r="G49" i="2"/>
  <c r="H49" i="2" s="1"/>
  <c r="I49" i="2" s="1"/>
  <c r="J49" i="2" s="1"/>
  <c r="G33" i="2"/>
  <c r="H33" i="2" s="1"/>
  <c r="I33" i="2" s="1"/>
  <c r="J33" i="2" s="1"/>
  <c r="G16" i="2"/>
  <c r="H16" i="2" s="1"/>
  <c r="I16" i="2" s="1"/>
  <c r="J16" i="2" s="1"/>
  <c r="G363" i="2"/>
  <c r="H363" i="2" s="1"/>
  <c r="I363" i="2" s="1"/>
  <c r="J363" i="2" s="1"/>
  <c r="G347" i="2"/>
  <c r="H347" i="2" s="1"/>
  <c r="I347" i="2" s="1"/>
  <c r="J347" i="2" s="1"/>
  <c r="G331" i="2"/>
  <c r="H331" i="2" s="1"/>
  <c r="I331" i="2" s="1"/>
  <c r="J331" i="2" s="1"/>
  <c r="G315" i="2"/>
  <c r="H315" i="2" s="1"/>
  <c r="I315" i="2" s="1"/>
  <c r="J315" i="2" s="1"/>
  <c r="G299" i="2"/>
  <c r="H299" i="2" s="1"/>
  <c r="I299" i="2" s="1"/>
  <c r="J299" i="2" s="1"/>
  <c r="G378" i="2"/>
  <c r="H378" i="2" s="1"/>
  <c r="I378" i="2" s="1"/>
  <c r="J378" i="2" s="1"/>
  <c r="G183" i="2"/>
  <c r="H183" i="2" s="1"/>
  <c r="I183" i="2" s="1"/>
  <c r="J183" i="2" s="1"/>
  <c r="G135" i="2"/>
  <c r="H135" i="2" s="1"/>
  <c r="I135" i="2" s="1"/>
  <c r="J135" i="2" s="1"/>
  <c r="G87" i="2"/>
  <c r="H87" i="2" s="1"/>
  <c r="I87" i="2" s="1"/>
  <c r="J87" i="2" s="1"/>
  <c r="G196" i="2"/>
  <c r="H196" i="2" s="1"/>
  <c r="I196" i="2" s="1"/>
  <c r="J196" i="2" s="1"/>
  <c r="G180" i="2"/>
  <c r="H180" i="2" s="1"/>
  <c r="I180" i="2" s="1"/>
  <c r="J180" i="2" s="1"/>
  <c r="G164" i="2"/>
  <c r="H164" i="2" s="1"/>
  <c r="I164" i="2" s="1"/>
  <c r="J164" i="2" s="1"/>
  <c r="G148" i="2"/>
  <c r="H148" i="2" s="1"/>
  <c r="I148" i="2" s="1"/>
  <c r="J148" i="2" s="1"/>
  <c r="G132" i="2"/>
  <c r="H132" i="2" s="1"/>
  <c r="I132" i="2" s="1"/>
  <c r="J132" i="2" s="1"/>
  <c r="G116" i="2"/>
  <c r="H116" i="2" s="1"/>
  <c r="I116" i="2" s="1"/>
  <c r="J116" i="2" s="1"/>
  <c r="G100" i="2"/>
  <c r="H100" i="2" s="1"/>
  <c r="I100" i="2" s="1"/>
  <c r="J100" i="2" s="1"/>
  <c r="G84" i="2"/>
  <c r="H84" i="2" s="1"/>
  <c r="I84" i="2" s="1"/>
  <c r="J84" i="2" s="1"/>
  <c r="G68" i="2"/>
  <c r="H68" i="2" s="1"/>
  <c r="I68" i="2" s="1"/>
  <c r="J68" i="2" s="1"/>
  <c r="G40" i="2"/>
  <c r="H40" i="2" s="1"/>
  <c r="I40" i="2" s="1"/>
  <c r="J40" i="2" s="1"/>
  <c r="G23" i="2"/>
  <c r="H23" i="2" s="1"/>
  <c r="I23" i="2" s="1"/>
  <c r="J23" i="2" s="1"/>
  <c r="G7" i="2"/>
  <c r="H7" i="2" s="1"/>
  <c r="I7" i="2" s="1"/>
  <c r="J7" i="2" s="1"/>
  <c r="G354" i="2"/>
  <c r="H354" i="2" s="1"/>
  <c r="I354" i="2" s="1"/>
  <c r="J354" i="2" s="1"/>
  <c r="G338" i="2"/>
  <c r="H338" i="2" s="1"/>
  <c r="I338" i="2" s="1"/>
  <c r="J338" i="2" s="1"/>
  <c r="G322" i="2"/>
  <c r="H322" i="2" s="1"/>
  <c r="I322" i="2" s="1"/>
  <c r="J322" i="2" s="1"/>
  <c r="G306" i="2"/>
  <c r="H306" i="2" s="1"/>
  <c r="I306" i="2" s="1"/>
  <c r="J306" i="2" s="1"/>
  <c r="G385" i="2"/>
  <c r="H385" i="2" s="1"/>
  <c r="I385" i="2" s="1"/>
  <c r="J385" i="2" s="1"/>
  <c r="G369" i="2"/>
  <c r="H369" i="2" s="1"/>
  <c r="I369" i="2" s="1"/>
  <c r="J369" i="2" s="1"/>
  <c r="G111" i="2"/>
  <c r="H111" i="2" s="1"/>
  <c r="I111" i="2" s="1"/>
  <c r="J111" i="2" s="1"/>
  <c r="G14" i="2"/>
  <c r="H14" i="2" s="1"/>
  <c r="I14" i="2" s="1"/>
  <c r="J14" i="2" s="1"/>
  <c r="G384" i="2"/>
  <c r="H384" i="2" s="1"/>
  <c r="I384" i="2" s="1"/>
  <c r="J384" i="2" s="1"/>
  <c r="G194" i="2"/>
  <c r="H194" i="2" s="1"/>
  <c r="I194" i="2" s="1"/>
  <c r="J194" i="2" s="1"/>
  <c r="G162" i="2"/>
  <c r="H162" i="2" s="1"/>
  <c r="I162" i="2" s="1"/>
  <c r="J162" i="2" s="1"/>
  <c r="G130" i="2"/>
  <c r="H130" i="2" s="1"/>
  <c r="I130" i="2" s="1"/>
  <c r="J130" i="2" s="1"/>
  <c r="G98" i="2"/>
  <c r="H98" i="2" s="1"/>
  <c r="I98" i="2" s="1"/>
  <c r="J98" i="2" s="1"/>
  <c r="G66" i="2"/>
  <c r="H66" i="2" s="1"/>
  <c r="I66" i="2" s="1"/>
  <c r="J66" i="2" s="1"/>
  <c r="G34" i="2"/>
  <c r="H34" i="2" s="1"/>
  <c r="I34" i="2" s="1"/>
  <c r="J34" i="2" s="1"/>
  <c r="G348" i="2"/>
  <c r="H348" i="2" s="1"/>
  <c r="I348" i="2" s="1"/>
  <c r="J348" i="2" s="1"/>
  <c r="G300" i="2"/>
  <c r="H300" i="2" s="1"/>
  <c r="I300" i="2" s="1"/>
  <c r="J300" i="2" s="1"/>
  <c r="G179" i="2"/>
  <c r="H179" i="2" s="1"/>
  <c r="I179" i="2" s="1"/>
  <c r="J179" i="2" s="1"/>
  <c r="G169" i="2"/>
  <c r="H169" i="2" s="1"/>
  <c r="I169" i="2" s="1"/>
  <c r="J169" i="2" s="1"/>
  <c r="G121" i="2"/>
  <c r="H121" i="2" s="1"/>
  <c r="I121" i="2" s="1"/>
  <c r="J121" i="2" s="1"/>
  <c r="G89" i="2"/>
  <c r="H89" i="2" s="1"/>
  <c r="I89" i="2" s="1"/>
  <c r="J89" i="2" s="1"/>
  <c r="G41" i="2"/>
  <c r="H41" i="2" s="1"/>
  <c r="I41" i="2" s="1"/>
  <c r="J41" i="2" s="1"/>
  <c r="G339" i="2"/>
  <c r="H339" i="2" s="1"/>
  <c r="I339" i="2" s="1"/>
  <c r="J339" i="2" s="1"/>
  <c r="G307" i="2"/>
  <c r="H307" i="2" s="1"/>
  <c r="I307" i="2" s="1"/>
  <c r="J307" i="2" s="1"/>
  <c r="G159" i="2"/>
  <c r="H159" i="2" s="1"/>
  <c r="I159" i="2" s="1"/>
  <c r="J159" i="2" s="1"/>
  <c r="G188" i="2"/>
  <c r="H188" i="2" s="1"/>
  <c r="I188" i="2" s="1"/>
  <c r="J188" i="2" s="1"/>
  <c r="G140" i="2"/>
  <c r="H140" i="2" s="1"/>
  <c r="I140" i="2" s="1"/>
  <c r="J140" i="2" s="1"/>
  <c r="G92" i="2"/>
  <c r="H92" i="2" s="1"/>
  <c r="I92" i="2" s="1"/>
  <c r="J92" i="2" s="1"/>
  <c r="G48" i="2"/>
  <c r="H48" i="2" s="1"/>
  <c r="I48" i="2" s="1"/>
  <c r="J48" i="2" s="1"/>
  <c r="G362" i="2"/>
  <c r="H362" i="2" s="1"/>
  <c r="I362" i="2" s="1"/>
  <c r="J362" i="2" s="1"/>
  <c r="G314" i="2"/>
  <c r="H314" i="2" s="1"/>
  <c r="I314" i="2" s="1"/>
  <c r="J314" i="2" s="1"/>
  <c r="G163" i="2"/>
  <c r="H163" i="2" s="1"/>
  <c r="I163" i="2" s="1"/>
  <c r="J163" i="2" s="1"/>
  <c r="G123" i="2"/>
  <c r="H123" i="2" s="1"/>
  <c r="I123" i="2" s="1"/>
  <c r="J123" i="2" s="1"/>
  <c r="G67" i="2"/>
  <c r="H67" i="2" s="1"/>
  <c r="I67" i="2" s="1"/>
  <c r="J67" i="2" s="1"/>
  <c r="G26" i="2"/>
  <c r="H26" i="2" s="1"/>
  <c r="I26" i="2" s="1"/>
  <c r="J26" i="2" s="1"/>
  <c r="G357" i="2"/>
  <c r="H357" i="2" s="1"/>
  <c r="I357" i="2" s="1"/>
  <c r="J357" i="2" s="1"/>
  <c r="G329" i="2"/>
  <c r="H329" i="2" s="1"/>
  <c r="I329" i="2" s="1"/>
  <c r="J329" i="2" s="1"/>
  <c r="G388" i="2"/>
  <c r="H388" i="2" s="1"/>
  <c r="I388" i="2" s="1"/>
  <c r="J388" i="2" s="1"/>
  <c r="G182" i="2"/>
  <c r="H182" i="2" s="1"/>
  <c r="I182" i="2" s="1"/>
  <c r="J182" i="2" s="1"/>
  <c r="G166" i="2"/>
  <c r="H166" i="2" s="1"/>
  <c r="I166" i="2" s="1"/>
  <c r="J166" i="2" s="1"/>
  <c r="G150" i="2"/>
  <c r="H150" i="2" s="1"/>
  <c r="I150" i="2" s="1"/>
  <c r="J150" i="2" s="1"/>
  <c r="G134" i="2"/>
  <c r="H134" i="2" s="1"/>
  <c r="I134" i="2" s="1"/>
  <c r="J134" i="2" s="1"/>
  <c r="G118" i="2"/>
  <c r="H118" i="2" s="1"/>
  <c r="I118" i="2" s="1"/>
  <c r="J118" i="2" s="1"/>
  <c r="G6" i="2"/>
  <c r="H6" i="2" s="1"/>
  <c r="I6" i="2" s="1"/>
  <c r="J6" i="2" s="1"/>
  <c r="H6" i="1" s="1"/>
  <c r="G86" i="2"/>
  <c r="H86" i="2" s="1"/>
  <c r="I86" i="2" s="1"/>
  <c r="J86" i="2" s="1"/>
  <c r="G70" i="2"/>
  <c r="H70" i="2" s="1"/>
  <c r="I70" i="2" s="1"/>
  <c r="J70" i="2" s="1"/>
  <c r="G54" i="2"/>
  <c r="H54" i="2" s="1"/>
  <c r="I54" i="2" s="1"/>
  <c r="J54" i="2" s="1"/>
  <c r="G38" i="2"/>
  <c r="H38" i="2" s="1"/>
  <c r="I38" i="2" s="1"/>
  <c r="J38" i="2" s="1"/>
  <c r="G21" i="2"/>
  <c r="H21" i="2" s="1"/>
  <c r="I21" i="2" s="1"/>
  <c r="J21" i="2" s="1"/>
  <c r="G368" i="2"/>
  <c r="H368" i="2" s="1"/>
  <c r="I368" i="2" s="1"/>
  <c r="J368" i="2" s="1"/>
  <c r="G352" i="2"/>
  <c r="H352" i="2" s="1"/>
  <c r="I352" i="2" s="1"/>
  <c r="J352" i="2" s="1"/>
  <c r="G336" i="2"/>
  <c r="H336" i="2" s="1"/>
  <c r="I336" i="2" s="1"/>
  <c r="J336" i="2" s="1"/>
  <c r="G320" i="2"/>
  <c r="H320" i="2" s="1"/>
  <c r="I320" i="2" s="1"/>
  <c r="J320" i="2" s="1"/>
  <c r="G304" i="2"/>
  <c r="H304" i="2" s="1"/>
  <c r="I304" i="2" s="1"/>
  <c r="J304" i="2" s="1"/>
  <c r="G383" i="2"/>
  <c r="H383" i="2" s="1"/>
  <c r="I383" i="2" s="1"/>
  <c r="J383" i="2" s="1"/>
  <c r="G191" i="2"/>
  <c r="H191" i="2" s="1"/>
  <c r="I191" i="2" s="1"/>
  <c r="J191" i="2" s="1"/>
  <c r="G139" i="2"/>
  <c r="H139" i="2" s="1"/>
  <c r="I139" i="2" s="1"/>
  <c r="J139" i="2" s="1"/>
  <c r="G91" i="2"/>
  <c r="H91" i="2" s="1"/>
  <c r="I91" i="2" s="1"/>
  <c r="J91" i="2" s="1"/>
  <c r="G31" i="2"/>
  <c r="H31" i="2" s="1"/>
  <c r="I31" i="2" s="1"/>
  <c r="J31" i="2" s="1"/>
  <c r="G353" i="2"/>
  <c r="H353" i="2" s="1"/>
  <c r="I353" i="2" s="1"/>
  <c r="J353" i="2" s="1"/>
  <c r="G321" i="2"/>
  <c r="H321" i="2" s="1"/>
  <c r="I321" i="2" s="1"/>
  <c r="J321" i="2" s="1"/>
  <c r="G380" i="2"/>
  <c r="H380" i="2" s="1"/>
  <c r="I380" i="2" s="1"/>
  <c r="J380" i="2" s="1"/>
  <c r="G189" i="2"/>
  <c r="H189" i="2" s="1"/>
  <c r="I189" i="2" s="1"/>
  <c r="J189" i="2" s="1"/>
  <c r="G173" i="2"/>
  <c r="H173" i="2" s="1"/>
  <c r="I173" i="2" s="1"/>
  <c r="J173" i="2" s="1"/>
  <c r="G157" i="2"/>
  <c r="H157" i="2" s="1"/>
  <c r="I157" i="2" s="1"/>
  <c r="J157" i="2" s="1"/>
  <c r="G141" i="2"/>
  <c r="H141" i="2" s="1"/>
  <c r="I141" i="2" s="1"/>
  <c r="J141" i="2" s="1"/>
  <c r="G125" i="2"/>
  <c r="H125" i="2" s="1"/>
  <c r="I125" i="2" s="1"/>
  <c r="J125" i="2" s="1"/>
  <c r="G109" i="2"/>
  <c r="H109" i="2" s="1"/>
  <c r="I109" i="2" s="1"/>
  <c r="J109" i="2" s="1"/>
  <c r="G93" i="2"/>
  <c r="H93" i="2" s="1"/>
  <c r="I93" i="2" s="1"/>
  <c r="J93" i="2" s="1"/>
  <c r="G77" i="2"/>
  <c r="H77" i="2" s="1"/>
  <c r="I77" i="2" s="1"/>
  <c r="J77" i="2" s="1"/>
  <c r="G61" i="2"/>
  <c r="H61" i="2" s="1"/>
  <c r="I61" i="2" s="1"/>
  <c r="J61" i="2" s="1"/>
  <c r="G45" i="2"/>
  <c r="H45" i="2" s="1"/>
  <c r="I45" i="2" s="1"/>
  <c r="J45" i="2" s="1"/>
  <c r="G28" i="2"/>
  <c r="H28" i="2" s="1"/>
  <c r="I28" i="2" s="1"/>
  <c r="J28" i="2" s="1"/>
  <c r="G12" i="2"/>
  <c r="H12" i="2" s="1"/>
  <c r="I12" i="2" s="1"/>
  <c r="J12" i="2" s="1"/>
  <c r="G359" i="2"/>
  <c r="H359" i="2" s="1"/>
  <c r="I359" i="2" s="1"/>
  <c r="J359" i="2" s="1"/>
  <c r="G343" i="2"/>
  <c r="H343" i="2" s="1"/>
  <c r="I343" i="2" s="1"/>
  <c r="J343" i="2" s="1"/>
  <c r="G327" i="2"/>
  <c r="H327" i="2" s="1"/>
  <c r="I327" i="2" s="1"/>
  <c r="J327" i="2" s="1"/>
  <c r="G311" i="2"/>
  <c r="H311" i="2" s="1"/>
  <c r="I311" i="2" s="1"/>
  <c r="J311" i="2" s="1"/>
  <c r="G295" i="2"/>
  <c r="H295" i="2" s="1"/>
  <c r="I295" i="2" s="1"/>
  <c r="J295" i="2" s="1"/>
  <c r="G374" i="2"/>
  <c r="H374" i="2" s="1"/>
  <c r="I374" i="2" s="1"/>
  <c r="J374" i="2" s="1"/>
  <c r="G171" i="2"/>
  <c r="H171" i="2" s="1"/>
  <c r="I171" i="2" s="1"/>
  <c r="J171" i="2" s="1"/>
  <c r="G119" i="2"/>
  <c r="H119" i="2" s="1"/>
  <c r="I119" i="2" s="1"/>
  <c r="J119" i="2" s="1"/>
  <c r="G75" i="2"/>
  <c r="H75" i="2" s="1"/>
  <c r="I75" i="2" s="1"/>
  <c r="J75" i="2" s="1"/>
  <c r="G192" i="2"/>
  <c r="H192" i="2" s="1"/>
  <c r="I192" i="2" s="1"/>
  <c r="J192" i="2" s="1"/>
  <c r="G176" i="2"/>
  <c r="H176" i="2" s="1"/>
  <c r="I176" i="2" s="1"/>
  <c r="J176" i="2" s="1"/>
  <c r="G160" i="2"/>
  <c r="H160" i="2" s="1"/>
  <c r="I160" i="2" s="1"/>
  <c r="J160" i="2" s="1"/>
  <c r="G144" i="2"/>
  <c r="H144" i="2" s="1"/>
  <c r="I144" i="2" s="1"/>
  <c r="J144" i="2" s="1"/>
  <c r="G128" i="2"/>
  <c r="H128" i="2" s="1"/>
  <c r="I128" i="2" s="1"/>
  <c r="J128" i="2" s="1"/>
  <c r="G112" i="2"/>
  <c r="H112" i="2" s="1"/>
  <c r="I112" i="2" s="1"/>
  <c r="J112" i="2" s="1"/>
  <c r="G96" i="2"/>
  <c r="H96" i="2" s="1"/>
  <c r="I96" i="2" s="1"/>
  <c r="J96" i="2" s="1"/>
  <c r="G80" i="2"/>
  <c r="H80" i="2" s="1"/>
  <c r="I80" i="2" s="1"/>
  <c r="J80" i="2" s="1"/>
  <c r="G64" i="2"/>
  <c r="H64" i="2" s="1"/>
  <c r="I64" i="2" s="1"/>
  <c r="J64" i="2" s="1"/>
  <c r="G52" i="2"/>
  <c r="H52" i="2" s="1"/>
  <c r="I52" i="2" s="1"/>
  <c r="J52" i="2" s="1"/>
  <c r="G36" i="2"/>
  <c r="H36" i="2" s="1"/>
  <c r="I36" i="2" s="1"/>
  <c r="J36" i="2" s="1"/>
  <c r="G19" i="2"/>
  <c r="H19" i="2" s="1"/>
  <c r="I19" i="2" s="1"/>
  <c r="J19" i="2" s="1"/>
  <c r="G366" i="2"/>
  <c r="H366" i="2" s="1"/>
  <c r="I366" i="2" s="1"/>
  <c r="J366" i="2" s="1"/>
  <c r="G350" i="2"/>
  <c r="H350" i="2" s="1"/>
  <c r="I350" i="2" s="1"/>
  <c r="J350" i="2" s="1"/>
  <c r="G334" i="2"/>
  <c r="H334" i="2" s="1"/>
  <c r="I334" i="2" s="1"/>
  <c r="J334" i="2" s="1"/>
  <c r="G318" i="2"/>
  <c r="H318" i="2" s="1"/>
  <c r="I318" i="2" s="1"/>
  <c r="J318" i="2" s="1"/>
  <c r="G302" i="2"/>
  <c r="H302" i="2" s="1"/>
  <c r="I302" i="2" s="1"/>
  <c r="J302" i="2" s="1"/>
  <c r="G381" i="2"/>
  <c r="H381" i="2" s="1"/>
  <c r="I381" i="2" s="1"/>
  <c r="J381" i="2" s="1"/>
  <c r="G59" i="2"/>
  <c r="H59" i="2" s="1"/>
  <c r="I59" i="2" s="1"/>
  <c r="J59" i="2" s="1"/>
  <c r="G17" i="2"/>
  <c r="H17" i="2" s="1"/>
  <c r="I17" i="2" s="1"/>
  <c r="J17" i="2" s="1"/>
  <c r="G316" i="2"/>
  <c r="H316" i="2" s="1"/>
  <c r="I316" i="2" s="1"/>
  <c r="J316" i="2" s="1"/>
  <c r="G83" i="2"/>
  <c r="H83" i="2" s="1"/>
  <c r="I83" i="2" s="1"/>
  <c r="J83" i="2" s="1"/>
  <c r="G345" i="2"/>
  <c r="H345" i="2" s="1"/>
  <c r="I345" i="2" s="1"/>
  <c r="J345" i="2" s="1"/>
  <c r="G376" i="2"/>
  <c r="H376" i="2" s="1"/>
  <c r="I376" i="2" s="1"/>
  <c r="J376" i="2" s="1"/>
  <c r="G153" i="2"/>
  <c r="H153" i="2" s="1"/>
  <c r="I153" i="2" s="1"/>
  <c r="J153" i="2" s="1"/>
  <c r="G105" i="2"/>
  <c r="H105" i="2" s="1"/>
  <c r="I105" i="2" s="1"/>
  <c r="J105" i="2" s="1"/>
  <c r="G57" i="2"/>
  <c r="H57" i="2" s="1"/>
  <c r="I57" i="2" s="1"/>
  <c r="J57" i="2" s="1"/>
  <c r="G8" i="2"/>
  <c r="H8" i="2" s="1"/>
  <c r="I8" i="2" s="1"/>
  <c r="J8" i="2" s="1"/>
  <c r="G323" i="2"/>
  <c r="H323" i="2" s="1"/>
  <c r="I323" i="2" s="1"/>
  <c r="J323" i="2" s="1"/>
  <c r="G370" i="2"/>
  <c r="H370" i="2" s="1"/>
  <c r="I370" i="2" s="1"/>
  <c r="J370" i="2" s="1"/>
  <c r="G51" i="2"/>
  <c r="H51" i="2" s="1"/>
  <c r="I51" i="2" s="1"/>
  <c r="J51" i="2" s="1"/>
  <c r="G156" i="2"/>
  <c r="H156" i="2" s="1"/>
  <c r="I156" i="2" s="1"/>
  <c r="J156" i="2" s="1"/>
  <c r="G108" i="2"/>
  <c r="H108" i="2" s="1"/>
  <c r="I108" i="2" s="1"/>
  <c r="J108" i="2" s="1"/>
  <c r="G60" i="2"/>
  <c r="H60" i="2" s="1"/>
  <c r="I60" i="2" s="1"/>
  <c r="J60" i="2" s="1"/>
  <c r="G15" i="2"/>
  <c r="H15" i="2" s="1"/>
  <c r="I15" i="2" s="1"/>
  <c r="J15" i="2" s="1"/>
  <c r="G346" i="2"/>
  <c r="H346" i="2" s="1"/>
  <c r="I346" i="2" s="1"/>
  <c r="J346" i="2" s="1"/>
  <c r="G298" i="2"/>
  <c r="H298" i="2" s="1"/>
  <c r="I298" i="2" s="1"/>
  <c r="J298" i="2" s="1"/>
  <c r="G482" i="2"/>
  <c r="H482" i="2" s="1"/>
  <c r="I482" i="2" s="1"/>
  <c r="J482" i="2" s="1"/>
  <c r="G450" i="2"/>
  <c r="H450" i="2" s="1"/>
  <c r="I450" i="2" s="1"/>
  <c r="J450" i="2" s="1"/>
  <c r="G465" i="2"/>
  <c r="H465" i="2" s="1"/>
  <c r="G401" i="2"/>
  <c r="H401" i="2" s="1"/>
  <c r="G432" i="2"/>
  <c r="H432" i="2" s="1"/>
  <c r="G467" i="2"/>
  <c r="H467" i="2" s="1"/>
  <c r="G403" i="2"/>
  <c r="H403" i="2" s="1"/>
  <c r="I403" i="2" s="1"/>
  <c r="J403" i="2" s="1"/>
  <c r="G472" i="2"/>
  <c r="H472" i="2" s="1"/>
  <c r="G443" i="2"/>
  <c r="H443" i="2" s="1"/>
  <c r="G430" i="2"/>
  <c r="H430" i="2" s="1"/>
  <c r="G484" i="2"/>
  <c r="H484" i="2" s="1"/>
  <c r="G56" i="2"/>
  <c r="H56" i="2" s="1"/>
  <c r="I56" i="2" s="1"/>
  <c r="J56" i="2" s="1"/>
  <c r="G422" i="2"/>
  <c r="H422" i="2" s="1"/>
  <c r="I422" i="2" s="1"/>
  <c r="J422" i="2" s="1"/>
  <c r="G445" i="2"/>
  <c r="H445" i="2" s="1"/>
  <c r="I445" i="2" s="1"/>
  <c r="J445" i="2" s="1"/>
  <c r="G476" i="2"/>
  <c r="H476" i="2" s="1"/>
  <c r="G412" i="2"/>
  <c r="H412" i="2" s="1"/>
  <c r="G447" i="2"/>
  <c r="H447" i="2" s="1"/>
  <c r="G473" i="2"/>
  <c r="H473" i="2" s="1"/>
  <c r="G475" i="2"/>
  <c r="H475" i="2" s="1"/>
  <c r="G462" i="2"/>
  <c r="H462" i="2" s="1"/>
  <c r="G436" i="2"/>
  <c r="H436" i="2" s="1"/>
  <c r="G102" i="2"/>
  <c r="H102" i="2" s="1"/>
  <c r="I102" i="2" s="1"/>
  <c r="J102" i="2" s="1"/>
  <c r="G426" i="2"/>
  <c r="H426" i="2" s="1"/>
  <c r="G441" i="2"/>
  <c r="H441" i="2" s="1"/>
  <c r="G414" i="2"/>
  <c r="H414" i="2" s="1"/>
  <c r="I414" i="2" s="1"/>
  <c r="J414" i="2" s="1"/>
  <c r="G453" i="2"/>
  <c r="H453" i="2" s="1"/>
  <c r="G439" i="2"/>
  <c r="H439" i="2" s="1"/>
  <c r="B103" i="2"/>
  <c r="C103" i="2" s="1"/>
  <c r="D103" i="2" s="1"/>
  <c r="E103" i="2" s="1"/>
  <c r="B139" i="2"/>
  <c r="C139" i="2" s="1"/>
  <c r="D139" i="2" s="1"/>
  <c r="E139" i="2" s="1"/>
  <c r="B107" i="2"/>
  <c r="C107" i="2" s="1"/>
  <c r="D107" i="2" s="1"/>
  <c r="E107" i="2" s="1"/>
  <c r="B75" i="2"/>
  <c r="C75" i="2" s="1"/>
  <c r="D75" i="2" s="1"/>
  <c r="E75" i="2" s="1"/>
  <c r="B43" i="2"/>
  <c r="C43" i="2" s="1"/>
  <c r="D43" i="2" s="1"/>
  <c r="E43" i="2" s="1"/>
  <c r="B11" i="2"/>
  <c r="C11" i="2" s="1"/>
  <c r="D11" i="2" s="1"/>
  <c r="E11" i="2" s="1"/>
  <c r="B191" i="2"/>
  <c r="C191" i="2" s="1"/>
  <c r="D191" i="2" s="1"/>
  <c r="E191" i="2" s="1"/>
  <c r="B360" i="2"/>
  <c r="C360" i="2" s="1"/>
  <c r="D360" i="2" s="1"/>
  <c r="E360" i="2" s="1"/>
  <c r="B328" i="2"/>
  <c r="C328" i="2" s="1"/>
  <c r="D328" i="2" s="1"/>
  <c r="E328" i="2" s="1"/>
  <c r="B296" i="2"/>
  <c r="C296" i="2" s="1"/>
  <c r="D296" i="2" s="1"/>
  <c r="E296" i="2" s="1"/>
  <c r="B152" i="2"/>
  <c r="C152" i="2" s="1"/>
  <c r="D152" i="2" s="1"/>
  <c r="E152" i="2" s="1"/>
  <c r="B120" i="2"/>
  <c r="C120" i="2" s="1"/>
  <c r="D120" i="2" s="1"/>
  <c r="E120" i="2" s="1"/>
  <c r="B88" i="2"/>
  <c r="C88" i="2" s="1"/>
  <c r="D88" i="2" s="1"/>
  <c r="E88" i="2" s="1"/>
  <c r="B56" i="2"/>
  <c r="C56" i="2" s="1"/>
  <c r="D56" i="2" s="1"/>
  <c r="E56" i="2" s="1"/>
  <c r="B24" i="2"/>
  <c r="C24" i="2" s="1"/>
  <c r="D24" i="2" s="1"/>
  <c r="E24" i="2" s="1"/>
  <c r="B375" i="2"/>
  <c r="C375" i="2" s="1"/>
  <c r="D375" i="2" s="1"/>
  <c r="E375" i="2" s="1"/>
  <c r="B354" i="2"/>
  <c r="C354" i="2" s="1"/>
  <c r="D354" i="2" s="1"/>
  <c r="E354" i="2" s="1"/>
  <c r="B322" i="2"/>
  <c r="C322" i="2" s="1"/>
  <c r="D322" i="2" s="1"/>
  <c r="E322" i="2" s="1"/>
  <c r="B381" i="2"/>
  <c r="C381" i="2" s="1"/>
  <c r="D381" i="2" s="1"/>
  <c r="E381" i="2" s="1"/>
  <c r="B345" i="2"/>
  <c r="C345" i="2" s="1"/>
  <c r="D345" i="2" s="1"/>
  <c r="E345" i="2" s="1"/>
  <c r="B313" i="2"/>
  <c r="C313" i="2" s="1"/>
  <c r="D313" i="2" s="1"/>
  <c r="E313" i="2" s="1"/>
  <c r="B342" i="2"/>
  <c r="C342" i="2" s="1"/>
  <c r="D342" i="2" s="1"/>
  <c r="E342" i="2" s="1"/>
  <c r="B367" i="2"/>
  <c r="C367" i="2" s="1"/>
  <c r="D367" i="2" s="1"/>
  <c r="E367" i="2" s="1"/>
  <c r="B335" i="2"/>
  <c r="C335" i="2" s="1"/>
  <c r="D335" i="2" s="1"/>
  <c r="E335" i="2" s="1"/>
  <c r="B341" i="2"/>
  <c r="C341" i="2" s="1"/>
  <c r="D341" i="2" s="1"/>
  <c r="E341" i="2" s="1"/>
  <c r="B355" i="2"/>
  <c r="C355" i="2" s="1"/>
  <c r="D355" i="2" s="1"/>
  <c r="E355" i="2" s="1"/>
  <c r="B130" i="2"/>
  <c r="C130" i="2" s="1"/>
  <c r="D130" i="2" s="1"/>
  <c r="E130" i="2" s="1"/>
  <c r="B66" i="2"/>
  <c r="C66" i="2" s="1"/>
  <c r="D66" i="2" s="1"/>
  <c r="E66" i="2" s="1"/>
  <c r="B34" i="2"/>
  <c r="C34" i="2" s="1"/>
  <c r="D34" i="2" s="1"/>
  <c r="E34" i="2" s="1"/>
  <c r="B166" i="2"/>
  <c r="C166" i="2" s="1"/>
  <c r="D166" i="2" s="1"/>
  <c r="E166" i="2" s="1"/>
  <c r="B137" i="2"/>
  <c r="C137" i="2" s="1"/>
  <c r="D137" i="2" s="1"/>
  <c r="E137" i="2" s="1"/>
  <c r="B73" i="2"/>
  <c r="C73" i="2" s="1"/>
  <c r="D73" i="2" s="1"/>
  <c r="E73" i="2" s="1"/>
  <c r="B41" i="2"/>
  <c r="C41" i="2" s="1"/>
  <c r="D41" i="2" s="1"/>
  <c r="E41" i="2" s="1"/>
  <c r="B168" i="2"/>
  <c r="C168" i="2" s="1"/>
  <c r="D168" i="2" s="1"/>
  <c r="E168" i="2" s="1"/>
  <c r="B310" i="2"/>
  <c r="C310" i="2" s="1"/>
  <c r="D310" i="2" s="1"/>
  <c r="E310" i="2" s="1"/>
  <c r="B119" i="2"/>
  <c r="C119" i="2" s="1"/>
  <c r="D119" i="2" s="1"/>
  <c r="E119" i="2" s="1"/>
  <c r="B87" i="2"/>
  <c r="C87" i="2" s="1"/>
  <c r="D87" i="2" s="1"/>
  <c r="E87" i="2" s="1"/>
  <c r="B23" i="2"/>
  <c r="C23" i="2" s="1"/>
  <c r="D23" i="2" s="1"/>
  <c r="E23" i="2" s="1"/>
  <c r="B159" i="2"/>
  <c r="C159" i="2" s="1"/>
  <c r="D159" i="2" s="1"/>
  <c r="E159" i="2" s="1"/>
  <c r="B132" i="2"/>
  <c r="C132" i="2" s="1"/>
  <c r="D132" i="2" s="1"/>
  <c r="E132" i="2" s="1"/>
  <c r="B68" i="2"/>
  <c r="C68" i="2" s="1"/>
  <c r="D68" i="2" s="1"/>
  <c r="E68" i="2" s="1"/>
  <c r="B383" i="2"/>
  <c r="C383" i="2" s="1"/>
  <c r="D383" i="2" s="1"/>
  <c r="E383" i="2" s="1"/>
  <c r="B150" i="2"/>
  <c r="C150" i="2" s="1"/>
  <c r="D150" i="2" s="1"/>
  <c r="E150" i="2" s="1"/>
  <c r="B86" i="2"/>
  <c r="C86" i="2" s="1"/>
  <c r="D86" i="2" s="1"/>
  <c r="E86" i="2" s="1"/>
  <c r="B22" i="2"/>
  <c r="C22" i="2" s="1"/>
  <c r="D22" i="2" s="1"/>
  <c r="E22" i="2" s="1"/>
  <c r="B157" i="2"/>
  <c r="C157" i="2" s="1"/>
  <c r="D157" i="2" s="1"/>
  <c r="E157" i="2" s="1"/>
  <c r="B85" i="2"/>
  <c r="C85" i="2" s="1"/>
  <c r="D85" i="2" s="1"/>
  <c r="E85" i="2" s="1"/>
  <c r="B53" i="2"/>
  <c r="C53" i="2" s="1"/>
  <c r="D53" i="2" s="1"/>
  <c r="E53" i="2" s="1"/>
  <c r="B371" i="2"/>
  <c r="C371" i="2" s="1"/>
  <c r="D371" i="2" s="1"/>
  <c r="E371" i="2" s="1"/>
  <c r="B323" i="2"/>
  <c r="C323" i="2" s="1"/>
  <c r="D323" i="2" s="1"/>
  <c r="E323" i="2" s="1"/>
  <c r="B477" i="2"/>
  <c r="C477" i="2" s="1"/>
  <c r="D477" i="2" s="1"/>
  <c r="E477" i="2" s="1"/>
  <c r="B422" i="2"/>
  <c r="C422" i="2" s="1"/>
  <c r="D422" i="2" s="1"/>
  <c r="E422" i="2" s="1"/>
  <c r="B175" i="2"/>
  <c r="C175" i="2" s="1"/>
  <c r="D175" i="2" s="1"/>
  <c r="E175" i="2" s="1"/>
  <c r="B99" i="2"/>
  <c r="C99" i="2" s="1"/>
  <c r="D99" i="2" s="1"/>
  <c r="E99" i="2" s="1"/>
  <c r="B35" i="2"/>
  <c r="C35" i="2" s="1"/>
  <c r="D35" i="2" s="1"/>
  <c r="E35" i="2" s="1"/>
  <c r="B179" i="2"/>
  <c r="C179" i="2" s="1"/>
  <c r="D179" i="2" s="1"/>
  <c r="E179" i="2" s="1"/>
  <c r="B352" i="2"/>
  <c r="C352" i="2" s="1"/>
  <c r="D352" i="2" s="1"/>
  <c r="E352" i="2" s="1"/>
  <c r="B192" i="2"/>
  <c r="C192" i="2" s="1"/>
  <c r="D192" i="2" s="1"/>
  <c r="E192" i="2" s="1"/>
  <c r="B112" i="2"/>
  <c r="C112" i="2" s="1"/>
  <c r="D112" i="2" s="1"/>
  <c r="E112" i="2" s="1"/>
  <c r="B48" i="2"/>
  <c r="C48" i="2" s="1"/>
  <c r="D48" i="2" s="1"/>
  <c r="E48" i="2" s="1"/>
  <c r="B370" i="2"/>
  <c r="C370" i="2" s="1"/>
  <c r="D370" i="2" s="1"/>
  <c r="E370" i="2" s="1"/>
  <c r="B311" i="2"/>
  <c r="C311" i="2" s="1"/>
  <c r="D311" i="2" s="1"/>
  <c r="E311" i="2" s="1"/>
  <c r="B122" i="2"/>
  <c r="C122" i="2" s="1"/>
  <c r="D122" i="2" s="1"/>
  <c r="E122" i="2" s="1"/>
  <c r="B90" i="2"/>
  <c r="C90" i="2" s="1"/>
  <c r="D90" i="2" s="1"/>
  <c r="E90" i="2" s="1"/>
  <c r="B26" i="2"/>
  <c r="C26" i="2" s="1"/>
  <c r="D26" i="2" s="1"/>
  <c r="E26" i="2" s="1"/>
  <c r="B337" i="2"/>
  <c r="C337" i="2" s="1"/>
  <c r="D337" i="2" s="1"/>
  <c r="E337" i="2" s="1"/>
  <c r="B165" i="2"/>
  <c r="C165" i="2" s="1"/>
  <c r="D165" i="2" s="1"/>
  <c r="E165" i="2" s="1"/>
  <c r="B97" i="2"/>
  <c r="C97" i="2" s="1"/>
  <c r="D97" i="2" s="1"/>
  <c r="E97" i="2" s="1"/>
  <c r="B33" i="2"/>
  <c r="C33" i="2" s="1"/>
  <c r="D33" i="2" s="1"/>
  <c r="E33" i="2" s="1"/>
  <c r="B363" i="2"/>
  <c r="C363" i="2" s="1"/>
  <c r="D363" i="2" s="1"/>
  <c r="E363" i="2" s="1"/>
  <c r="B299" i="2"/>
  <c r="C299" i="2" s="1"/>
  <c r="D299" i="2" s="1"/>
  <c r="E299" i="2" s="1"/>
  <c r="B111" i="2"/>
  <c r="C111" i="2" s="1"/>
  <c r="D111" i="2" s="1"/>
  <c r="E111" i="2" s="1"/>
  <c r="B47" i="2"/>
  <c r="C47" i="2" s="1"/>
  <c r="D47" i="2" s="1"/>
  <c r="E47" i="2" s="1"/>
  <c r="B195" i="2"/>
  <c r="C195" i="2" s="1"/>
  <c r="D195" i="2" s="1"/>
  <c r="E195" i="2" s="1"/>
  <c r="B332" i="2"/>
  <c r="C332" i="2" s="1"/>
  <c r="D332" i="2" s="1"/>
  <c r="E332" i="2" s="1"/>
  <c r="B300" i="2"/>
  <c r="C300" i="2" s="1"/>
  <c r="D300" i="2" s="1"/>
  <c r="E300" i="2" s="1"/>
  <c r="B124" i="2"/>
  <c r="C124" i="2" s="1"/>
  <c r="D124" i="2" s="1"/>
  <c r="E124" i="2" s="1"/>
  <c r="B92" i="2"/>
  <c r="C92" i="2" s="1"/>
  <c r="D92" i="2" s="1"/>
  <c r="E92" i="2" s="1"/>
  <c r="B60" i="2"/>
  <c r="C60" i="2" s="1"/>
  <c r="D60" i="2" s="1"/>
  <c r="E60" i="2" s="1"/>
  <c r="B28" i="2"/>
  <c r="C28" i="2" s="1"/>
  <c r="D28" i="2" s="1"/>
  <c r="E28" i="2" s="1"/>
  <c r="B378" i="2"/>
  <c r="C378" i="2" s="1"/>
  <c r="D378" i="2" s="1"/>
  <c r="E378" i="2" s="1"/>
  <c r="B362" i="2"/>
  <c r="C362" i="2" s="1"/>
  <c r="D362" i="2" s="1"/>
  <c r="E362" i="2" s="1"/>
  <c r="B330" i="2"/>
  <c r="C330" i="2" s="1"/>
  <c r="D330" i="2" s="1"/>
  <c r="E330" i="2" s="1"/>
  <c r="B298" i="2"/>
  <c r="C298" i="2" s="1"/>
  <c r="D298" i="2" s="1"/>
  <c r="E298" i="2" s="1"/>
  <c r="B142" i="2"/>
  <c r="C142" i="2" s="1"/>
  <c r="D142" i="2" s="1"/>
  <c r="E142" i="2" s="1"/>
  <c r="B110" i="2"/>
  <c r="C110" i="2" s="1"/>
  <c r="D110" i="2" s="1"/>
  <c r="E110" i="2" s="1"/>
  <c r="B78" i="2"/>
  <c r="C78" i="2" s="1"/>
  <c r="D78" i="2" s="1"/>
  <c r="E78" i="2" s="1"/>
  <c r="B46" i="2"/>
  <c r="C46" i="2" s="1"/>
  <c r="D46" i="2" s="1"/>
  <c r="E46" i="2" s="1"/>
  <c r="B14" i="2"/>
  <c r="C14" i="2" s="1"/>
  <c r="D14" i="2" s="1"/>
  <c r="E14" i="2" s="1"/>
  <c r="B194" i="2"/>
  <c r="C194" i="2" s="1"/>
  <c r="D194" i="2" s="1"/>
  <c r="E194" i="2" s="1"/>
  <c r="B365" i="2"/>
  <c r="C365" i="2" s="1"/>
  <c r="D365" i="2" s="1"/>
  <c r="E365" i="2" s="1"/>
  <c r="B333" i="2"/>
  <c r="C333" i="2" s="1"/>
  <c r="D333" i="2" s="1"/>
  <c r="E333" i="2" s="1"/>
  <c r="B301" i="2"/>
  <c r="C301" i="2" s="1"/>
  <c r="D301" i="2" s="1"/>
  <c r="E301" i="2" s="1"/>
  <c r="B149" i="2"/>
  <c r="C149" i="2" s="1"/>
  <c r="D149" i="2" s="1"/>
  <c r="E149" i="2" s="1"/>
  <c r="B117" i="2"/>
  <c r="C117" i="2" s="1"/>
  <c r="D117" i="2" s="1"/>
  <c r="E117" i="2" s="1"/>
  <c r="B77" i="2"/>
  <c r="C77" i="2" s="1"/>
  <c r="D77" i="2" s="1"/>
  <c r="E77" i="2" s="1"/>
  <c r="B45" i="2"/>
  <c r="C45" i="2" s="1"/>
  <c r="D45" i="2" s="1"/>
  <c r="E45" i="2" s="1"/>
  <c r="B13" i="2"/>
  <c r="C13" i="2" s="1"/>
  <c r="D13" i="2" s="1"/>
  <c r="E13" i="2" s="1"/>
  <c r="B176" i="2"/>
  <c r="C176" i="2" s="1"/>
  <c r="D176" i="2" s="1"/>
  <c r="E176" i="2" s="1"/>
  <c r="B350" i="2"/>
  <c r="C350" i="2" s="1"/>
  <c r="D350" i="2" s="1"/>
  <c r="E350" i="2" s="1"/>
  <c r="B222" i="2"/>
  <c r="C222" i="2" s="1"/>
  <c r="D222" i="2" s="1"/>
  <c r="E222" i="2" s="1"/>
  <c r="B286" i="2"/>
  <c r="C286" i="2" s="1"/>
  <c r="D286" i="2" s="1"/>
  <c r="E286" i="2" s="1"/>
  <c r="B254" i="2"/>
  <c r="C254" i="2" s="1"/>
  <c r="D254" i="2" s="1"/>
  <c r="E254" i="2" s="1"/>
  <c r="B209" i="2"/>
  <c r="C209" i="2" s="1"/>
  <c r="D209" i="2" s="1"/>
  <c r="E209" i="2" s="1"/>
  <c r="B273" i="2"/>
  <c r="C273" i="2" s="1"/>
  <c r="D273" i="2" s="1"/>
  <c r="E273" i="2" s="1"/>
  <c r="B255" i="2"/>
  <c r="C255" i="2" s="1"/>
  <c r="D255" i="2" s="1"/>
  <c r="E255" i="2" s="1"/>
  <c r="B272" i="2"/>
  <c r="C272" i="2" s="1"/>
  <c r="D272" i="2" s="1"/>
  <c r="E272" i="2" s="1"/>
  <c r="B238" i="2"/>
  <c r="C238" i="2" s="1"/>
  <c r="D238" i="2" s="1"/>
  <c r="E238" i="2" s="1"/>
  <c r="B244" i="2"/>
  <c r="C244" i="2" s="1"/>
  <c r="D244" i="2" s="1"/>
  <c r="E244" i="2" s="1"/>
  <c r="B245" i="2"/>
  <c r="C245" i="2" s="1"/>
  <c r="D245" i="2" s="1"/>
  <c r="E245" i="2" s="1"/>
  <c r="B227" i="2"/>
  <c r="C227" i="2" s="1"/>
  <c r="D227" i="2" s="1"/>
  <c r="E227" i="2" s="1"/>
  <c r="B291" i="2"/>
  <c r="C291" i="2" s="1"/>
  <c r="D291" i="2" s="1"/>
  <c r="E291" i="2" s="1"/>
  <c r="B206" i="2"/>
  <c r="C206" i="2" s="1"/>
  <c r="D206" i="2" s="1"/>
  <c r="E206" i="2" s="1"/>
  <c r="B278" i="2"/>
  <c r="C278" i="2" s="1"/>
  <c r="D278" i="2" s="1"/>
  <c r="E278" i="2" s="1"/>
  <c r="B285" i="2"/>
  <c r="C285" i="2" s="1"/>
  <c r="D285" i="2" s="1"/>
  <c r="E285" i="2" s="1"/>
  <c r="B249" i="2"/>
  <c r="C249" i="2" s="1"/>
  <c r="D249" i="2" s="1"/>
  <c r="E249" i="2" s="1"/>
  <c r="B231" i="2"/>
  <c r="C231" i="2" s="1"/>
  <c r="D231" i="2" s="1"/>
  <c r="E231" i="2" s="1"/>
  <c r="B204" i="2"/>
  <c r="C204" i="2" s="1"/>
  <c r="D204" i="2" s="1"/>
  <c r="E204" i="2" s="1"/>
  <c r="B210" i="2"/>
  <c r="C210" i="2" s="1"/>
  <c r="D210" i="2" s="1"/>
  <c r="E210" i="2" s="1"/>
  <c r="B282" i="2"/>
  <c r="C282" i="2" s="1"/>
  <c r="D282" i="2" s="1"/>
  <c r="E282" i="2" s="1"/>
  <c r="B205" i="2"/>
  <c r="C205" i="2" s="1"/>
  <c r="D205" i="2" s="1"/>
  <c r="E205" i="2" s="1"/>
  <c r="B269" i="2"/>
  <c r="C269" i="2" s="1"/>
  <c r="D269" i="2" s="1"/>
  <c r="E269" i="2" s="1"/>
  <c r="B251" i="2"/>
  <c r="C251" i="2" s="1"/>
  <c r="D251" i="2" s="1"/>
  <c r="E251" i="2" s="1"/>
  <c r="B260" i="2"/>
  <c r="C260" i="2" s="1"/>
  <c r="D260" i="2" s="1"/>
  <c r="E260" i="2" s="1"/>
  <c r="B234" i="2"/>
  <c r="C234" i="2" s="1"/>
  <c r="D234" i="2" s="1"/>
  <c r="E234" i="2" s="1"/>
  <c r="B232" i="2"/>
  <c r="C232" i="2" s="1"/>
  <c r="D232" i="2" s="1"/>
  <c r="E232" i="2" s="1"/>
  <c r="B257" i="2"/>
  <c r="C257" i="2" s="1"/>
  <c r="D257" i="2" s="1"/>
  <c r="E257" i="2" s="1"/>
  <c r="B225" i="2"/>
  <c r="C225" i="2" s="1"/>
  <c r="D225" i="2" s="1"/>
  <c r="E225" i="2" s="1"/>
  <c r="B207" i="2"/>
  <c r="C207" i="2" s="1"/>
  <c r="D207" i="2" s="1"/>
  <c r="E207" i="2" s="1"/>
  <c r="B271" i="2"/>
  <c r="C271" i="2" s="1"/>
  <c r="D271" i="2" s="1"/>
  <c r="E271" i="2" s="1"/>
  <c r="B212" i="2"/>
  <c r="C212" i="2" s="1"/>
  <c r="D212" i="2" s="1"/>
  <c r="E212" i="2" s="1"/>
  <c r="B258" i="2"/>
  <c r="C258" i="2" s="1"/>
  <c r="D258" i="2" s="1"/>
  <c r="E258" i="2" s="1"/>
  <c r="B276" i="2"/>
  <c r="C276" i="2" s="1"/>
  <c r="D276" i="2" s="1"/>
  <c r="E276" i="2" s="1"/>
  <c r="B261" i="2"/>
  <c r="C261" i="2" s="1"/>
  <c r="D261" i="2" s="1"/>
  <c r="E261" i="2" s="1"/>
  <c r="B243" i="2"/>
  <c r="C243" i="2" s="1"/>
  <c r="D243" i="2" s="1"/>
  <c r="E243" i="2" s="1"/>
  <c r="B240" i="2"/>
  <c r="C240" i="2" s="1"/>
  <c r="D240" i="2" s="1"/>
  <c r="E240" i="2" s="1"/>
  <c r="B226" i="2"/>
  <c r="C226" i="2" s="1"/>
  <c r="D226" i="2" s="1"/>
  <c r="E226" i="2" s="1"/>
  <c r="B216" i="2"/>
  <c r="C216" i="2" s="1"/>
  <c r="D216" i="2" s="1"/>
  <c r="E216" i="2" s="1"/>
  <c r="B201" i="2"/>
  <c r="C201" i="2" s="1"/>
  <c r="D201" i="2" s="1"/>
  <c r="E201" i="2" s="1"/>
  <c r="B265" i="2"/>
  <c r="C265" i="2" s="1"/>
  <c r="D265" i="2" s="1"/>
  <c r="E265" i="2" s="1"/>
  <c r="B247" i="2"/>
  <c r="C247" i="2" s="1"/>
  <c r="D247" i="2" s="1"/>
  <c r="E247" i="2" s="1"/>
  <c r="B248" i="2"/>
  <c r="C248" i="2" s="1"/>
  <c r="D248" i="2" s="1"/>
  <c r="E248" i="2" s="1"/>
  <c r="B230" i="2"/>
  <c r="C230" i="2" s="1"/>
  <c r="D230" i="2" s="1"/>
  <c r="E230" i="2" s="1"/>
  <c r="B224" i="2"/>
  <c r="C224" i="2" s="1"/>
  <c r="D224" i="2" s="1"/>
  <c r="E224" i="2" s="1"/>
  <c r="B221" i="2"/>
  <c r="C221" i="2" s="1"/>
  <c r="D221" i="2" s="1"/>
  <c r="E221" i="2" s="1"/>
  <c r="B203" i="2"/>
  <c r="C203" i="2" s="1"/>
  <c r="D203" i="2" s="1"/>
  <c r="E203" i="2" s="1"/>
  <c r="B267" i="2"/>
  <c r="C267" i="2" s="1"/>
  <c r="D267" i="2" s="1"/>
  <c r="E267" i="2" s="1"/>
  <c r="B200" i="2"/>
  <c r="C200" i="2" s="1"/>
  <c r="D200" i="2" s="1"/>
  <c r="E200" i="2" s="1"/>
  <c r="B250" i="2"/>
  <c r="C250" i="2" s="1"/>
  <c r="D250" i="2" s="1"/>
  <c r="E250" i="2" s="1"/>
  <c r="B264" i="2"/>
  <c r="C264" i="2" s="1"/>
  <c r="D264" i="2" s="1"/>
  <c r="E264" i="2" s="1"/>
  <c r="B241" i="2"/>
  <c r="C241" i="2" s="1"/>
  <c r="D241" i="2" s="1"/>
  <c r="E241" i="2" s="1"/>
  <c r="B223" i="2"/>
  <c r="C223" i="2" s="1"/>
  <c r="D223" i="2" s="1"/>
  <c r="E223" i="2" s="1"/>
  <c r="B287" i="2"/>
  <c r="C287" i="2" s="1"/>
  <c r="D287" i="2" s="1"/>
  <c r="E287" i="2" s="1"/>
  <c r="B202" i="2"/>
  <c r="C202" i="2" s="1"/>
  <c r="D202" i="2" s="1"/>
  <c r="E202" i="2" s="1"/>
  <c r="B274" i="2"/>
  <c r="C274" i="2" s="1"/>
  <c r="D274" i="2" s="1"/>
  <c r="E274" i="2" s="1"/>
  <c r="B213" i="2"/>
  <c r="C213" i="2" s="1"/>
  <c r="D213" i="2" s="1"/>
  <c r="E213" i="2" s="1"/>
  <c r="B277" i="2"/>
  <c r="C277" i="2" s="1"/>
  <c r="D277" i="2" s="1"/>
  <c r="E277" i="2" s="1"/>
  <c r="B259" i="2"/>
  <c r="C259" i="2" s="1"/>
  <c r="D259" i="2" s="1"/>
  <c r="E259" i="2" s="1"/>
  <c r="B280" i="2"/>
  <c r="C280" i="2" s="1"/>
  <c r="D280" i="2" s="1"/>
  <c r="E280" i="2" s="1"/>
  <c r="B242" i="2"/>
  <c r="C242" i="2" s="1"/>
  <c r="D242" i="2" s="1"/>
  <c r="E242" i="2" s="1"/>
  <c r="B252" i="2"/>
  <c r="C252" i="2" s="1"/>
  <c r="D252" i="2" s="1"/>
  <c r="E252" i="2" s="1"/>
  <c r="B217" i="2"/>
  <c r="C217" i="2" s="1"/>
  <c r="D217" i="2" s="1"/>
  <c r="E217" i="2" s="1"/>
  <c r="B199" i="2"/>
  <c r="C199" i="2" s="1"/>
  <c r="D199" i="2" s="1"/>
  <c r="E199" i="2" s="1"/>
  <c r="B263" i="2"/>
  <c r="C263" i="2" s="1"/>
  <c r="D263" i="2" s="1"/>
  <c r="E263" i="2" s="1"/>
  <c r="B292" i="2"/>
  <c r="C292" i="2" s="1"/>
  <c r="D292" i="2" s="1"/>
  <c r="E292" i="2" s="1"/>
  <c r="B246" i="2"/>
  <c r="C246" i="2" s="1"/>
  <c r="D246" i="2" s="1"/>
  <c r="E246" i="2" s="1"/>
  <c r="B256" i="2"/>
  <c r="C256" i="2" s="1"/>
  <c r="D256" i="2" s="1"/>
  <c r="E256" i="2" s="1"/>
  <c r="B237" i="2"/>
  <c r="C237" i="2" s="1"/>
  <c r="D237" i="2" s="1"/>
  <c r="E237" i="2" s="1"/>
  <c r="B219" i="2"/>
  <c r="C219" i="2" s="1"/>
  <c r="D219" i="2" s="1"/>
  <c r="E219" i="2" s="1"/>
  <c r="B283" i="2"/>
  <c r="C283" i="2" s="1"/>
  <c r="D283" i="2" s="1"/>
  <c r="E283" i="2" s="1"/>
  <c r="B198" i="2"/>
  <c r="C198" i="2" s="1"/>
  <c r="D198" i="2" s="1"/>
  <c r="E198" i="2" s="1"/>
  <c r="B270" i="2"/>
  <c r="C270" i="2" s="1"/>
  <c r="D270" i="2" s="1"/>
  <c r="E270" i="2" s="1"/>
  <c r="B281" i="2"/>
  <c r="C281" i="2" s="1"/>
  <c r="D281" i="2" s="1"/>
  <c r="E281" i="2" s="1"/>
  <c r="B239" i="2"/>
  <c r="C239" i="2" s="1"/>
  <c r="D239" i="2" s="1"/>
  <c r="E239" i="2" s="1"/>
  <c r="B228" i="2"/>
  <c r="C228" i="2" s="1"/>
  <c r="D228" i="2" s="1"/>
  <c r="E228" i="2" s="1"/>
  <c r="B218" i="2"/>
  <c r="C218" i="2" s="1"/>
  <c r="D218" i="2" s="1"/>
  <c r="E218" i="2" s="1"/>
  <c r="B208" i="2"/>
  <c r="C208" i="2" s="1"/>
  <c r="D208" i="2" s="1"/>
  <c r="E208" i="2" s="1"/>
  <c r="B229" i="2"/>
  <c r="C229" i="2" s="1"/>
  <c r="D229" i="2" s="1"/>
  <c r="E229" i="2" s="1"/>
  <c r="B211" i="2"/>
  <c r="C211" i="2" s="1"/>
  <c r="D211" i="2" s="1"/>
  <c r="E211" i="2" s="1"/>
  <c r="B275" i="2"/>
  <c r="C275" i="2" s="1"/>
  <c r="D275" i="2" s="1"/>
  <c r="E275" i="2" s="1"/>
  <c r="B236" i="2"/>
  <c r="C236" i="2" s="1"/>
  <c r="D236" i="2" s="1"/>
  <c r="E236" i="2" s="1"/>
  <c r="B262" i="2"/>
  <c r="C262" i="2" s="1"/>
  <c r="D262" i="2" s="1"/>
  <c r="E262" i="2" s="1"/>
  <c r="B284" i="2"/>
  <c r="C284" i="2" s="1"/>
  <c r="D284" i="2" s="1"/>
  <c r="E284" i="2" s="1"/>
  <c r="B233" i="2"/>
  <c r="C233" i="2" s="1"/>
  <c r="D233" i="2" s="1"/>
  <c r="E233" i="2" s="1"/>
  <c r="B215" i="2"/>
  <c r="C215" i="2" s="1"/>
  <c r="D215" i="2" s="1"/>
  <c r="E215" i="2" s="1"/>
  <c r="B279" i="2"/>
  <c r="C279" i="2" s="1"/>
  <c r="D279" i="2" s="1"/>
  <c r="E279" i="2" s="1"/>
  <c r="B268" i="2"/>
  <c r="C268" i="2" s="1"/>
  <c r="D268" i="2" s="1"/>
  <c r="E268" i="2" s="1"/>
  <c r="B266" i="2"/>
  <c r="C266" i="2" s="1"/>
  <c r="D266" i="2" s="1"/>
  <c r="E266" i="2" s="1"/>
  <c r="B288" i="2"/>
  <c r="C288" i="2" s="1"/>
  <c r="D288" i="2" s="1"/>
  <c r="E288" i="2" s="1"/>
  <c r="B253" i="2"/>
  <c r="C253" i="2" s="1"/>
  <c r="D253" i="2" s="1"/>
  <c r="E253" i="2" s="1"/>
  <c r="B235" i="2"/>
  <c r="C235" i="2" s="1"/>
  <c r="D235" i="2" s="1"/>
  <c r="E235" i="2" s="1"/>
  <c r="B220" i="2"/>
  <c r="C220" i="2" s="1"/>
  <c r="D220" i="2" s="1"/>
  <c r="E220" i="2" s="1"/>
  <c r="B214" i="2"/>
  <c r="C214" i="2" s="1"/>
  <c r="D214" i="2" s="1"/>
  <c r="E214" i="2" s="1"/>
  <c r="B290" i="2"/>
  <c r="C290" i="2" s="1"/>
  <c r="D290" i="2" s="1"/>
  <c r="E290" i="2" s="1"/>
  <c r="B289" i="2"/>
  <c r="C289" i="2" s="1"/>
  <c r="D289" i="2" s="1"/>
  <c r="E289" i="2" s="1"/>
  <c r="B398" i="2"/>
  <c r="C398" i="2" s="1"/>
  <c r="D398" i="2" s="1"/>
  <c r="E398" i="2" s="1"/>
  <c r="B466" i="2"/>
  <c r="C466" i="2" s="1"/>
  <c r="D466" i="2" s="1"/>
  <c r="E466" i="2" s="1"/>
  <c r="B444" i="2"/>
  <c r="C444" i="2" s="1"/>
  <c r="D444" i="2" s="1"/>
  <c r="E444" i="2" s="1"/>
  <c r="B455" i="2"/>
  <c r="C455" i="2" s="1"/>
  <c r="D455" i="2" s="1"/>
  <c r="E455" i="2" s="1"/>
  <c r="B155" i="2"/>
  <c r="C155" i="2" s="1"/>
  <c r="D155" i="2" s="1"/>
  <c r="E155" i="2" s="1"/>
  <c r="B123" i="2"/>
  <c r="C123" i="2" s="1"/>
  <c r="D123" i="2" s="1"/>
  <c r="E123" i="2" s="1"/>
  <c r="B91" i="2"/>
  <c r="C91" i="2" s="1"/>
  <c r="D91" i="2" s="1"/>
  <c r="E91" i="2" s="1"/>
  <c r="B59" i="2"/>
  <c r="C59" i="2" s="1"/>
  <c r="D59" i="2" s="1"/>
  <c r="E59" i="2" s="1"/>
  <c r="B27" i="2"/>
  <c r="C27" i="2" s="1"/>
  <c r="D27" i="2" s="1"/>
  <c r="E27" i="2" s="1"/>
  <c r="B380" i="2"/>
  <c r="C380" i="2" s="1"/>
  <c r="D380" i="2" s="1"/>
  <c r="E380" i="2" s="1"/>
  <c r="B167" i="2"/>
  <c r="C167" i="2" s="1"/>
  <c r="D167" i="2" s="1"/>
  <c r="E167" i="2" s="1"/>
  <c r="B344" i="2"/>
  <c r="C344" i="2" s="1"/>
  <c r="D344" i="2" s="1"/>
  <c r="E344" i="2" s="1"/>
  <c r="B312" i="2"/>
  <c r="C312" i="2" s="1"/>
  <c r="D312" i="2" s="1"/>
  <c r="E312" i="2" s="1"/>
  <c r="B180" i="2"/>
  <c r="C180" i="2" s="1"/>
  <c r="D180" i="2" s="1"/>
  <c r="E180" i="2" s="1"/>
  <c r="B136" i="2"/>
  <c r="C136" i="2" s="1"/>
  <c r="D136" i="2" s="1"/>
  <c r="E136" i="2" s="1"/>
  <c r="B104" i="2"/>
  <c r="C104" i="2" s="1"/>
  <c r="D104" i="2" s="1"/>
  <c r="E104" i="2" s="1"/>
  <c r="B72" i="2"/>
  <c r="C72" i="2" s="1"/>
  <c r="D72" i="2" s="1"/>
  <c r="E72" i="2" s="1"/>
  <c r="B40" i="2"/>
  <c r="C40" i="2" s="1"/>
  <c r="D40" i="2" s="1"/>
  <c r="E40" i="2" s="1"/>
  <c r="B8" i="2"/>
  <c r="C8" i="2" s="1"/>
  <c r="D8" i="2" s="1"/>
  <c r="E8" i="2" s="1"/>
  <c r="B177" i="2"/>
  <c r="C177" i="2" s="1"/>
  <c r="D177" i="2" s="1"/>
  <c r="E177" i="2" s="1"/>
  <c r="B338" i="2"/>
  <c r="C338" i="2" s="1"/>
  <c r="D338" i="2" s="1"/>
  <c r="E338" i="2" s="1"/>
  <c r="B146" i="2"/>
  <c r="C146" i="2" s="1"/>
  <c r="D146" i="2" s="1"/>
  <c r="E146" i="2" s="1"/>
  <c r="B114" i="2"/>
  <c r="C114" i="2" s="1"/>
  <c r="D114" i="2" s="1"/>
  <c r="E114" i="2" s="1"/>
  <c r="B82" i="2"/>
  <c r="C82" i="2" s="1"/>
  <c r="D82" i="2" s="1"/>
  <c r="E82" i="2" s="1"/>
  <c r="B50" i="2"/>
  <c r="C50" i="2" s="1"/>
  <c r="D50" i="2" s="1"/>
  <c r="E50" i="2" s="1"/>
  <c r="B18" i="2"/>
  <c r="C18" i="2" s="1"/>
  <c r="D18" i="2" s="1"/>
  <c r="E18" i="2" s="1"/>
  <c r="B190" i="2"/>
  <c r="C190" i="2" s="1"/>
  <c r="D190" i="2" s="1"/>
  <c r="E190" i="2" s="1"/>
  <c r="B361" i="2"/>
  <c r="C361" i="2" s="1"/>
  <c r="D361" i="2" s="1"/>
  <c r="E361" i="2" s="1"/>
  <c r="B329" i="2"/>
  <c r="C329" i="2" s="1"/>
  <c r="D329" i="2" s="1"/>
  <c r="E329" i="2" s="1"/>
  <c r="B297" i="2"/>
  <c r="C297" i="2" s="1"/>
  <c r="D297" i="2" s="1"/>
  <c r="E297" i="2" s="1"/>
  <c r="B153" i="2"/>
  <c r="C153" i="2" s="1"/>
  <c r="D153" i="2" s="1"/>
  <c r="E153" i="2" s="1"/>
  <c r="B121" i="2"/>
  <c r="C121" i="2" s="1"/>
  <c r="D121" i="2" s="1"/>
  <c r="E121" i="2" s="1"/>
  <c r="B89" i="2"/>
  <c r="C89" i="2" s="1"/>
  <c r="D89" i="2" s="1"/>
  <c r="E89" i="2" s="1"/>
  <c r="B57" i="2"/>
  <c r="C57" i="2" s="1"/>
  <c r="D57" i="2" s="1"/>
  <c r="E57" i="2" s="1"/>
  <c r="B25" i="2"/>
  <c r="C25" i="2" s="1"/>
  <c r="D25" i="2" s="1"/>
  <c r="E25" i="2" s="1"/>
  <c r="B374" i="2"/>
  <c r="C374" i="2" s="1"/>
  <c r="D374" i="2" s="1"/>
  <c r="E374" i="2" s="1"/>
  <c r="B358" i="2"/>
  <c r="C358" i="2" s="1"/>
  <c r="D358" i="2" s="1"/>
  <c r="E358" i="2" s="1"/>
  <c r="B326" i="2"/>
  <c r="C326" i="2" s="1"/>
  <c r="D326" i="2" s="1"/>
  <c r="E326" i="2" s="1"/>
  <c r="B187" i="2"/>
  <c r="C187" i="2" s="1"/>
  <c r="D187" i="2" s="1"/>
  <c r="E187" i="2" s="1"/>
  <c r="B135" i="2"/>
  <c r="C135" i="2" s="1"/>
  <c r="D135" i="2" s="1"/>
  <c r="E135" i="2" s="1"/>
  <c r="B6" i="2"/>
  <c r="C6" i="2" s="1"/>
  <c r="D6" i="2" s="1"/>
  <c r="E6" i="2" s="1"/>
  <c r="B71" i="2"/>
  <c r="C71" i="2" s="1"/>
  <c r="D71" i="2" s="1"/>
  <c r="E71" i="2" s="1"/>
  <c r="B39" i="2"/>
  <c r="C39" i="2" s="1"/>
  <c r="D39" i="2" s="1"/>
  <c r="E39" i="2" s="1"/>
  <c r="B295" i="2"/>
  <c r="C295" i="2" s="1"/>
  <c r="D295" i="2" s="1"/>
  <c r="E295" i="2" s="1"/>
  <c r="B183" i="2"/>
  <c r="C183" i="2" s="1"/>
  <c r="D183" i="2" s="1"/>
  <c r="E183" i="2" s="1"/>
  <c r="B356" i="2"/>
  <c r="C356" i="2" s="1"/>
  <c r="D356" i="2" s="1"/>
  <c r="E356" i="2" s="1"/>
  <c r="B324" i="2"/>
  <c r="C324" i="2" s="1"/>
  <c r="D324" i="2" s="1"/>
  <c r="E324" i="2" s="1"/>
  <c r="B196" i="2"/>
  <c r="C196" i="2" s="1"/>
  <c r="D196" i="2" s="1"/>
  <c r="E196" i="2" s="1"/>
  <c r="B148" i="2"/>
  <c r="C148" i="2" s="1"/>
  <c r="D148" i="2" s="1"/>
  <c r="E148" i="2" s="1"/>
  <c r="B116" i="2"/>
  <c r="C116" i="2" s="1"/>
  <c r="D116" i="2" s="1"/>
  <c r="E116" i="2" s="1"/>
  <c r="B84" i="2"/>
  <c r="C84" i="2" s="1"/>
  <c r="D84" i="2" s="1"/>
  <c r="E84" i="2" s="1"/>
  <c r="B52" i="2"/>
  <c r="C52" i="2" s="1"/>
  <c r="D52" i="2" s="1"/>
  <c r="E52" i="2" s="1"/>
  <c r="B20" i="2"/>
  <c r="C20" i="2" s="1"/>
  <c r="D20" i="2" s="1"/>
  <c r="E20" i="2" s="1"/>
  <c r="B189" i="2"/>
  <c r="C189" i="2" s="1"/>
  <c r="D189" i="2" s="1"/>
  <c r="E189" i="2" s="1"/>
  <c r="B351" i="2"/>
  <c r="C351" i="2" s="1"/>
  <c r="D351" i="2" s="1"/>
  <c r="E351" i="2" s="1"/>
  <c r="B319" i="2"/>
  <c r="C319" i="2" s="1"/>
  <c r="D319" i="2" s="1"/>
  <c r="E319" i="2" s="1"/>
  <c r="B186" i="2"/>
  <c r="C186" i="2" s="1"/>
  <c r="D186" i="2" s="1"/>
  <c r="E186" i="2" s="1"/>
  <c r="B134" i="2"/>
  <c r="C134" i="2" s="1"/>
  <c r="D134" i="2" s="1"/>
  <c r="E134" i="2" s="1"/>
  <c r="B7" i="2"/>
  <c r="C7" i="2" s="1"/>
  <c r="D7" i="2" s="1"/>
  <c r="E7" i="2" s="1"/>
  <c r="B70" i="2"/>
  <c r="C70" i="2" s="1"/>
  <c r="D70" i="2" s="1"/>
  <c r="E70" i="2" s="1"/>
  <c r="B38" i="2"/>
  <c r="C38" i="2" s="1"/>
  <c r="D38" i="2" s="1"/>
  <c r="E38" i="2" s="1"/>
  <c r="B294" i="2"/>
  <c r="C294" i="2" s="1"/>
  <c r="D294" i="2" s="1"/>
  <c r="E294" i="2" s="1"/>
  <c r="B182" i="2"/>
  <c r="C182" i="2" s="1"/>
  <c r="D182" i="2" s="1"/>
  <c r="E182" i="2" s="1"/>
  <c r="B357" i="2"/>
  <c r="C357" i="2" s="1"/>
  <c r="D357" i="2" s="1"/>
  <c r="E357" i="2" s="1"/>
  <c r="B325" i="2"/>
  <c r="C325" i="2" s="1"/>
  <c r="D325" i="2" s="1"/>
  <c r="E325" i="2" s="1"/>
  <c r="B185" i="2"/>
  <c r="C185" i="2" s="1"/>
  <c r="D185" i="2" s="1"/>
  <c r="E185" i="2" s="1"/>
  <c r="B141" i="2"/>
  <c r="C141" i="2" s="1"/>
  <c r="D141" i="2" s="1"/>
  <c r="E141" i="2" s="1"/>
  <c r="B109" i="2"/>
  <c r="C109" i="2" s="1"/>
  <c r="D109" i="2" s="1"/>
  <c r="E109" i="2" s="1"/>
  <c r="B69" i="2"/>
  <c r="C69" i="2" s="1"/>
  <c r="D69" i="2" s="1"/>
  <c r="E69" i="2" s="1"/>
  <c r="B37" i="2"/>
  <c r="C37" i="2" s="1"/>
  <c r="D37" i="2" s="1"/>
  <c r="E37" i="2" s="1"/>
  <c r="B387" i="2"/>
  <c r="C387" i="2" s="1"/>
  <c r="D387" i="2" s="1"/>
  <c r="E387" i="2" s="1"/>
  <c r="B160" i="2"/>
  <c r="C160" i="2" s="1"/>
  <c r="D160" i="2" s="1"/>
  <c r="E160" i="2" s="1"/>
  <c r="B339" i="2"/>
  <c r="C339" i="2" s="1"/>
  <c r="D339" i="2" s="1"/>
  <c r="E339" i="2" s="1"/>
  <c r="B101" i="2"/>
  <c r="C101" i="2" s="1"/>
  <c r="D101" i="2" s="1"/>
  <c r="E101" i="2" s="1"/>
  <c r="B174" i="2"/>
  <c r="C174" i="2" s="1"/>
  <c r="D174" i="2" s="1"/>
  <c r="E174" i="2" s="1"/>
  <c r="B98" i="2"/>
  <c r="C98" i="2" s="1"/>
  <c r="D98" i="2" s="1"/>
  <c r="E98" i="2" s="1"/>
  <c r="B181" i="2"/>
  <c r="C181" i="2" s="1"/>
  <c r="D181" i="2" s="1"/>
  <c r="E181" i="2" s="1"/>
  <c r="B105" i="2"/>
  <c r="C105" i="2" s="1"/>
  <c r="D105" i="2" s="1"/>
  <c r="E105" i="2" s="1"/>
  <c r="B9" i="2"/>
  <c r="C9" i="2" s="1"/>
  <c r="D9" i="2" s="1"/>
  <c r="E9" i="2" s="1"/>
  <c r="B151" i="2"/>
  <c r="C151" i="2" s="1"/>
  <c r="D151" i="2" s="1"/>
  <c r="E151" i="2" s="1"/>
  <c r="B55" i="2"/>
  <c r="C55" i="2" s="1"/>
  <c r="D55" i="2" s="1"/>
  <c r="E55" i="2" s="1"/>
  <c r="B376" i="2"/>
  <c r="C376" i="2" s="1"/>
  <c r="D376" i="2" s="1"/>
  <c r="E376" i="2" s="1"/>
  <c r="B340" i="2"/>
  <c r="C340" i="2" s="1"/>
  <c r="D340" i="2" s="1"/>
  <c r="E340" i="2" s="1"/>
  <c r="B172" i="2"/>
  <c r="C172" i="2" s="1"/>
  <c r="D172" i="2" s="1"/>
  <c r="E172" i="2" s="1"/>
  <c r="B100" i="2"/>
  <c r="C100" i="2" s="1"/>
  <c r="D100" i="2" s="1"/>
  <c r="E100" i="2" s="1"/>
  <c r="B36" i="2"/>
  <c r="C36" i="2" s="1"/>
  <c r="D36" i="2" s="1"/>
  <c r="E36" i="2" s="1"/>
  <c r="B303" i="2"/>
  <c r="C303" i="2" s="1"/>
  <c r="D303" i="2" s="1"/>
  <c r="E303" i="2" s="1"/>
  <c r="B118" i="2"/>
  <c r="C118" i="2" s="1"/>
  <c r="D118" i="2" s="1"/>
  <c r="E118" i="2" s="1"/>
  <c r="B54" i="2"/>
  <c r="C54" i="2" s="1"/>
  <c r="D54" i="2" s="1"/>
  <c r="E54" i="2" s="1"/>
  <c r="B377" i="2"/>
  <c r="C377" i="2" s="1"/>
  <c r="D377" i="2" s="1"/>
  <c r="E377" i="2" s="1"/>
  <c r="B158" i="2"/>
  <c r="C158" i="2" s="1"/>
  <c r="D158" i="2" s="1"/>
  <c r="E158" i="2" s="1"/>
  <c r="B309" i="2"/>
  <c r="C309" i="2" s="1"/>
  <c r="D309" i="2" s="1"/>
  <c r="E309" i="2" s="1"/>
  <c r="B125" i="2"/>
  <c r="C125" i="2" s="1"/>
  <c r="D125" i="2" s="1"/>
  <c r="E125" i="2" s="1"/>
  <c r="B21" i="2"/>
  <c r="C21" i="2" s="1"/>
  <c r="D21" i="2" s="1"/>
  <c r="E21" i="2" s="1"/>
  <c r="B389" i="2"/>
  <c r="C389" i="2" s="1"/>
  <c r="D389" i="2" s="1"/>
  <c r="E389" i="2" s="1"/>
  <c r="B420" i="2"/>
  <c r="C420" i="2" s="1"/>
  <c r="D420" i="2" s="1"/>
  <c r="E420" i="2" s="1"/>
  <c r="B483" i="2"/>
  <c r="C483" i="2" s="1"/>
  <c r="D483" i="2" s="1"/>
  <c r="E483" i="2" s="1"/>
  <c r="B445" i="2"/>
  <c r="C445" i="2" s="1"/>
  <c r="D445" i="2" s="1"/>
  <c r="E445" i="2" s="1"/>
  <c r="B131" i="2"/>
  <c r="C131" i="2" s="1"/>
  <c r="D131" i="2" s="1"/>
  <c r="E131" i="2" s="1"/>
  <c r="B67" i="2"/>
  <c r="C67" i="2" s="1"/>
  <c r="D67" i="2" s="1"/>
  <c r="E67" i="2" s="1"/>
  <c r="B388" i="2"/>
  <c r="C388" i="2" s="1"/>
  <c r="D388" i="2" s="1"/>
  <c r="E388" i="2" s="1"/>
  <c r="B144" i="2"/>
  <c r="C144" i="2" s="1"/>
  <c r="D144" i="2" s="1"/>
  <c r="E144" i="2" s="1"/>
  <c r="B80" i="2"/>
  <c r="C80" i="2" s="1"/>
  <c r="D80" i="2" s="1"/>
  <c r="E80" i="2" s="1"/>
  <c r="B16" i="2"/>
  <c r="C16" i="2" s="1"/>
  <c r="D16" i="2" s="1"/>
  <c r="E16" i="2" s="1"/>
  <c r="B343" i="2"/>
  <c r="C343" i="2" s="1"/>
  <c r="D343" i="2" s="1"/>
  <c r="E343" i="2" s="1"/>
  <c r="B154" i="2"/>
  <c r="C154" i="2" s="1"/>
  <c r="D154" i="2" s="1"/>
  <c r="E154" i="2" s="1"/>
  <c r="B58" i="2"/>
  <c r="C58" i="2" s="1"/>
  <c r="D58" i="2" s="1"/>
  <c r="E58" i="2" s="1"/>
  <c r="B373" i="2"/>
  <c r="C373" i="2" s="1"/>
  <c r="D373" i="2" s="1"/>
  <c r="E373" i="2" s="1"/>
  <c r="B369" i="2"/>
  <c r="C369" i="2" s="1"/>
  <c r="D369" i="2" s="1"/>
  <c r="E369" i="2" s="1"/>
  <c r="B129" i="2"/>
  <c r="C129" i="2" s="1"/>
  <c r="D129" i="2" s="1"/>
  <c r="E129" i="2" s="1"/>
  <c r="B65" i="2"/>
  <c r="C65" i="2" s="1"/>
  <c r="D65" i="2" s="1"/>
  <c r="E65" i="2" s="1"/>
  <c r="B379" i="2"/>
  <c r="C379" i="2" s="1"/>
  <c r="D379" i="2" s="1"/>
  <c r="E379" i="2" s="1"/>
  <c r="B331" i="2"/>
  <c r="C331" i="2" s="1"/>
  <c r="D331" i="2" s="1"/>
  <c r="E331" i="2" s="1"/>
  <c r="B143" i="2"/>
  <c r="C143" i="2" s="1"/>
  <c r="D143" i="2" s="1"/>
  <c r="E143" i="2" s="1"/>
  <c r="B79" i="2"/>
  <c r="C79" i="2" s="1"/>
  <c r="D79" i="2" s="1"/>
  <c r="E79" i="2" s="1"/>
  <c r="B15" i="2"/>
  <c r="C15" i="2" s="1"/>
  <c r="D15" i="2" s="1"/>
  <c r="E15" i="2" s="1"/>
  <c r="B364" i="2"/>
  <c r="C364" i="2" s="1"/>
  <c r="D364" i="2" s="1"/>
  <c r="E364" i="2" s="1"/>
  <c r="B156" i="2"/>
  <c r="C156" i="2" s="1"/>
  <c r="D156" i="2" s="1"/>
  <c r="E156" i="2" s="1"/>
  <c r="B318" i="2"/>
  <c r="C318" i="2" s="1"/>
  <c r="D318" i="2" s="1"/>
  <c r="E318" i="2" s="1"/>
  <c r="B197" i="2"/>
  <c r="C197" i="2" s="1"/>
  <c r="D197" i="2" s="1"/>
  <c r="E197" i="2" s="1"/>
  <c r="B403" i="2"/>
  <c r="C403" i="2" s="1"/>
  <c r="D403" i="2" s="1"/>
  <c r="E403" i="2" s="1"/>
  <c r="B429" i="2"/>
  <c r="C429" i="2" s="1"/>
  <c r="D429" i="2" s="1"/>
  <c r="E429" i="2" s="1"/>
  <c r="B470" i="2"/>
  <c r="C470" i="2" s="1"/>
  <c r="D470" i="2" s="1"/>
  <c r="E470" i="2" s="1"/>
  <c r="B406" i="2"/>
  <c r="C406" i="2" s="1"/>
  <c r="D406" i="2" s="1"/>
  <c r="E406" i="2" s="1"/>
  <c r="B147" i="2"/>
  <c r="C147" i="2" s="1"/>
  <c r="D147" i="2" s="1"/>
  <c r="E147" i="2" s="1"/>
  <c r="B115" i="2"/>
  <c r="C115" i="2" s="1"/>
  <c r="D115" i="2" s="1"/>
  <c r="E115" i="2" s="1"/>
  <c r="B83" i="2"/>
  <c r="C83" i="2" s="1"/>
  <c r="D83" i="2" s="1"/>
  <c r="E83" i="2" s="1"/>
  <c r="B51" i="2"/>
  <c r="C51" i="2" s="1"/>
  <c r="D51" i="2" s="1"/>
  <c r="E51" i="2" s="1"/>
  <c r="B19" i="2"/>
  <c r="C19" i="2" s="1"/>
  <c r="D19" i="2" s="1"/>
  <c r="E19" i="2" s="1"/>
  <c r="B372" i="2"/>
  <c r="C372" i="2" s="1"/>
  <c r="D372" i="2" s="1"/>
  <c r="E372" i="2" s="1"/>
  <c r="B368" i="2"/>
  <c r="C368" i="2" s="1"/>
  <c r="D368" i="2" s="1"/>
  <c r="E368" i="2" s="1"/>
  <c r="B336" i="2"/>
  <c r="C336" i="2" s="1"/>
  <c r="D336" i="2" s="1"/>
  <c r="E336" i="2" s="1"/>
  <c r="B304" i="2"/>
  <c r="C304" i="2" s="1"/>
  <c r="D304" i="2" s="1"/>
  <c r="E304" i="2" s="1"/>
  <c r="B164" i="2"/>
  <c r="C164" i="2" s="1"/>
  <c r="D164" i="2" s="1"/>
  <c r="E164" i="2" s="1"/>
  <c r="B128" i="2"/>
  <c r="C128" i="2" s="1"/>
  <c r="D128" i="2" s="1"/>
  <c r="E128" i="2" s="1"/>
  <c r="B96" i="2"/>
  <c r="C96" i="2" s="1"/>
  <c r="D96" i="2" s="1"/>
  <c r="E96" i="2" s="1"/>
  <c r="B64" i="2"/>
  <c r="C64" i="2" s="1"/>
  <c r="D64" i="2" s="1"/>
  <c r="E64" i="2" s="1"/>
  <c r="B32" i="2"/>
  <c r="C32" i="2" s="1"/>
  <c r="D32" i="2" s="1"/>
  <c r="E32" i="2" s="1"/>
  <c r="B386" i="2"/>
  <c r="C386" i="2" s="1"/>
  <c r="D386" i="2" s="1"/>
  <c r="E386" i="2" s="1"/>
  <c r="B359" i="2"/>
  <c r="C359" i="2" s="1"/>
  <c r="D359" i="2" s="1"/>
  <c r="E359" i="2" s="1"/>
  <c r="B327" i="2"/>
  <c r="C327" i="2" s="1"/>
  <c r="D327" i="2" s="1"/>
  <c r="E327" i="2" s="1"/>
  <c r="B102" i="2"/>
  <c r="C102" i="2" s="1"/>
  <c r="D102" i="2" s="1"/>
  <c r="E102" i="2" s="1"/>
  <c r="B138" i="2"/>
  <c r="C138" i="2" s="1"/>
  <c r="D138" i="2" s="1"/>
  <c r="E138" i="2" s="1"/>
  <c r="B106" i="2"/>
  <c r="C106" i="2" s="1"/>
  <c r="D106" i="2" s="1"/>
  <c r="E106" i="2" s="1"/>
  <c r="B74" i="2"/>
  <c r="C74" i="2" s="1"/>
  <c r="D74" i="2" s="1"/>
  <c r="E74" i="2" s="1"/>
  <c r="B42" i="2"/>
  <c r="C42" i="2" s="1"/>
  <c r="D42" i="2" s="1"/>
  <c r="E42" i="2" s="1"/>
  <c r="B10" i="2"/>
  <c r="C10" i="2" s="1"/>
  <c r="D10" i="2" s="1"/>
  <c r="E10" i="2" s="1"/>
  <c r="B178" i="2"/>
  <c r="C178" i="2" s="1"/>
  <c r="D178" i="2" s="1"/>
  <c r="E178" i="2" s="1"/>
  <c r="B353" i="2"/>
  <c r="C353" i="2" s="1"/>
  <c r="D353" i="2" s="1"/>
  <c r="E353" i="2" s="1"/>
  <c r="B321" i="2"/>
  <c r="C321" i="2" s="1"/>
  <c r="D321" i="2" s="1"/>
  <c r="E321" i="2" s="1"/>
  <c r="B193" i="2"/>
  <c r="C193" i="2" s="1"/>
  <c r="D193" i="2" s="1"/>
  <c r="E193" i="2" s="1"/>
  <c r="B145" i="2"/>
  <c r="C145" i="2" s="1"/>
  <c r="D145" i="2" s="1"/>
  <c r="E145" i="2" s="1"/>
  <c r="B113" i="2"/>
  <c r="C113" i="2" s="1"/>
  <c r="D113" i="2" s="1"/>
  <c r="E113" i="2" s="1"/>
  <c r="B81" i="2"/>
  <c r="C81" i="2" s="1"/>
  <c r="D81" i="2" s="1"/>
  <c r="E81" i="2" s="1"/>
  <c r="B49" i="2"/>
  <c r="C49" i="2" s="1"/>
  <c r="D49" i="2" s="1"/>
  <c r="E49" i="2" s="1"/>
  <c r="B17" i="2"/>
  <c r="C17" i="2" s="1"/>
  <c r="D17" i="2" s="1"/>
  <c r="E17" i="2" s="1"/>
  <c r="B188" i="2"/>
  <c r="C188" i="2" s="1"/>
  <c r="D188" i="2" s="1"/>
  <c r="E188" i="2" s="1"/>
  <c r="B347" i="2"/>
  <c r="C347" i="2" s="1"/>
  <c r="D347" i="2" s="1"/>
  <c r="E347" i="2" s="1"/>
  <c r="B315" i="2"/>
  <c r="C315" i="2" s="1"/>
  <c r="D315" i="2" s="1"/>
  <c r="E315" i="2" s="1"/>
  <c r="B163" i="2"/>
  <c r="C163" i="2" s="1"/>
  <c r="D163" i="2" s="1"/>
  <c r="E163" i="2" s="1"/>
  <c r="B127" i="2"/>
  <c r="C127" i="2" s="1"/>
  <c r="D127" i="2" s="1"/>
  <c r="E127" i="2" s="1"/>
  <c r="B95" i="2"/>
  <c r="C95" i="2" s="1"/>
  <c r="D95" i="2" s="1"/>
  <c r="E95" i="2" s="1"/>
  <c r="B63" i="2"/>
  <c r="C63" i="2" s="1"/>
  <c r="D63" i="2" s="1"/>
  <c r="E63" i="2" s="1"/>
  <c r="B31" i="2"/>
  <c r="C31" i="2" s="1"/>
  <c r="D31" i="2" s="1"/>
  <c r="E31" i="2" s="1"/>
  <c r="B384" i="2"/>
  <c r="C384" i="2" s="1"/>
  <c r="D384" i="2" s="1"/>
  <c r="E384" i="2" s="1"/>
  <c r="B171" i="2"/>
  <c r="C171" i="2" s="1"/>
  <c r="D171" i="2" s="1"/>
  <c r="E171" i="2" s="1"/>
  <c r="B348" i="2"/>
  <c r="C348" i="2" s="1"/>
  <c r="D348" i="2" s="1"/>
  <c r="E348" i="2" s="1"/>
  <c r="B316" i="2"/>
  <c r="C316" i="2" s="1"/>
  <c r="D316" i="2" s="1"/>
  <c r="E316" i="2" s="1"/>
  <c r="B184" i="2"/>
  <c r="C184" i="2" s="1"/>
  <c r="D184" i="2" s="1"/>
  <c r="E184" i="2" s="1"/>
  <c r="B140" i="2"/>
  <c r="C140" i="2" s="1"/>
  <c r="D140" i="2" s="1"/>
  <c r="E140" i="2" s="1"/>
  <c r="B108" i="2"/>
  <c r="C108" i="2" s="1"/>
  <c r="D108" i="2" s="1"/>
  <c r="E108" i="2" s="1"/>
  <c r="B76" i="2"/>
  <c r="C76" i="2" s="1"/>
  <c r="D76" i="2" s="1"/>
  <c r="E76" i="2" s="1"/>
  <c r="B44" i="2"/>
  <c r="C44" i="2" s="1"/>
  <c r="D44" i="2" s="1"/>
  <c r="E44" i="2" s="1"/>
  <c r="B12" i="2"/>
  <c r="C12" i="2" s="1"/>
  <c r="D12" i="2" s="1"/>
  <c r="E12" i="2" s="1"/>
  <c r="B169" i="2"/>
  <c r="C169" i="2" s="1"/>
  <c r="D169" i="2" s="1"/>
  <c r="E169" i="2" s="1"/>
  <c r="B346" i="2"/>
  <c r="C346" i="2" s="1"/>
  <c r="D346" i="2" s="1"/>
  <c r="E346" i="2" s="1"/>
  <c r="B314" i="2"/>
  <c r="C314" i="2" s="1"/>
  <c r="D314" i="2" s="1"/>
  <c r="E314" i="2" s="1"/>
  <c r="B162" i="2"/>
  <c r="C162" i="2" s="1"/>
  <c r="D162" i="2" s="1"/>
  <c r="E162" i="2" s="1"/>
  <c r="B126" i="2"/>
  <c r="C126" i="2" s="1"/>
  <c r="D126" i="2" s="1"/>
  <c r="E126" i="2" s="1"/>
  <c r="B94" i="2"/>
  <c r="C94" i="2" s="1"/>
  <c r="D94" i="2" s="1"/>
  <c r="E94" i="2" s="1"/>
  <c r="B62" i="2"/>
  <c r="C62" i="2" s="1"/>
  <c r="D62" i="2" s="1"/>
  <c r="E62" i="2" s="1"/>
  <c r="B30" i="2"/>
  <c r="C30" i="2" s="1"/>
  <c r="D30" i="2" s="1"/>
  <c r="E30" i="2" s="1"/>
  <c r="B385" i="2"/>
  <c r="C385" i="2" s="1"/>
  <c r="D385" i="2" s="1"/>
  <c r="E385" i="2" s="1"/>
  <c r="B170" i="2"/>
  <c r="C170" i="2" s="1"/>
  <c r="D170" i="2" s="1"/>
  <c r="E170" i="2" s="1"/>
  <c r="B349" i="2"/>
  <c r="C349" i="2" s="1"/>
  <c r="D349" i="2" s="1"/>
  <c r="E349" i="2" s="1"/>
  <c r="B317" i="2"/>
  <c r="C317" i="2" s="1"/>
  <c r="D317" i="2" s="1"/>
  <c r="E317" i="2" s="1"/>
  <c r="B173" i="2"/>
  <c r="C173" i="2" s="1"/>
  <c r="D173" i="2" s="1"/>
  <c r="E173" i="2" s="1"/>
  <c r="B133" i="2"/>
  <c r="C133" i="2" s="1"/>
  <c r="D133" i="2" s="1"/>
  <c r="E133" i="2" s="1"/>
  <c r="B93" i="2"/>
  <c r="C93" i="2" s="1"/>
  <c r="D93" i="2" s="1"/>
  <c r="E93" i="2" s="1"/>
  <c r="B61" i="2"/>
  <c r="C61" i="2" s="1"/>
  <c r="D61" i="2" s="1"/>
  <c r="E61" i="2" s="1"/>
  <c r="B29" i="2"/>
  <c r="C29" i="2" s="1"/>
  <c r="D29" i="2" s="1"/>
  <c r="E29" i="2" s="1"/>
  <c r="B382" i="2"/>
  <c r="C382" i="2" s="1"/>
  <c r="D382" i="2" s="1"/>
  <c r="E382" i="2" s="1"/>
  <c r="B366" i="2"/>
  <c r="C366" i="2" s="1"/>
  <c r="D366" i="2" s="1"/>
  <c r="E366" i="2" s="1"/>
  <c r="B334" i="2"/>
  <c r="C334" i="2" s="1"/>
  <c r="D334" i="2" s="1"/>
  <c r="E334" i="2" s="1"/>
  <c r="B302" i="2"/>
  <c r="C302" i="2" s="1"/>
  <c r="D302" i="2" s="1"/>
  <c r="E302" i="2" s="1"/>
  <c r="B161" i="2"/>
  <c r="C161" i="2" s="1"/>
  <c r="D161" i="2" s="1"/>
  <c r="E161" i="2" s="1"/>
  <c r="B293" i="2"/>
  <c r="C293" i="2" s="1"/>
  <c r="D293" i="2" s="1"/>
  <c r="E293" i="2" s="1"/>
  <c r="A478" i="2"/>
  <c r="B478" i="2" s="1"/>
  <c r="C478" i="2" s="1"/>
  <c r="D478" i="2" s="1"/>
  <c r="E478" i="2" s="1"/>
  <c r="A436" i="2"/>
  <c r="B436" i="2" s="1"/>
  <c r="C436" i="2" s="1"/>
  <c r="D436" i="2" s="1"/>
  <c r="E436" i="2" s="1"/>
  <c r="A431" i="2"/>
  <c r="B431" i="2" s="1"/>
  <c r="C431" i="2" s="1"/>
  <c r="D431" i="2" s="1"/>
  <c r="E431" i="2" s="1"/>
  <c r="A464" i="2"/>
  <c r="B464" i="2" s="1"/>
  <c r="C464" i="2" s="1"/>
  <c r="D464" i="2" s="1"/>
  <c r="E464" i="2" s="1"/>
  <c r="A578" i="2"/>
  <c r="B578" i="2" s="1"/>
  <c r="C578" i="2" s="1"/>
  <c r="D578" i="2" s="1"/>
  <c r="E578" i="2" s="1"/>
  <c r="A575" i="2"/>
  <c r="B575" i="2" s="1"/>
  <c r="C575" i="2" s="1"/>
  <c r="D575" i="2" s="1"/>
  <c r="E575" i="2" s="1"/>
  <c r="A574" i="2"/>
  <c r="B574" i="2" s="1"/>
  <c r="C574" i="2" s="1"/>
  <c r="D574" i="2" s="1"/>
  <c r="E574" i="2" s="1"/>
  <c r="A400" i="2"/>
  <c r="B400" i="2" s="1"/>
  <c r="C400" i="2" s="1"/>
  <c r="D400" i="2" s="1"/>
  <c r="E400" i="2" s="1"/>
  <c r="A458" i="2"/>
  <c r="B458" i="2" s="1"/>
  <c r="C458" i="2" s="1"/>
  <c r="D458" i="2" s="1"/>
  <c r="E458" i="2" s="1"/>
  <c r="A426" i="2"/>
  <c r="B426" i="2" s="1"/>
  <c r="C426" i="2" s="1"/>
  <c r="D426" i="2" s="1"/>
  <c r="E426" i="2" s="1"/>
  <c r="A394" i="2"/>
  <c r="B394" i="2" s="1"/>
  <c r="C394" i="2" s="1"/>
  <c r="D394" i="2" s="1"/>
  <c r="E394" i="2" s="1"/>
  <c r="A471" i="2"/>
  <c r="B471" i="2" s="1"/>
  <c r="C471" i="2" s="1"/>
  <c r="D471" i="2" s="1"/>
  <c r="E471" i="2" s="1"/>
  <c r="F770" i="2"/>
  <c r="G770" i="2" s="1"/>
  <c r="H770" i="2" s="1"/>
  <c r="A579" i="2"/>
  <c r="B579" i="2" s="1"/>
  <c r="C579" i="2" s="1"/>
  <c r="D579" i="2" s="1"/>
  <c r="E579" i="2" s="1"/>
  <c r="A395" i="2"/>
  <c r="B395" i="2" s="1"/>
  <c r="C395" i="2" s="1"/>
  <c r="D395" i="2" s="1"/>
  <c r="E395" i="2" s="1"/>
  <c r="A463" i="2"/>
  <c r="B463" i="2" s="1"/>
  <c r="C463" i="2" s="1"/>
  <c r="D463" i="2" s="1"/>
  <c r="E463" i="2" s="1"/>
  <c r="A461" i="2"/>
  <c r="B461" i="2" s="1"/>
  <c r="C461" i="2" s="1"/>
  <c r="D461" i="2" s="1"/>
  <c r="E461" i="2" s="1"/>
  <c r="A514" i="2"/>
  <c r="B514" i="2" s="1"/>
  <c r="C514" i="2" s="1"/>
  <c r="D514" i="2" s="1"/>
  <c r="E514" i="2" s="1"/>
  <c r="A550" i="2"/>
  <c r="B550" i="2" s="1"/>
  <c r="C550" i="2" s="1"/>
  <c r="D550" i="2" s="1"/>
  <c r="E550" i="2" s="1"/>
  <c r="A570" i="2"/>
  <c r="B570" i="2" s="1"/>
  <c r="C570" i="2" s="1"/>
  <c r="D570" i="2" s="1"/>
  <c r="E570" i="2" s="1"/>
  <c r="A474" i="2"/>
  <c r="B474" i="2" s="1"/>
  <c r="C474" i="2" s="1"/>
  <c r="D474" i="2" s="1"/>
  <c r="E474" i="2" s="1"/>
  <c r="F622" i="2"/>
  <c r="G622" i="2" s="1"/>
  <c r="H622" i="2" s="1"/>
  <c r="A417" i="2"/>
  <c r="B417" i="2" s="1"/>
  <c r="C417" i="2" s="1"/>
  <c r="D417" i="2" s="1"/>
  <c r="E417" i="2" s="1"/>
  <c r="A418" i="2"/>
  <c r="B418" i="2" s="1"/>
  <c r="C418" i="2" s="1"/>
  <c r="D418" i="2" s="1"/>
  <c r="E418" i="2" s="1"/>
  <c r="A515" i="2"/>
  <c r="B515" i="2" s="1"/>
  <c r="C515" i="2" s="1"/>
  <c r="D515" i="2" s="1"/>
  <c r="E515" i="2" s="1"/>
  <c r="A410" i="2"/>
  <c r="B410" i="2" s="1"/>
  <c r="C410" i="2" s="1"/>
  <c r="D410" i="2" s="1"/>
  <c r="E410" i="2" s="1"/>
  <c r="A438" i="2"/>
  <c r="B438" i="2" s="1"/>
  <c r="C438" i="2" s="1"/>
  <c r="D438" i="2" s="1"/>
  <c r="E438" i="2" s="1"/>
  <c r="A498" i="2"/>
  <c r="B498" i="2" s="1"/>
  <c r="C498" i="2" s="1"/>
  <c r="D498" i="2" s="1"/>
  <c r="E498" i="2" s="1"/>
  <c r="F602" i="2"/>
  <c r="G602" i="2" s="1"/>
  <c r="H602" i="2" s="1"/>
  <c r="F666" i="2"/>
  <c r="G666" i="2" s="1"/>
  <c r="H666" i="2" s="1"/>
  <c r="A571" i="2"/>
  <c r="B571" i="2" s="1"/>
  <c r="C571" i="2" s="1"/>
  <c r="D571" i="2" s="1"/>
  <c r="E571" i="2" s="1"/>
  <c r="A506" i="2"/>
  <c r="B506" i="2" s="1"/>
  <c r="C506" i="2" s="1"/>
  <c r="D506" i="2" s="1"/>
  <c r="E506" i="2" s="1"/>
  <c r="A531" i="2"/>
  <c r="B531" i="2" s="1"/>
  <c r="C531" i="2" s="1"/>
  <c r="D531" i="2" s="1"/>
  <c r="E531" i="2" s="1"/>
  <c r="A563" i="2"/>
  <c r="B563" i="2" s="1"/>
  <c r="C563" i="2" s="1"/>
  <c r="D563" i="2" s="1"/>
  <c r="E563" i="2" s="1"/>
  <c r="A499" i="2"/>
  <c r="B499" i="2" s="1"/>
  <c r="C499" i="2" s="1"/>
  <c r="D499" i="2" s="1"/>
  <c r="E499" i="2" s="1"/>
  <c r="A468" i="2"/>
  <c r="B468" i="2" s="1"/>
  <c r="C468" i="2" s="1"/>
  <c r="D468" i="2" s="1"/>
  <c r="E468" i="2" s="1"/>
  <c r="A404" i="2"/>
  <c r="B404" i="2" s="1"/>
  <c r="C404" i="2" s="1"/>
  <c r="D404" i="2" s="1"/>
  <c r="E404" i="2" s="1"/>
  <c r="A399" i="2"/>
  <c r="B399" i="2" s="1"/>
  <c r="C399" i="2" s="1"/>
  <c r="D399" i="2" s="1"/>
  <c r="E399" i="2" s="1"/>
  <c r="A432" i="2"/>
  <c r="B432" i="2" s="1"/>
  <c r="C432" i="2" s="1"/>
  <c r="D432" i="2" s="1"/>
  <c r="E432" i="2" s="1"/>
  <c r="A467" i="2"/>
  <c r="B467" i="2" s="1"/>
  <c r="C467" i="2" s="1"/>
  <c r="D467" i="2" s="1"/>
  <c r="E467" i="2" s="1"/>
  <c r="A442" i="2"/>
  <c r="B442" i="2" s="1"/>
  <c r="C442" i="2" s="1"/>
  <c r="D442" i="2" s="1"/>
  <c r="E442" i="2" s="1"/>
  <c r="A453" i="2"/>
  <c r="B453" i="2" s="1"/>
  <c r="C453" i="2" s="1"/>
  <c r="D453" i="2" s="1"/>
  <c r="E453" i="2" s="1"/>
  <c r="A421" i="2"/>
  <c r="B421" i="2" s="1"/>
  <c r="C421" i="2" s="1"/>
  <c r="D421" i="2" s="1"/>
  <c r="E421" i="2" s="1"/>
  <c r="A446" i="2"/>
  <c r="B446" i="2" s="1"/>
  <c r="C446" i="2" s="1"/>
  <c r="D446" i="2" s="1"/>
  <c r="E446" i="2" s="1"/>
  <c r="A481" i="2"/>
  <c r="B481" i="2" s="1"/>
  <c r="C481" i="2" s="1"/>
  <c r="D481" i="2" s="1"/>
  <c r="E481" i="2" s="1"/>
  <c r="A449" i="2"/>
  <c r="B449" i="2" s="1"/>
  <c r="C449" i="2" s="1"/>
  <c r="D449" i="2" s="1"/>
  <c r="E449" i="2" s="1"/>
  <c r="A413" i="2"/>
  <c r="B413" i="2" s="1"/>
  <c r="C413" i="2" s="1"/>
  <c r="D413" i="2" s="1"/>
  <c r="E413" i="2" s="1"/>
  <c r="A454" i="2"/>
  <c r="B454" i="2" s="1"/>
  <c r="C454" i="2" s="1"/>
  <c r="D454" i="2" s="1"/>
  <c r="E454" i="2" s="1"/>
  <c r="A435" i="2"/>
  <c r="B435" i="2" s="1"/>
  <c r="C435" i="2" s="1"/>
  <c r="D435" i="2" s="1"/>
  <c r="E435" i="2" s="1"/>
  <c r="A522" i="2"/>
  <c r="B522" i="2" s="1"/>
  <c r="C522" i="2" s="1"/>
  <c r="D522" i="2" s="1"/>
  <c r="E522" i="2" s="1"/>
  <c r="A447" i="2"/>
  <c r="B447" i="2" s="1"/>
  <c r="C447" i="2" s="1"/>
  <c r="D447" i="2" s="1"/>
  <c r="E447" i="2" s="1"/>
  <c r="A502" i="2"/>
  <c r="B502" i="2" s="1"/>
  <c r="C502" i="2" s="1"/>
  <c r="D502" i="2" s="1"/>
  <c r="E502" i="2" s="1"/>
  <c r="A459" i="2"/>
  <c r="B459" i="2" s="1"/>
  <c r="C459" i="2" s="1"/>
  <c r="D459" i="2" s="1"/>
  <c r="E459" i="2" s="1"/>
  <c r="A495" i="2"/>
  <c r="B495" i="2" s="1"/>
  <c r="C495" i="2" s="1"/>
  <c r="D495" i="2" s="1"/>
  <c r="E495" i="2" s="1"/>
  <c r="A546" i="2"/>
  <c r="B546" i="2" s="1"/>
  <c r="C546" i="2" s="1"/>
  <c r="D546" i="2" s="1"/>
  <c r="E546" i="2" s="1"/>
  <c r="A484" i="2"/>
  <c r="B484" i="2" s="1"/>
  <c r="C484" i="2" s="1"/>
  <c r="D484" i="2" s="1"/>
  <c r="E484" i="2" s="1"/>
  <c r="A452" i="2"/>
  <c r="B452" i="2" s="1"/>
  <c r="C452" i="2" s="1"/>
  <c r="D452" i="2" s="1"/>
  <c r="E452" i="2" s="1"/>
  <c r="A479" i="2"/>
  <c r="B479" i="2" s="1"/>
  <c r="C479" i="2" s="1"/>
  <c r="D479" i="2" s="1"/>
  <c r="E479" i="2" s="1"/>
  <c r="A480" i="2"/>
  <c r="B480" i="2" s="1"/>
  <c r="C480" i="2" s="1"/>
  <c r="D480" i="2" s="1"/>
  <c r="E480" i="2" s="1"/>
  <c r="A416" i="2"/>
  <c r="B416" i="2" s="1"/>
  <c r="C416" i="2" s="1"/>
  <c r="D416" i="2" s="1"/>
  <c r="E416" i="2" s="1"/>
  <c r="A451" i="2"/>
  <c r="B451" i="2" s="1"/>
  <c r="C451" i="2" s="1"/>
  <c r="D451" i="2" s="1"/>
  <c r="E451" i="2" s="1"/>
  <c r="A419" i="2"/>
  <c r="B419" i="2" s="1"/>
  <c r="C419" i="2" s="1"/>
  <c r="D419" i="2" s="1"/>
  <c r="E419" i="2" s="1"/>
  <c r="A390" i="2"/>
  <c r="B390" i="2" s="1"/>
  <c r="C390" i="2" s="1"/>
  <c r="D390" i="2" s="1"/>
  <c r="E390" i="2" s="1"/>
  <c r="A472" i="2"/>
  <c r="B472" i="2" s="1"/>
  <c r="C472" i="2" s="1"/>
  <c r="D472" i="2" s="1"/>
  <c r="E472" i="2" s="1"/>
  <c r="A440" i="2"/>
  <c r="B440" i="2" s="1"/>
  <c r="C440" i="2" s="1"/>
  <c r="D440" i="2" s="1"/>
  <c r="E440" i="2" s="1"/>
  <c r="A408" i="2"/>
  <c r="B408" i="2" s="1"/>
  <c r="C408" i="2" s="1"/>
  <c r="D408" i="2" s="1"/>
  <c r="E408" i="2" s="1"/>
  <c r="A427" i="2"/>
  <c r="B427" i="2" s="1"/>
  <c r="C427" i="2" s="1"/>
  <c r="D427" i="2" s="1"/>
  <c r="E427" i="2" s="1"/>
  <c r="A551" i="2"/>
  <c r="B551" i="2" s="1"/>
  <c r="C551" i="2" s="1"/>
  <c r="D551" i="2" s="1"/>
  <c r="E551" i="2" s="1"/>
  <c r="A562" i="2"/>
  <c r="B562" i="2" s="1"/>
  <c r="C562" i="2" s="1"/>
  <c r="D562" i="2" s="1"/>
  <c r="E562" i="2" s="1"/>
  <c r="A543" i="2"/>
  <c r="B543" i="2" s="1"/>
  <c r="C543" i="2" s="1"/>
  <c r="D543" i="2" s="1"/>
  <c r="E543" i="2" s="1"/>
  <c r="A503" i="2"/>
  <c r="B503" i="2" s="1"/>
  <c r="C503" i="2" s="1"/>
  <c r="D503" i="2" s="1"/>
  <c r="E503" i="2" s="1"/>
  <c r="A475" i="2"/>
  <c r="B475" i="2" s="1"/>
  <c r="C475" i="2" s="1"/>
  <c r="D475" i="2" s="1"/>
  <c r="E475" i="2" s="1"/>
  <c r="A443" i="2"/>
  <c r="B443" i="2" s="1"/>
  <c r="C443" i="2" s="1"/>
  <c r="D443" i="2" s="1"/>
  <c r="E443" i="2" s="1"/>
  <c r="A437" i="2"/>
  <c r="B437" i="2" s="1"/>
  <c r="C437" i="2" s="1"/>
  <c r="D437" i="2" s="1"/>
  <c r="E437" i="2" s="1"/>
  <c r="A462" i="2"/>
  <c r="B462" i="2" s="1"/>
  <c r="C462" i="2" s="1"/>
  <c r="D462" i="2" s="1"/>
  <c r="E462" i="2" s="1"/>
  <c r="A465" i="2"/>
  <c r="B465" i="2" s="1"/>
  <c r="C465" i="2" s="1"/>
  <c r="D465" i="2" s="1"/>
  <c r="E465" i="2" s="1"/>
  <c r="A433" i="2"/>
  <c r="B433" i="2" s="1"/>
  <c r="C433" i="2" s="1"/>
  <c r="D433" i="2" s="1"/>
  <c r="E433" i="2" s="1"/>
  <c r="A434" i="2"/>
  <c r="B434" i="2" s="1"/>
  <c r="C434" i="2" s="1"/>
  <c r="D434" i="2" s="1"/>
  <c r="E434" i="2" s="1"/>
  <c r="A402" i="2"/>
  <c r="B402" i="2" s="1"/>
  <c r="C402" i="2" s="1"/>
  <c r="D402" i="2" s="1"/>
  <c r="E402" i="2" s="1"/>
  <c r="A476" i="2"/>
  <c r="B476" i="2" s="1"/>
  <c r="C476" i="2" s="1"/>
  <c r="D476" i="2" s="1"/>
  <c r="E476" i="2" s="1"/>
  <c r="A412" i="2"/>
  <c r="B412" i="2" s="1"/>
  <c r="C412" i="2" s="1"/>
  <c r="D412" i="2" s="1"/>
  <c r="E412" i="2" s="1"/>
  <c r="A423" i="2"/>
  <c r="B423" i="2" s="1"/>
  <c r="C423" i="2" s="1"/>
  <c r="D423" i="2" s="1"/>
  <c r="E423" i="2" s="1"/>
  <c r="A457" i="2"/>
  <c r="B457" i="2" s="1"/>
  <c r="C457" i="2" s="1"/>
  <c r="D457" i="2" s="1"/>
  <c r="E457" i="2" s="1"/>
  <c r="A425" i="2"/>
  <c r="B425" i="2" s="1"/>
  <c r="C425" i="2" s="1"/>
  <c r="D425" i="2" s="1"/>
  <c r="E425" i="2" s="1"/>
  <c r="A393" i="2"/>
  <c r="B393" i="2" s="1"/>
  <c r="C393" i="2" s="1"/>
  <c r="D393" i="2" s="1"/>
  <c r="E393" i="2" s="1"/>
  <c r="A523" i="2"/>
  <c r="B523" i="2" s="1"/>
  <c r="C523" i="2" s="1"/>
  <c r="D523" i="2" s="1"/>
  <c r="E523" i="2" s="1"/>
  <c r="A411" i="2"/>
  <c r="B411" i="2" s="1"/>
  <c r="C411" i="2" s="1"/>
  <c r="D411" i="2" s="1"/>
  <c r="E411" i="2" s="1"/>
  <c r="A547" i="2"/>
  <c r="B547" i="2" s="1"/>
  <c r="C547" i="2" s="1"/>
  <c r="D547" i="2" s="1"/>
  <c r="E547" i="2" s="1"/>
  <c r="A469" i="2"/>
  <c r="B469" i="2" s="1"/>
  <c r="C469" i="2" s="1"/>
  <c r="D469" i="2" s="1"/>
  <c r="E469" i="2" s="1"/>
  <c r="A405" i="2"/>
  <c r="B405" i="2" s="1"/>
  <c r="C405" i="2" s="1"/>
  <c r="D405" i="2" s="1"/>
  <c r="E405" i="2" s="1"/>
  <c r="A430" i="2"/>
  <c r="B430" i="2" s="1"/>
  <c r="C430" i="2" s="1"/>
  <c r="D430" i="2" s="1"/>
  <c r="E430" i="2" s="1"/>
  <c r="A401" i="2"/>
  <c r="B401" i="2" s="1"/>
  <c r="C401" i="2" s="1"/>
  <c r="D401" i="2" s="1"/>
  <c r="E401" i="2" s="1"/>
  <c r="A460" i="2"/>
  <c r="B460" i="2" s="1"/>
  <c r="C460" i="2" s="1"/>
  <c r="D460" i="2" s="1"/>
  <c r="E460" i="2" s="1"/>
  <c r="A439" i="2"/>
  <c r="B439" i="2" s="1"/>
  <c r="C439" i="2" s="1"/>
  <c r="D439" i="2" s="1"/>
  <c r="E439" i="2" s="1"/>
  <c r="A407" i="2"/>
  <c r="B407" i="2" s="1"/>
  <c r="C407" i="2" s="1"/>
  <c r="D407" i="2" s="1"/>
  <c r="E407" i="2" s="1"/>
  <c r="A473" i="2"/>
  <c r="B473" i="2" s="1"/>
  <c r="C473" i="2" s="1"/>
  <c r="D473" i="2" s="1"/>
  <c r="E473" i="2" s="1"/>
  <c r="A441" i="2"/>
  <c r="B441" i="2" s="1"/>
  <c r="C441" i="2" s="1"/>
  <c r="D441" i="2" s="1"/>
  <c r="E441" i="2" s="1"/>
  <c r="A391" i="2"/>
  <c r="B391" i="2" s="1"/>
  <c r="C391" i="2" s="1"/>
  <c r="D391" i="2" s="1"/>
  <c r="E391" i="2" s="1"/>
  <c r="A448" i="2"/>
  <c r="B448" i="2" s="1"/>
  <c r="C448" i="2" s="1"/>
  <c r="D448" i="2" s="1"/>
  <c r="E448" i="2" s="1"/>
  <c r="A494" i="2"/>
  <c r="B494" i="2" s="1"/>
  <c r="C494" i="2" s="1"/>
  <c r="D494" i="2" s="1"/>
  <c r="E494" i="2" s="1"/>
  <c r="A397" i="2"/>
  <c r="B397" i="2" s="1"/>
  <c r="C397" i="2" s="1"/>
  <c r="D397" i="2" s="1"/>
  <c r="E397" i="2" s="1"/>
  <c r="A456" i="2"/>
  <c r="B456" i="2" s="1"/>
  <c r="C456" i="2" s="1"/>
  <c r="D456" i="2" s="1"/>
  <c r="E456" i="2" s="1"/>
  <c r="A424" i="2"/>
  <c r="B424" i="2" s="1"/>
  <c r="C424" i="2" s="1"/>
  <c r="D424" i="2" s="1"/>
  <c r="E424" i="2" s="1"/>
  <c r="A392" i="2"/>
  <c r="B392" i="2" s="1"/>
  <c r="C392" i="2" s="1"/>
  <c r="D392" i="2" s="1"/>
  <c r="E392" i="2" s="1"/>
  <c r="A542" i="2"/>
  <c r="B542" i="2" s="1"/>
  <c r="C542" i="2" s="1"/>
  <c r="D542" i="2" s="1"/>
  <c r="E542" i="2" s="1"/>
  <c r="A490" i="2"/>
  <c r="B490" i="2" s="1"/>
  <c r="C490" i="2" s="1"/>
  <c r="D490" i="2" s="1"/>
  <c r="E490" i="2" s="1"/>
  <c r="A558" i="2"/>
  <c r="B558" i="2" s="1"/>
  <c r="C558" i="2" s="1"/>
  <c r="D558" i="2" s="1"/>
  <c r="E558" i="2" s="1"/>
  <c r="A534" i="2"/>
  <c r="B534" i="2" s="1"/>
  <c r="C534" i="2" s="1"/>
  <c r="D534" i="2" s="1"/>
  <c r="E534" i="2" s="1"/>
  <c r="A535" i="2"/>
  <c r="B535" i="2" s="1"/>
  <c r="C535" i="2" s="1"/>
  <c r="D535" i="2" s="1"/>
  <c r="E535" i="2" s="1"/>
  <c r="A538" i="2"/>
  <c r="B538" i="2" s="1"/>
  <c r="C538" i="2" s="1"/>
  <c r="D538" i="2" s="1"/>
  <c r="E538" i="2" s="1"/>
  <c r="A500" i="2"/>
  <c r="B500" i="2" s="1"/>
  <c r="C500" i="2" s="1"/>
  <c r="D500" i="2" s="1"/>
  <c r="E500" i="2" s="1"/>
  <c r="A557" i="2"/>
  <c r="B557" i="2" s="1"/>
  <c r="C557" i="2" s="1"/>
  <c r="D557" i="2" s="1"/>
  <c r="E557" i="2" s="1"/>
  <c r="A489" i="2"/>
  <c r="B489" i="2" s="1"/>
  <c r="C489" i="2" s="1"/>
  <c r="D489" i="2" s="1"/>
  <c r="E489" i="2" s="1"/>
  <c r="A521" i="2"/>
  <c r="B521" i="2" s="1"/>
  <c r="C521" i="2" s="1"/>
  <c r="D521" i="2" s="1"/>
  <c r="E521" i="2" s="1"/>
  <c r="A516" i="2"/>
  <c r="B516" i="2" s="1"/>
  <c r="C516" i="2" s="1"/>
  <c r="D516" i="2" s="1"/>
  <c r="E516" i="2" s="1"/>
  <c r="A527" i="2"/>
  <c r="B527" i="2" s="1"/>
  <c r="C527" i="2" s="1"/>
  <c r="D527" i="2" s="1"/>
  <c r="E527" i="2" s="1"/>
  <c r="A572" i="2"/>
  <c r="B572" i="2" s="1"/>
  <c r="C572" i="2" s="1"/>
  <c r="D572" i="2" s="1"/>
  <c r="E572" i="2" s="1"/>
  <c r="A509" i="2"/>
  <c r="B509" i="2" s="1"/>
  <c r="C509" i="2" s="1"/>
  <c r="D509" i="2" s="1"/>
  <c r="E509" i="2" s="1"/>
  <c r="A524" i="2"/>
  <c r="B524" i="2" s="1"/>
  <c r="C524" i="2" s="1"/>
  <c r="D524" i="2" s="1"/>
  <c r="E524" i="2" s="1"/>
  <c r="A552" i="2"/>
  <c r="B552" i="2" s="1"/>
  <c r="C552" i="2" s="1"/>
  <c r="D552" i="2" s="1"/>
  <c r="E552" i="2" s="1"/>
  <c r="A553" i="2"/>
  <c r="B553" i="2" s="1"/>
  <c r="C553" i="2" s="1"/>
  <c r="D553" i="2" s="1"/>
  <c r="E553" i="2" s="1"/>
  <c r="F653" i="2"/>
  <c r="G653" i="2" s="1"/>
  <c r="H653" i="2" s="1"/>
  <c r="F589" i="2"/>
  <c r="G589" i="2" s="1"/>
  <c r="H589" i="2" s="1"/>
  <c r="F636" i="2"/>
  <c r="G636" i="2" s="1"/>
  <c r="H636" i="2" s="1"/>
  <c r="F615" i="2"/>
  <c r="G615" i="2" s="1"/>
  <c r="H615" i="2" s="1"/>
  <c r="F665" i="2"/>
  <c r="G665" i="2" s="1"/>
  <c r="H665" i="2" s="1"/>
  <c r="F601" i="2"/>
  <c r="G601" i="2" s="1"/>
  <c r="H601" i="2" s="1"/>
  <c r="F616" i="2"/>
  <c r="G616" i="2" s="1"/>
  <c r="H616" i="2" s="1"/>
  <c r="F645" i="2"/>
  <c r="G645" i="2" s="1"/>
  <c r="H645" i="2" s="1"/>
  <c r="F676" i="2"/>
  <c r="G676" i="2" s="1"/>
  <c r="H676" i="2" s="1"/>
  <c r="F612" i="2"/>
  <c r="G612" i="2" s="1"/>
  <c r="H612" i="2" s="1"/>
  <c r="F639" i="2"/>
  <c r="G639" i="2" s="1"/>
  <c r="H639" i="2" s="1"/>
  <c r="F625" i="2"/>
  <c r="G625" i="2" s="1"/>
  <c r="H625" i="2" s="1"/>
  <c r="F640" i="2"/>
  <c r="G640" i="2" s="1"/>
  <c r="H640" i="2" s="1"/>
  <c r="F651" i="2"/>
  <c r="G651" i="2" s="1"/>
  <c r="H651" i="2" s="1"/>
  <c r="F587" i="2"/>
  <c r="G587" i="2" s="1"/>
  <c r="H587" i="2" s="1"/>
  <c r="F595" i="2"/>
  <c r="G595" i="2" s="1"/>
  <c r="H595" i="2" s="1"/>
  <c r="F669" i="2"/>
  <c r="G669" i="2" s="1"/>
  <c r="H669" i="2" s="1"/>
  <c r="F605" i="2"/>
  <c r="G605" i="2" s="1"/>
  <c r="H605" i="2" s="1"/>
  <c r="F652" i="2"/>
  <c r="G652" i="2" s="1"/>
  <c r="H652" i="2" s="1"/>
  <c r="F588" i="2"/>
  <c r="G588" i="2" s="1"/>
  <c r="H588" i="2" s="1"/>
  <c r="F631" i="2"/>
  <c r="G631" i="2" s="1"/>
  <c r="H631" i="2" s="1"/>
  <c r="F584" i="2"/>
  <c r="G584" i="2" s="1"/>
  <c r="H584" i="2" s="1"/>
  <c r="F617" i="2"/>
  <c r="G617" i="2" s="1"/>
  <c r="H617" i="2" s="1"/>
  <c r="F632" i="2"/>
  <c r="G632" i="2" s="1"/>
  <c r="H632" i="2" s="1"/>
  <c r="F661" i="2"/>
  <c r="G661" i="2" s="1"/>
  <c r="H661" i="2" s="1"/>
  <c r="F597" i="2"/>
  <c r="G597" i="2" s="1"/>
  <c r="H597" i="2" s="1"/>
  <c r="F628" i="2"/>
  <c r="G628" i="2" s="1"/>
  <c r="H628" i="2" s="1"/>
  <c r="A485" i="2"/>
  <c r="B485" i="2" s="1"/>
  <c r="C485" i="2" s="1"/>
  <c r="D485" i="2" s="1"/>
  <c r="E485" i="2" s="1"/>
  <c r="F582" i="2"/>
  <c r="G582" i="2" s="1"/>
  <c r="H582" i="2" s="1"/>
  <c r="F655" i="2"/>
  <c r="G655" i="2" s="1"/>
  <c r="H655" i="2" s="1"/>
  <c r="F591" i="2"/>
  <c r="G591" i="2" s="1"/>
  <c r="H591" i="2" s="1"/>
  <c r="F641" i="2"/>
  <c r="G641" i="2" s="1"/>
  <c r="H641" i="2" s="1"/>
  <c r="F656" i="2"/>
  <c r="G656" i="2" s="1"/>
  <c r="H656" i="2" s="1"/>
  <c r="F592" i="2"/>
  <c r="G592" i="2" s="1"/>
  <c r="H592" i="2" s="1"/>
  <c r="F667" i="2"/>
  <c r="G667" i="2" s="1"/>
  <c r="H667" i="2" s="1"/>
  <c r="F603" i="2"/>
  <c r="G603" i="2" s="1"/>
  <c r="H603" i="2" s="1"/>
  <c r="F611" i="2"/>
  <c r="G611" i="2" s="1"/>
  <c r="H611" i="2" s="1"/>
  <c r="F621" i="2"/>
  <c r="G621" i="2" s="1"/>
  <c r="H621" i="2" s="1"/>
  <c r="F668" i="2"/>
  <c r="G668" i="2" s="1"/>
  <c r="H668" i="2" s="1"/>
  <c r="F604" i="2"/>
  <c r="G604" i="2" s="1"/>
  <c r="H604" i="2" s="1"/>
  <c r="F647" i="2"/>
  <c r="G647" i="2" s="1"/>
  <c r="H647" i="2" s="1"/>
  <c r="F583" i="2"/>
  <c r="G583" i="2" s="1"/>
  <c r="H583" i="2" s="1"/>
  <c r="F633" i="2"/>
  <c r="G633" i="2" s="1"/>
  <c r="H633" i="2" s="1"/>
  <c r="F648" i="2"/>
  <c r="G648" i="2" s="1"/>
  <c r="H648" i="2" s="1"/>
  <c r="F677" i="2"/>
  <c r="G677" i="2" s="1"/>
  <c r="H677" i="2" s="1"/>
  <c r="F613" i="2"/>
  <c r="G613" i="2" s="1"/>
  <c r="H613" i="2" s="1"/>
  <c r="F644" i="2"/>
  <c r="G644" i="2" s="1"/>
  <c r="H644" i="2" s="1"/>
  <c r="F671" i="2"/>
  <c r="G671" i="2" s="1"/>
  <c r="H671" i="2" s="1"/>
  <c r="F607" i="2"/>
  <c r="G607" i="2" s="1"/>
  <c r="H607" i="2" s="1"/>
  <c r="F627" i="2"/>
  <c r="G627" i="2" s="1"/>
  <c r="H627" i="2" s="1"/>
  <c r="F657" i="2"/>
  <c r="G657" i="2" s="1"/>
  <c r="H657" i="2" s="1"/>
  <c r="F593" i="2"/>
  <c r="G593" i="2" s="1"/>
  <c r="H593" i="2" s="1"/>
  <c r="F672" i="2"/>
  <c r="G672" i="2" s="1"/>
  <c r="H672" i="2" s="1"/>
  <c r="F608" i="2"/>
  <c r="G608" i="2" s="1"/>
  <c r="H608" i="2" s="1"/>
  <c r="F619" i="2"/>
  <c r="G619" i="2" s="1"/>
  <c r="H619" i="2" s="1"/>
  <c r="F643" i="2"/>
  <c r="G643" i="2" s="1"/>
  <c r="H643" i="2" s="1"/>
  <c r="F738" i="2"/>
  <c r="G738" i="2" s="1"/>
  <c r="H738" i="2" s="1"/>
  <c r="F714" i="2"/>
  <c r="G714" i="2" s="1"/>
  <c r="H714" i="2" s="1"/>
  <c r="F637" i="2"/>
  <c r="G637" i="2" s="1"/>
  <c r="H637" i="2" s="1"/>
  <c r="F620" i="2"/>
  <c r="G620" i="2" s="1"/>
  <c r="H620" i="2" s="1"/>
  <c r="F663" i="2"/>
  <c r="G663" i="2" s="1"/>
  <c r="H663" i="2" s="1"/>
  <c r="F599" i="2"/>
  <c r="G599" i="2" s="1"/>
  <c r="H599" i="2" s="1"/>
  <c r="F649" i="2"/>
  <c r="G649" i="2" s="1"/>
  <c r="H649" i="2" s="1"/>
  <c r="F585" i="2"/>
  <c r="G585" i="2" s="1"/>
  <c r="H585" i="2" s="1"/>
  <c r="F664" i="2"/>
  <c r="G664" i="2" s="1"/>
  <c r="H664" i="2" s="1"/>
  <c r="F600" i="2"/>
  <c r="G600" i="2" s="1"/>
  <c r="H600" i="2" s="1"/>
  <c r="F659" i="2"/>
  <c r="G659" i="2" s="1"/>
  <c r="H659" i="2" s="1"/>
  <c r="F629" i="2"/>
  <c r="G629" i="2" s="1"/>
  <c r="H629" i="2" s="1"/>
  <c r="F660" i="2"/>
  <c r="G660" i="2" s="1"/>
  <c r="H660" i="2" s="1"/>
  <c r="F596" i="2"/>
  <c r="G596" i="2" s="1"/>
  <c r="H596" i="2" s="1"/>
  <c r="F623" i="2"/>
  <c r="G623" i="2" s="1"/>
  <c r="H623" i="2" s="1"/>
  <c r="F673" i="2"/>
  <c r="G673" i="2" s="1"/>
  <c r="H673" i="2" s="1"/>
  <c r="F609" i="2"/>
  <c r="G609" i="2" s="1"/>
  <c r="H609" i="2" s="1"/>
  <c r="F624" i="2"/>
  <c r="G624" i="2" s="1"/>
  <c r="H624" i="2" s="1"/>
  <c r="F635" i="2"/>
  <c r="G635" i="2" s="1"/>
  <c r="H635" i="2" s="1"/>
  <c r="F675" i="2"/>
  <c r="G675" i="2" s="1"/>
  <c r="H675" i="2" s="1"/>
  <c r="D553" i="1" l="1"/>
  <c r="A553" i="1"/>
  <c r="B553" i="1"/>
  <c r="C553" i="1"/>
  <c r="D535" i="1"/>
  <c r="A535" i="1"/>
  <c r="B535" i="1"/>
  <c r="C535" i="1"/>
  <c r="D441" i="1"/>
  <c r="A441" i="1"/>
  <c r="B441" i="1"/>
  <c r="C441" i="1"/>
  <c r="D393" i="1"/>
  <c r="A393" i="1"/>
  <c r="B393" i="1"/>
  <c r="C393" i="1"/>
  <c r="D440" i="1"/>
  <c r="A440" i="1"/>
  <c r="B440" i="1"/>
  <c r="C440" i="1"/>
  <c r="D459" i="1"/>
  <c r="A459" i="1"/>
  <c r="B459" i="1"/>
  <c r="C459" i="1"/>
  <c r="D404" i="1"/>
  <c r="A404" i="1"/>
  <c r="B404" i="1"/>
  <c r="C404" i="1"/>
  <c r="D474" i="1"/>
  <c r="A474" i="1"/>
  <c r="B474" i="1"/>
  <c r="C474" i="1"/>
  <c r="D458" i="1"/>
  <c r="A458" i="1"/>
  <c r="B458" i="1"/>
  <c r="C458" i="1"/>
  <c r="B334" i="1"/>
  <c r="A334" i="1"/>
  <c r="C334" i="1"/>
  <c r="D334" i="1"/>
  <c r="A162" i="1"/>
  <c r="B162" i="1"/>
  <c r="C162" i="1"/>
  <c r="D162" i="1"/>
  <c r="D95" i="1"/>
  <c r="B95" i="1"/>
  <c r="A95" i="1"/>
  <c r="C95" i="1"/>
  <c r="A321" i="1"/>
  <c r="B321" i="1"/>
  <c r="C321" i="1"/>
  <c r="D321" i="1"/>
  <c r="A164" i="1"/>
  <c r="B164" i="1"/>
  <c r="C164" i="1"/>
  <c r="D164" i="1"/>
  <c r="A156" i="1"/>
  <c r="B156" i="1"/>
  <c r="C156" i="1"/>
  <c r="D156" i="1"/>
  <c r="A154" i="1"/>
  <c r="B154" i="1"/>
  <c r="C154" i="1"/>
  <c r="D154" i="1"/>
  <c r="A21" i="1"/>
  <c r="D21" i="1"/>
  <c r="B21" i="1"/>
  <c r="C21" i="1"/>
  <c r="A105" i="1"/>
  <c r="C105" i="1"/>
  <c r="D105" i="1"/>
  <c r="B105" i="1"/>
  <c r="D294" i="1"/>
  <c r="C294" i="1"/>
  <c r="A294" i="1"/>
  <c r="B294" i="1"/>
  <c r="A116" i="1"/>
  <c r="B116" i="1"/>
  <c r="C116" i="1"/>
  <c r="D116" i="1"/>
  <c r="A326" i="1"/>
  <c r="B326" i="1"/>
  <c r="C326" i="1"/>
  <c r="D326" i="1"/>
  <c r="A40" i="1"/>
  <c r="B40" i="1"/>
  <c r="C40" i="1"/>
  <c r="D40" i="1"/>
  <c r="A123" i="1"/>
  <c r="C123" i="1"/>
  <c r="D123" i="1"/>
  <c r="B123" i="1"/>
  <c r="D288" i="1"/>
  <c r="C288" i="1"/>
  <c r="A288" i="1"/>
  <c r="B288" i="1"/>
  <c r="D208" i="1"/>
  <c r="A208" i="1"/>
  <c r="B208" i="1"/>
  <c r="C208" i="1"/>
  <c r="D292" i="1"/>
  <c r="C292" i="1"/>
  <c r="A292" i="1"/>
  <c r="B292" i="1"/>
  <c r="D250" i="1"/>
  <c r="C250" i="1"/>
  <c r="A250" i="1"/>
  <c r="B250" i="1"/>
  <c r="D276" i="1"/>
  <c r="C276" i="1"/>
  <c r="A276" i="1"/>
  <c r="B276" i="1"/>
  <c r="D205" i="1"/>
  <c r="A205" i="1"/>
  <c r="B205" i="1"/>
  <c r="C205" i="1"/>
  <c r="D222" i="1"/>
  <c r="A222" i="1"/>
  <c r="B222" i="1"/>
  <c r="C222" i="1"/>
  <c r="A14" i="1"/>
  <c r="B14" i="1"/>
  <c r="C14" i="1"/>
  <c r="D14" i="1"/>
  <c r="A124" i="1"/>
  <c r="B124" i="1"/>
  <c r="C124" i="1"/>
  <c r="D124" i="1"/>
  <c r="B370" i="1"/>
  <c r="A370" i="1"/>
  <c r="C370" i="1"/>
  <c r="D370" i="1"/>
  <c r="A22" i="1"/>
  <c r="B22" i="1"/>
  <c r="C22" i="1"/>
  <c r="D22" i="1"/>
  <c r="A41" i="1"/>
  <c r="D41" i="1"/>
  <c r="B41" i="1"/>
  <c r="C41" i="1"/>
  <c r="B354" i="1"/>
  <c r="A354" i="1"/>
  <c r="C354" i="1"/>
  <c r="D354" i="1"/>
  <c r="D103" i="1"/>
  <c r="B103" i="1"/>
  <c r="A103" i="1"/>
  <c r="C103" i="1"/>
  <c r="E108" i="1"/>
  <c r="F108" i="1"/>
  <c r="G108" i="1"/>
  <c r="H108" i="1"/>
  <c r="E316" i="1"/>
  <c r="F316" i="1"/>
  <c r="G316" i="1"/>
  <c r="H316" i="1"/>
  <c r="H64" i="1"/>
  <c r="E64" i="1"/>
  <c r="F64" i="1"/>
  <c r="G64" i="1"/>
  <c r="F374" i="1"/>
  <c r="G374" i="1"/>
  <c r="H374" i="1"/>
  <c r="E374" i="1"/>
  <c r="E173" i="1"/>
  <c r="H173" i="1"/>
  <c r="F173" i="1"/>
  <c r="G173" i="1"/>
  <c r="F336" i="1"/>
  <c r="G336" i="1"/>
  <c r="H336" i="1"/>
  <c r="E336" i="1"/>
  <c r="E166" i="1"/>
  <c r="F166" i="1"/>
  <c r="G166" i="1"/>
  <c r="H166" i="1"/>
  <c r="H307" i="1"/>
  <c r="F307" i="1"/>
  <c r="G307" i="1"/>
  <c r="E307" i="1"/>
  <c r="E14" i="1"/>
  <c r="F14" i="1"/>
  <c r="G14" i="1"/>
  <c r="H14" i="1"/>
  <c r="E148" i="1"/>
  <c r="F148" i="1"/>
  <c r="G148" i="1"/>
  <c r="H148" i="1"/>
  <c r="H65" i="1"/>
  <c r="G65" i="1"/>
  <c r="E65" i="1"/>
  <c r="F65" i="1"/>
  <c r="E35" i="1"/>
  <c r="F35" i="1"/>
  <c r="G35" i="1"/>
  <c r="H35" i="1"/>
  <c r="E106" i="1"/>
  <c r="F106" i="1"/>
  <c r="G106" i="1"/>
  <c r="H106" i="1"/>
  <c r="H76" i="1"/>
  <c r="E76" i="1"/>
  <c r="F76" i="1"/>
  <c r="G76" i="1"/>
  <c r="H178" i="1"/>
  <c r="F178" i="1"/>
  <c r="G178" i="1"/>
  <c r="E178" i="1"/>
  <c r="E44" i="1"/>
  <c r="G44" i="1"/>
  <c r="H44" i="1"/>
  <c r="F44" i="1"/>
  <c r="H195" i="1"/>
  <c r="E195" i="1"/>
  <c r="F195" i="1"/>
  <c r="G195" i="1"/>
  <c r="H101" i="1"/>
  <c r="G101" i="1"/>
  <c r="E101" i="1"/>
  <c r="F101" i="1"/>
  <c r="E13" i="1"/>
  <c r="F13" i="1"/>
  <c r="G13" i="1"/>
  <c r="H13" i="1"/>
  <c r="F372" i="1"/>
  <c r="G372" i="1"/>
  <c r="H372" i="1"/>
  <c r="E372" i="1"/>
  <c r="H237" i="1"/>
  <c r="E237" i="1"/>
  <c r="F237" i="1"/>
  <c r="G237" i="1"/>
  <c r="H220" i="1"/>
  <c r="E220" i="1"/>
  <c r="F220" i="1"/>
  <c r="G220" i="1"/>
  <c r="H256" i="1"/>
  <c r="E256" i="1"/>
  <c r="F256" i="1"/>
  <c r="G256" i="1"/>
  <c r="H291" i="1"/>
  <c r="F291" i="1"/>
  <c r="G291" i="1"/>
  <c r="E291" i="1"/>
  <c r="H211" i="1"/>
  <c r="E211" i="1"/>
  <c r="F211" i="1"/>
  <c r="G211" i="1"/>
  <c r="H230" i="1"/>
  <c r="E230" i="1"/>
  <c r="F230" i="1"/>
  <c r="G230" i="1"/>
  <c r="H241" i="1"/>
  <c r="F241" i="1"/>
  <c r="G241" i="1"/>
  <c r="E241" i="1"/>
  <c r="H470" i="1"/>
  <c r="E470" i="1"/>
  <c r="F470" i="1"/>
  <c r="G470" i="1"/>
  <c r="D484" i="1"/>
  <c r="A484" i="1"/>
  <c r="B484" i="1"/>
  <c r="C484" i="1"/>
  <c r="D97" i="1"/>
  <c r="B97" i="1"/>
  <c r="A97" i="1"/>
  <c r="C97" i="1"/>
  <c r="H284" i="1"/>
  <c r="E284" i="1"/>
  <c r="F284" i="1"/>
  <c r="G284" i="1"/>
  <c r="H208" i="1"/>
  <c r="E208" i="1"/>
  <c r="F208" i="1"/>
  <c r="G208" i="1"/>
  <c r="H273" i="1"/>
  <c r="F273" i="1"/>
  <c r="G273" i="1"/>
  <c r="E273" i="1"/>
  <c r="H290" i="1"/>
  <c r="E290" i="1"/>
  <c r="F290" i="1"/>
  <c r="G290" i="1"/>
  <c r="H274" i="1"/>
  <c r="E274" i="1"/>
  <c r="F274" i="1"/>
  <c r="G274" i="1"/>
  <c r="H287" i="1"/>
  <c r="F287" i="1"/>
  <c r="G287" i="1"/>
  <c r="E287" i="1"/>
  <c r="H271" i="1"/>
  <c r="F271" i="1"/>
  <c r="G271" i="1"/>
  <c r="E271" i="1"/>
  <c r="H255" i="1"/>
  <c r="F255" i="1"/>
  <c r="G255" i="1"/>
  <c r="E255" i="1"/>
  <c r="H239" i="1"/>
  <c r="E239" i="1"/>
  <c r="F239" i="1"/>
  <c r="G239" i="1"/>
  <c r="H223" i="1"/>
  <c r="E223" i="1"/>
  <c r="F223" i="1"/>
  <c r="G223" i="1"/>
  <c r="H207" i="1"/>
  <c r="E207" i="1"/>
  <c r="F207" i="1"/>
  <c r="G207" i="1"/>
  <c r="H258" i="1"/>
  <c r="E258" i="1"/>
  <c r="F258" i="1"/>
  <c r="G258" i="1"/>
  <c r="H242" i="1"/>
  <c r="E242" i="1"/>
  <c r="F242" i="1"/>
  <c r="G242" i="1"/>
  <c r="H226" i="1"/>
  <c r="E226" i="1"/>
  <c r="F226" i="1"/>
  <c r="G226" i="1"/>
  <c r="H210" i="1"/>
  <c r="E210" i="1"/>
  <c r="F210" i="1"/>
  <c r="G210" i="1"/>
  <c r="H277" i="1"/>
  <c r="F277" i="1"/>
  <c r="G277" i="1"/>
  <c r="E277" i="1"/>
  <c r="H217" i="1"/>
  <c r="E217" i="1"/>
  <c r="F217" i="1"/>
  <c r="G217" i="1"/>
  <c r="H429" i="1"/>
  <c r="E429" i="1"/>
  <c r="F429" i="1"/>
  <c r="G429" i="1"/>
  <c r="H55" i="1"/>
  <c r="E55" i="1"/>
  <c r="F55" i="1"/>
  <c r="G55" i="1"/>
  <c r="H428" i="1"/>
  <c r="E428" i="1"/>
  <c r="F428" i="1"/>
  <c r="G428" i="1"/>
  <c r="D415" i="1"/>
  <c r="A415" i="1"/>
  <c r="B415" i="1"/>
  <c r="C415" i="1"/>
  <c r="H444" i="1"/>
  <c r="E444" i="1"/>
  <c r="F444" i="1"/>
  <c r="G444" i="1"/>
  <c r="H455" i="1"/>
  <c r="E455" i="1"/>
  <c r="F455" i="1"/>
  <c r="G455" i="1"/>
  <c r="H406" i="1"/>
  <c r="E406" i="1"/>
  <c r="F406" i="1"/>
  <c r="G406" i="1"/>
  <c r="D428" i="1"/>
  <c r="A428" i="1"/>
  <c r="B428" i="1"/>
  <c r="C428" i="1"/>
  <c r="D485" i="1"/>
  <c r="A485" i="1"/>
  <c r="B485" i="1"/>
  <c r="C485" i="1"/>
  <c r="A572" i="1"/>
  <c r="C572" i="1"/>
  <c r="D572" i="1"/>
  <c r="B572" i="1"/>
  <c r="D542" i="1"/>
  <c r="A542" i="1"/>
  <c r="B542" i="1"/>
  <c r="C542" i="1"/>
  <c r="D460" i="1"/>
  <c r="A460" i="1"/>
  <c r="B460" i="1"/>
  <c r="C460" i="1"/>
  <c r="D433" i="1"/>
  <c r="A433" i="1"/>
  <c r="B433" i="1"/>
  <c r="C433" i="1"/>
  <c r="A562" i="1"/>
  <c r="C562" i="1"/>
  <c r="D562" i="1"/>
  <c r="B562" i="1"/>
  <c r="D452" i="1"/>
  <c r="A452" i="1"/>
  <c r="B452" i="1"/>
  <c r="C452" i="1"/>
  <c r="D481" i="1"/>
  <c r="A481" i="1"/>
  <c r="B481" i="1"/>
  <c r="C481" i="1"/>
  <c r="D531" i="1"/>
  <c r="A531" i="1"/>
  <c r="B531" i="1"/>
  <c r="C531" i="1"/>
  <c r="D461" i="1"/>
  <c r="A461" i="1"/>
  <c r="B461" i="1"/>
  <c r="C461" i="1"/>
  <c r="A578" i="1"/>
  <c r="C578" i="1"/>
  <c r="D578" i="1"/>
  <c r="B578" i="1"/>
  <c r="D61" i="1"/>
  <c r="B61" i="1"/>
  <c r="C61" i="1"/>
  <c r="A61" i="1"/>
  <c r="A30" i="1"/>
  <c r="B30" i="1"/>
  <c r="C30" i="1"/>
  <c r="D30" i="1"/>
  <c r="A171" i="1"/>
  <c r="C171" i="1"/>
  <c r="D171" i="1"/>
  <c r="B171" i="1"/>
  <c r="D81" i="1"/>
  <c r="B81" i="1"/>
  <c r="C81" i="1"/>
  <c r="A81" i="1"/>
  <c r="A42" i="1"/>
  <c r="B42" i="1"/>
  <c r="C42" i="1"/>
  <c r="D42" i="1"/>
  <c r="A32" i="1"/>
  <c r="B32" i="1"/>
  <c r="C32" i="1"/>
  <c r="D32" i="1"/>
  <c r="A115" i="1"/>
  <c r="C115" i="1"/>
  <c r="D115" i="1"/>
  <c r="B115" i="1"/>
  <c r="A143" i="1"/>
  <c r="C143" i="1"/>
  <c r="D143" i="1"/>
  <c r="B143" i="1"/>
  <c r="A144" i="1"/>
  <c r="B144" i="1"/>
  <c r="C144" i="1"/>
  <c r="D144" i="1"/>
  <c r="B377" i="1"/>
  <c r="D377" i="1"/>
  <c r="A377" i="1"/>
  <c r="C377" i="1"/>
  <c r="D101" i="1"/>
  <c r="B101" i="1"/>
  <c r="A101" i="1"/>
  <c r="C101" i="1"/>
  <c r="D185" i="1"/>
  <c r="C185" i="1"/>
  <c r="A185" i="1"/>
  <c r="B185" i="1"/>
  <c r="A134" i="1"/>
  <c r="B134" i="1"/>
  <c r="C134" i="1"/>
  <c r="D134" i="1"/>
  <c r="B356" i="1"/>
  <c r="A356" i="1"/>
  <c r="C356" i="1"/>
  <c r="D356" i="1"/>
  <c r="D57" i="1"/>
  <c r="A57" i="1"/>
  <c r="B57" i="1"/>
  <c r="C57" i="1"/>
  <c r="A18" i="1"/>
  <c r="B18" i="1"/>
  <c r="C18" i="1"/>
  <c r="D18" i="1"/>
  <c r="D380" i="1"/>
  <c r="A380" i="1"/>
  <c r="B380" i="1"/>
  <c r="C380" i="1"/>
  <c r="D214" i="1"/>
  <c r="A214" i="1"/>
  <c r="B214" i="1"/>
  <c r="C214" i="1"/>
  <c r="D236" i="1"/>
  <c r="A236" i="1"/>
  <c r="B236" i="1"/>
  <c r="C236" i="1"/>
  <c r="D219" i="1"/>
  <c r="A219" i="1"/>
  <c r="B219" i="1"/>
  <c r="C219" i="1"/>
  <c r="D277" i="1"/>
  <c r="A277" i="1"/>
  <c r="B277" i="1"/>
  <c r="C277" i="1"/>
  <c r="D221" i="1"/>
  <c r="A221" i="1"/>
  <c r="B221" i="1"/>
  <c r="C221" i="1"/>
  <c r="D226" i="1"/>
  <c r="A226" i="1"/>
  <c r="B226" i="1"/>
  <c r="C226" i="1"/>
  <c r="D234" i="1"/>
  <c r="A234" i="1"/>
  <c r="B234" i="1"/>
  <c r="C234" i="1"/>
  <c r="D231" i="1"/>
  <c r="A231" i="1"/>
  <c r="B231" i="1"/>
  <c r="C231" i="1"/>
  <c r="D244" i="1"/>
  <c r="C244" i="1"/>
  <c r="A244" i="1"/>
  <c r="B244" i="1"/>
  <c r="D301" i="1"/>
  <c r="A301" i="1"/>
  <c r="B301" i="1"/>
  <c r="C301" i="1"/>
  <c r="D378" i="1"/>
  <c r="A378" i="1"/>
  <c r="B378" i="1"/>
  <c r="C378" i="1"/>
  <c r="A33" i="1"/>
  <c r="D33" i="1"/>
  <c r="B33" i="1"/>
  <c r="C33" i="1"/>
  <c r="B352" i="1"/>
  <c r="A352" i="1"/>
  <c r="C352" i="1"/>
  <c r="D352" i="1"/>
  <c r="A175" i="1"/>
  <c r="C175" i="1"/>
  <c r="D175" i="1"/>
  <c r="B175" i="1"/>
  <c r="D68" i="1"/>
  <c r="A68" i="1"/>
  <c r="B68" i="1"/>
  <c r="C68" i="1"/>
  <c r="A34" i="1"/>
  <c r="B34" i="1"/>
  <c r="C34" i="1"/>
  <c r="D34" i="1"/>
  <c r="A313" i="1"/>
  <c r="B313" i="1"/>
  <c r="C313" i="1"/>
  <c r="D313" i="1"/>
  <c r="A328" i="1"/>
  <c r="B328" i="1"/>
  <c r="C328" i="1"/>
  <c r="D328" i="1"/>
  <c r="H56" i="1"/>
  <c r="E56" i="1"/>
  <c r="F56" i="1"/>
  <c r="G56" i="1"/>
  <c r="H298" i="1"/>
  <c r="E298" i="1"/>
  <c r="F298" i="1"/>
  <c r="G298" i="1"/>
  <c r="E153" i="1"/>
  <c r="H153" i="1"/>
  <c r="F153" i="1"/>
  <c r="G153" i="1"/>
  <c r="F366" i="1"/>
  <c r="G366" i="1"/>
  <c r="H366" i="1"/>
  <c r="E366" i="1"/>
  <c r="E128" i="1"/>
  <c r="F128" i="1"/>
  <c r="G128" i="1"/>
  <c r="H128" i="1"/>
  <c r="F343" i="1"/>
  <c r="E343" i="1"/>
  <c r="G343" i="1"/>
  <c r="H343" i="1"/>
  <c r="E109" i="1"/>
  <c r="H109" i="1"/>
  <c r="F109" i="1"/>
  <c r="G109" i="1"/>
  <c r="F353" i="1"/>
  <c r="E353" i="1"/>
  <c r="G353" i="1"/>
  <c r="H353" i="1"/>
  <c r="H191" i="1"/>
  <c r="E191" i="1"/>
  <c r="F191" i="1"/>
  <c r="G191" i="1"/>
  <c r="E38" i="1"/>
  <c r="G38" i="1"/>
  <c r="H38" i="1"/>
  <c r="F38" i="1"/>
  <c r="F357" i="1"/>
  <c r="E357" i="1"/>
  <c r="G357" i="1"/>
  <c r="H357" i="1"/>
  <c r="H92" i="1"/>
  <c r="E92" i="1"/>
  <c r="F92" i="1"/>
  <c r="G92" i="1"/>
  <c r="E121" i="1"/>
  <c r="H121" i="1"/>
  <c r="F121" i="1"/>
  <c r="G121" i="1"/>
  <c r="E130" i="1"/>
  <c r="F130" i="1"/>
  <c r="G130" i="1"/>
  <c r="H130" i="1"/>
  <c r="E7" i="1"/>
  <c r="F7" i="1"/>
  <c r="G7" i="1"/>
  <c r="H7" i="1"/>
  <c r="H87" i="1"/>
  <c r="G87" i="1"/>
  <c r="E87" i="1"/>
  <c r="F87" i="1"/>
  <c r="F363" i="1"/>
  <c r="E363" i="1"/>
  <c r="G363" i="1"/>
  <c r="H363" i="1"/>
  <c r="H193" i="1"/>
  <c r="E193" i="1"/>
  <c r="F193" i="1"/>
  <c r="G193" i="1"/>
  <c r="F340" i="1"/>
  <c r="G340" i="1"/>
  <c r="H340" i="1"/>
  <c r="E340" i="1"/>
  <c r="E170" i="1"/>
  <c r="F170" i="1"/>
  <c r="G170" i="1"/>
  <c r="H170" i="1"/>
  <c r="E175" i="1"/>
  <c r="H175" i="1"/>
  <c r="F175" i="1"/>
  <c r="G175" i="1"/>
  <c r="E137" i="1"/>
  <c r="H137" i="1"/>
  <c r="F137" i="1"/>
  <c r="G137" i="1"/>
  <c r="H50" i="1"/>
  <c r="E50" i="1"/>
  <c r="F50" i="1"/>
  <c r="G50" i="1"/>
  <c r="F342" i="1"/>
  <c r="G342" i="1"/>
  <c r="H342" i="1"/>
  <c r="E342" i="1"/>
  <c r="H184" i="1"/>
  <c r="F184" i="1"/>
  <c r="G184" i="1"/>
  <c r="E184" i="1"/>
  <c r="E37" i="1"/>
  <c r="F37" i="1"/>
  <c r="G37" i="1"/>
  <c r="H37" i="1"/>
  <c r="E165" i="1"/>
  <c r="H165" i="1"/>
  <c r="F165" i="1"/>
  <c r="G165" i="1"/>
  <c r="E115" i="1"/>
  <c r="H115" i="1"/>
  <c r="F115" i="1"/>
  <c r="G115" i="1"/>
  <c r="E142" i="1"/>
  <c r="F142" i="1"/>
  <c r="G142" i="1"/>
  <c r="H142" i="1"/>
  <c r="E29" i="1"/>
  <c r="F29" i="1"/>
  <c r="G29" i="1"/>
  <c r="H29" i="1"/>
  <c r="H212" i="1"/>
  <c r="E212" i="1"/>
  <c r="F212" i="1"/>
  <c r="G212" i="1"/>
  <c r="H288" i="1"/>
  <c r="E288" i="1"/>
  <c r="F288" i="1"/>
  <c r="G288" i="1"/>
  <c r="H253" i="1"/>
  <c r="F253" i="1"/>
  <c r="G253" i="1"/>
  <c r="E253" i="1"/>
  <c r="H278" i="1"/>
  <c r="E278" i="1"/>
  <c r="F278" i="1"/>
  <c r="G278" i="1"/>
  <c r="H275" i="1"/>
  <c r="F275" i="1"/>
  <c r="G275" i="1"/>
  <c r="E275" i="1"/>
  <c r="H243" i="1"/>
  <c r="F243" i="1"/>
  <c r="G243" i="1"/>
  <c r="E243" i="1"/>
  <c r="H262" i="1"/>
  <c r="E262" i="1"/>
  <c r="F262" i="1"/>
  <c r="G262" i="1"/>
  <c r="H214" i="1"/>
  <c r="E214" i="1"/>
  <c r="F214" i="1"/>
  <c r="G214" i="1"/>
  <c r="H201" i="1"/>
  <c r="E201" i="1"/>
  <c r="F201" i="1"/>
  <c r="G201" i="1"/>
  <c r="H396" i="1"/>
  <c r="E396" i="1"/>
  <c r="F396" i="1"/>
  <c r="G396" i="1"/>
  <c r="D450" i="1"/>
  <c r="A450" i="1"/>
  <c r="B450" i="1"/>
  <c r="C450" i="1"/>
  <c r="D527" i="1"/>
  <c r="A527" i="1"/>
  <c r="B527" i="1"/>
  <c r="C527" i="1"/>
  <c r="D534" i="1"/>
  <c r="A534" i="1"/>
  <c r="B534" i="1"/>
  <c r="C534" i="1"/>
  <c r="D494" i="1"/>
  <c r="A494" i="1"/>
  <c r="B494" i="1"/>
  <c r="C494" i="1"/>
  <c r="D401" i="1"/>
  <c r="A401" i="1"/>
  <c r="B401" i="1"/>
  <c r="C401" i="1"/>
  <c r="D425" i="1"/>
  <c r="A425" i="1"/>
  <c r="B425" i="1"/>
  <c r="C425" i="1"/>
  <c r="D465" i="1"/>
  <c r="A465" i="1"/>
  <c r="B465" i="1"/>
  <c r="C465" i="1"/>
  <c r="D551" i="1"/>
  <c r="A551" i="1"/>
  <c r="B551" i="1"/>
  <c r="C551" i="1"/>
  <c r="D416" i="1"/>
  <c r="A416" i="1"/>
  <c r="B416" i="1"/>
  <c r="C416" i="1"/>
  <c r="D454" i="1"/>
  <c r="A454" i="1"/>
  <c r="B454" i="1"/>
  <c r="C454" i="1"/>
  <c r="D467" i="1"/>
  <c r="A467" i="1"/>
  <c r="B467" i="1"/>
  <c r="C467" i="1"/>
  <c r="D506" i="1"/>
  <c r="A506" i="1"/>
  <c r="B506" i="1"/>
  <c r="C506" i="1"/>
  <c r="D418" i="1"/>
  <c r="A418" i="1"/>
  <c r="B418" i="1"/>
  <c r="C418" i="1"/>
  <c r="D463" i="1"/>
  <c r="A463" i="1"/>
  <c r="B463" i="1"/>
  <c r="C463" i="1"/>
  <c r="D400" i="1"/>
  <c r="A400" i="1"/>
  <c r="B400" i="1"/>
  <c r="C400" i="1"/>
  <c r="D293" i="1"/>
  <c r="A293" i="1"/>
  <c r="B293" i="1"/>
  <c r="C293" i="1"/>
  <c r="D93" i="1"/>
  <c r="B93" i="1"/>
  <c r="A93" i="1"/>
  <c r="C93" i="1"/>
  <c r="D62" i="1"/>
  <c r="A62" i="1"/>
  <c r="B62" i="1"/>
  <c r="C62" i="1"/>
  <c r="A44" i="1"/>
  <c r="B44" i="1"/>
  <c r="C44" i="1"/>
  <c r="D44" i="1"/>
  <c r="D384" i="1"/>
  <c r="A384" i="1"/>
  <c r="B384" i="1"/>
  <c r="C384" i="1"/>
  <c r="D188" i="1"/>
  <c r="A188" i="1"/>
  <c r="B188" i="1"/>
  <c r="C188" i="1"/>
  <c r="A113" i="1"/>
  <c r="C113" i="1"/>
  <c r="D113" i="1"/>
  <c r="B113" i="1"/>
  <c r="D74" i="1"/>
  <c r="A74" i="1"/>
  <c r="B74" i="1"/>
  <c r="C74" i="1"/>
  <c r="D64" i="1"/>
  <c r="A64" i="1"/>
  <c r="B64" i="1"/>
  <c r="C64" i="1"/>
  <c r="A147" i="1"/>
  <c r="C147" i="1"/>
  <c r="D147" i="1"/>
  <c r="B147" i="1"/>
  <c r="B364" i="1"/>
  <c r="A364" i="1"/>
  <c r="C364" i="1"/>
  <c r="D364" i="1"/>
  <c r="B369" i="1"/>
  <c r="D369" i="1"/>
  <c r="A369" i="1"/>
  <c r="C369" i="1"/>
  <c r="D388" i="1"/>
  <c r="A388" i="1"/>
  <c r="B388" i="1"/>
  <c r="C388" i="1"/>
  <c r="A125" i="1"/>
  <c r="C125" i="1"/>
  <c r="D125" i="1"/>
  <c r="B125" i="1"/>
  <c r="D54" i="1"/>
  <c r="A54" i="1"/>
  <c r="B54" i="1"/>
  <c r="C54" i="1"/>
  <c r="D55" i="1"/>
  <c r="A55" i="1"/>
  <c r="B55" i="1"/>
  <c r="C55" i="1"/>
  <c r="B339" i="1"/>
  <c r="D339" i="1"/>
  <c r="A339" i="1"/>
  <c r="C339" i="1"/>
  <c r="A325" i="1"/>
  <c r="B325" i="1"/>
  <c r="C325" i="1"/>
  <c r="D325" i="1"/>
  <c r="D186" i="1"/>
  <c r="A186" i="1"/>
  <c r="B186" i="1"/>
  <c r="C186" i="1"/>
  <c r="A148" i="1"/>
  <c r="B148" i="1"/>
  <c r="C148" i="1"/>
  <c r="D148" i="1"/>
  <c r="D89" i="1"/>
  <c r="B89" i="1"/>
  <c r="C89" i="1"/>
  <c r="A89" i="1"/>
  <c r="D50" i="1"/>
  <c r="A50" i="1"/>
  <c r="B50" i="1"/>
  <c r="C50" i="1"/>
  <c r="A312" i="1"/>
  <c r="B312" i="1"/>
  <c r="C312" i="1"/>
  <c r="D312" i="1"/>
  <c r="A155" i="1"/>
  <c r="C155" i="1"/>
  <c r="D155" i="1"/>
  <c r="B155" i="1"/>
  <c r="D398" i="1"/>
  <c r="A398" i="1"/>
  <c r="B398" i="1"/>
  <c r="C398" i="1"/>
  <c r="D266" i="1"/>
  <c r="C266" i="1"/>
  <c r="A266" i="1"/>
  <c r="B266" i="1"/>
  <c r="D275" i="1"/>
  <c r="A275" i="1"/>
  <c r="B275" i="1"/>
  <c r="C275" i="1"/>
  <c r="D270" i="1"/>
  <c r="C270" i="1"/>
  <c r="A270" i="1"/>
  <c r="B270" i="1"/>
  <c r="D263" i="1"/>
  <c r="A263" i="1"/>
  <c r="B263" i="1"/>
  <c r="C263" i="1"/>
  <c r="D213" i="1"/>
  <c r="A213" i="1"/>
  <c r="B213" i="1"/>
  <c r="C213" i="1"/>
  <c r="D200" i="1"/>
  <c r="A200" i="1"/>
  <c r="B200" i="1"/>
  <c r="C200" i="1"/>
  <c r="D265" i="1"/>
  <c r="A265" i="1"/>
  <c r="B265" i="1"/>
  <c r="C265" i="1"/>
  <c r="D258" i="1"/>
  <c r="C258" i="1"/>
  <c r="A258" i="1"/>
  <c r="B258" i="1"/>
  <c r="D260" i="1"/>
  <c r="C260" i="1"/>
  <c r="A260" i="1"/>
  <c r="B260" i="1"/>
  <c r="D249" i="1"/>
  <c r="A249" i="1"/>
  <c r="B249" i="1"/>
  <c r="C249" i="1"/>
  <c r="D238" i="1"/>
  <c r="A238" i="1"/>
  <c r="B238" i="1"/>
  <c r="C238" i="1"/>
  <c r="B350" i="1"/>
  <c r="A350" i="1"/>
  <c r="C350" i="1"/>
  <c r="D350" i="1"/>
  <c r="B333" i="1"/>
  <c r="D333" i="1"/>
  <c r="A333" i="1"/>
  <c r="C333" i="1"/>
  <c r="D298" i="1"/>
  <c r="C298" i="1"/>
  <c r="A298" i="1"/>
  <c r="B298" i="1"/>
  <c r="D300" i="1"/>
  <c r="C300" i="1"/>
  <c r="A300" i="1"/>
  <c r="B300" i="1"/>
  <c r="D90" i="1"/>
  <c r="C90" i="1"/>
  <c r="A90" i="1"/>
  <c r="B90" i="1"/>
  <c r="D179" i="1"/>
  <c r="C179" i="1"/>
  <c r="A179" i="1"/>
  <c r="B179" i="1"/>
  <c r="D53" i="1"/>
  <c r="A53" i="1"/>
  <c r="B53" i="1"/>
  <c r="C53" i="1"/>
  <c r="A132" i="1"/>
  <c r="B132" i="1"/>
  <c r="C132" i="1"/>
  <c r="D132" i="1"/>
  <c r="D73" i="1"/>
  <c r="B73" i="1"/>
  <c r="C73" i="1"/>
  <c r="A73" i="1"/>
  <c r="B335" i="1"/>
  <c r="D335" i="1"/>
  <c r="A335" i="1"/>
  <c r="C335" i="1"/>
  <c r="B375" i="1"/>
  <c r="D375" i="1"/>
  <c r="A375" i="1"/>
  <c r="C375" i="1"/>
  <c r="B360" i="1"/>
  <c r="A360" i="1"/>
  <c r="C360" i="1"/>
  <c r="D360" i="1"/>
  <c r="H403" i="1"/>
  <c r="E403" i="1"/>
  <c r="F403" i="1"/>
  <c r="G403" i="1"/>
  <c r="F346" i="1"/>
  <c r="G346" i="1"/>
  <c r="H346" i="1"/>
  <c r="E346" i="1"/>
  <c r="E8" i="1"/>
  <c r="F8" i="1"/>
  <c r="G8" i="1"/>
  <c r="H8" i="1"/>
  <c r="E17" i="1"/>
  <c r="F17" i="1"/>
  <c r="G17" i="1"/>
  <c r="H17" i="1"/>
  <c r="E19" i="1"/>
  <c r="F19" i="1"/>
  <c r="G19" i="1"/>
  <c r="H19" i="1"/>
  <c r="E144" i="1"/>
  <c r="F144" i="1"/>
  <c r="G144" i="1"/>
  <c r="H144" i="1"/>
  <c r="H295" i="1"/>
  <c r="F295" i="1"/>
  <c r="G295" i="1"/>
  <c r="E295" i="1"/>
  <c r="H61" i="1"/>
  <c r="G61" i="1"/>
  <c r="E61" i="1"/>
  <c r="F61" i="1"/>
  <c r="H189" i="1"/>
  <c r="E189" i="1"/>
  <c r="F189" i="1"/>
  <c r="G189" i="1"/>
  <c r="H383" i="1"/>
  <c r="E383" i="1"/>
  <c r="F383" i="1"/>
  <c r="G383" i="1"/>
  <c r="H54" i="1"/>
  <c r="E54" i="1"/>
  <c r="F54" i="1"/>
  <c r="G54" i="1"/>
  <c r="H182" i="1"/>
  <c r="F182" i="1"/>
  <c r="G182" i="1"/>
  <c r="E182" i="1"/>
  <c r="E314" i="1"/>
  <c r="F314" i="1"/>
  <c r="G314" i="1"/>
  <c r="H314" i="1"/>
  <c r="F339" i="1"/>
  <c r="E339" i="1"/>
  <c r="G339" i="1"/>
  <c r="H339" i="1"/>
  <c r="E34" i="1"/>
  <c r="G34" i="1"/>
  <c r="H34" i="1"/>
  <c r="F34" i="1"/>
  <c r="E111" i="1"/>
  <c r="H111" i="1"/>
  <c r="F111" i="1"/>
  <c r="G111" i="1"/>
  <c r="E23" i="1"/>
  <c r="F23" i="1"/>
  <c r="G23" i="1"/>
  <c r="H23" i="1"/>
  <c r="E164" i="1"/>
  <c r="F164" i="1"/>
  <c r="G164" i="1"/>
  <c r="H164" i="1"/>
  <c r="E135" i="1"/>
  <c r="H135" i="1"/>
  <c r="F135" i="1"/>
  <c r="G135" i="1"/>
  <c r="E16" i="1"/>
  <c r="G16" i="1"/>
  <c r="H16" i="1"/>
  <c r="F16" i="1"/>
  <c r="E145" i="1"/>
  <c r="H145" i="1"/>
  <c r="F145" i="1"/>
  <c r="G145" i="1"/>
  <c r="H63" i="1"/>
  <c r="G63" i="1"/>
  <c r="E63" i="1"/>
  <c r="F63" i="1"/>
  <c r="F356" i="1"/>
  <c r="G356" i="1"/>
  <c r="H356" i="1"/>
  <c r="E356" i="1"/>
  <c r="E122" i="1"/>
  <c r="F122" i="1"/>
  <c r="G122" i="1"/>
  <c r="H122" i="1"/>
  <c r="H377" i="1"/>
  <c r="E377" i="1"/>
  <c r="F377" i="1"/>
  <c r="G377" i="1"/>
  <c r="E124" i="1"/>
  <c r="F124" i="1"/>
  <c r="G124" i="1"/>
  <c r="H124" i="1"/>
  <c r="H185" i="1"/>
  <c r="E185" i="1"/>
  <c r="F185" i="1"/>
  <c r="G185" i="1"/>
  <c r="E317" i="1"/>
  <c r="F317" i="1"/>
  <c r="G317" i="1"/>
  <c r="H317" i="1"/>
  <c r="H389" i="1"/>
  <c r="E389" i="1"/>
  <c r="F389" i="1"/>
  <c r="G389" i="1"/>
  <c r="H72" i="1"/>
  <c r="E72" i="1"/>
  <c r="F72" i="1"/>
  <c r="G72" i="1"/>
  <c r="E22" i="1"/>
  <c r="G22" i="1"/>
  <c r="H22" i="1"/>
  <c r="F22" i="1"/>
  <c r="F351" i="1"/>
  <c r="E351" i="1"/>
  <c r="G351" i="1"/>
  <c r="H351" i="1"/>
  <c r="E117" i="1"/>
  <c r="H117" i="1"/>
  <c r="F117" i="1"/>
  <c r="G117" i="1"/>
  <c r="E10" i="1"/>
  <c r="F10" i="1"/>
  <c r="G10" i="1"/>
  <c r="H10" i="1"/>
  <c r="E328" i="1"/>
  <c r="F328" i="1"/>
  <c r="G328" i="1"/>
  <c r="H328" i="1"/>
  <c r="H94" i="1"/>
  <c r="E94" i="1"/>
  <c r="G94" i="1"/>
  <c r="F94" i="1"/>
  <c r="E309" i="1"/>
  <c r="F309" i="1"/>
  <c r="G309" i="1"/>
  <c r="H309" i="1"/>
  <c r="H213" i="1"/>
  <c r="E213" i="1"/>
  <c r="F213" i="1"/>
  <c r="G213" i="1"/>
  <c r="H268" i="1"/>
  <c r="E268" i="1"/>
  <c r="F268" i="1"/>
  <c r="G268" i="1"/>
  <c r="H265" i="1"/>
  <c r="F265" i="1"/>
  <c r="G265" i="1"/>
  <c r="E265" i="1"/>
  <c r="H236" i="1"/>
  <c r="E236" i="1"/>
  <c r="F236" i="1"/>
  <c r="G236" i="1"/>
  <c r="D516" i="1"/>
  <c r="A516" i="1"/>
  <c r="B516" i="1"/>
  <c r="C516" i="1"/>
  <c r="D500" i="1"/>
  <c r="A500" i="1"/>
  <c r="B500" i="1"/>
  <c r="C500" i="1"/>
  <c r="D424" i="1"/>
  <c r="A424" i="1"/>
  <c r="B424" i="1"/>
  <c r="C424" i="1"/>
  <c r="D407" i="1"/>
  <c r="A407" i="1"/>
  <c r="B407" i="1"/>
  <c r="C407" i="1"/>
  <c r="D411" i="1"/>
  <c r="A411" i="1"/>
  <c r="B411" i="1"/>
  <c r="C411" i="1"/>
  <c r="D402" i="1"/>
  <c r="A402" i="1"/>
  <c r="B402" i="1"/>
  <c r="C402" i="1"/>
  <c r="D503" i="1"/>
  <c r="A503" i="1"/>
  <c r="B503" i="1"/>
  <c r="C503" i="1"/>
  <c r="D390" i="1"/>
  <c r="A390" i="1"/>
  <c r="B390" i="1"/>
  <c r="C390" i="1"/>
  <c r="D546" i="1"/>
  <c r="A546" i="1"/>
  <c r="B546" i="1"/>
  <c r="C546" i="1"/>
  <c r="D413" i="1"/>
  <c r="A413" i="1"/>
  <c r="B413" i="1"/>
  <c r="C413" i="1"/>
  <c r="D432" i="1"/>
  <c r="A432" i="1"/>
  <c r="B432" i="1"/>
  <c r="C432" i="1"/>
  <c r="A571" i="1"/>
  <c r="B571" i="1"/>
  <c r="C571" i="1"/>
  <c r="D571" i="1"/>
  <c r="D550" i="1"/>
  <c r="A550" i="1"/>
  <c r="B550" i="1"/>
  <c r="C550" i="1"/>
  <c r="D394" i="1"/>
  <c r="A394" i="1"/>
  <c r="B394" i="1"/>
  <c r="C394" i="1"/>
  <c r="A574" i="1"/>
  <c r="C574" i="1"/>
  <c r="D574" i="1"/>
  <c r="B574" i="1"/>
  <c r="A161" i="1"/>
  <c r="C161" i="1"/>
  <c r="D161" i="1"/>
  <c r="B161" i="1"/>
  <c r="A133" i="1"/>
  <c r="C133" i="1"/>
  <c r="D133" i="1"/>
  <c r="B133" i="1"/>
  <c r="D94" i="1"/>
  <c r="A94" i="1"/>
  <c r="B94" i="1"/>
  <c r="C94" i="1"/>
  <c r="A316" i="1"/>
  <c r="B316" i="1"/>
  <c r="C316" i="1"/>
  <c r="D316" i="1"/>
  <c r="A163" i="1"/>
  <c r="C163" i="1"/>
  <c r="D163" i="1"/>
  <c r="B163" i="1"/>
  <c r="A145" i="1"/>
  <c r="C145" i="1"/>
  <c r="D145" i="1"/>
  <c r="B145" i="1"/>
  <c r="A106" i="1"/>
  <c r="B106" i="1"/>
  <c r="C106" i="1"/>
  <c r="D106" i="1"/>
  <c r="D96" i="1"/>
  <c r="A96" i="1"/>
  <c r="B96" i="1"/>
  <c r="C96" i="1"/>
  <c r="D51" i="1"/>
  <c r="A51" i="1"/>
  <c r="B51" i="1"/>
  <c r="C51" i="1"/>
  <c r="D197" i="1"/>
  <c r="A197" i="1"/>
  <c r="B197" i="1"/>
  <c r="C197" i="1"/>
  <c r="D379" i="1"/>
  <c r="A379" i="1"/>
  <c r="B379" i="1"/>
  <c r="C379" i="1"/>
  <c r="A16" i="1"/>
  <c r="B16" i="1"/>
  <c r="C16" i="1"/>
  <c r="D16" i="1"/>
  <c r="D420" i="1"/>
  <c r="A420" i="1"/>
  <c r="B420" i="1"/>
  <c r="C420" i="1"/>
  <c r="A118" i="1"/>
  <c r="B118" i="1"/>
  <c r="C118" i="1"/>
  <c r="D118" i="1"/>
  <c r="A172" i="1"/>
  <c r="B172" i="1"/>
  <c r="C172" i="1"/>
  <c r="D172" i="1"/>
  <c r="D98" i="1"/>
  <c r="C98" i="1"/>
  <c r="A98" i="1"/>
  <c r="B98" i="1"/>
  <c r="A160" i="1"/>
  <c r="B160" i="1"/>
  <c r="C160" i="1"/>
  <c r="D160" i="1"/>
  <c r="A109" i="1"/>
  <c r="C109" i="1"/>
  <c r="D109" i="1"/>
  <c r="B109" i="1"/>
  <c r="B357" i="1"/>
  <c r="D357" i="1"/>
  <c r="A357" i="1"/>
  <c r="C357" i="1"/>
  <c r="D70" i="1"/>
  <c r="A70" i="1"/>
  <c r="B70" i="1"/>
  <c r="C70" i="1"/>
  <c r="A319" i="1"/>
  <c r="B319" i="1"/>
  <c r="C319" i="1"/>
  <c r="D319" i="1"/>
  <c r="D52" i="1"/>
  <c r="A52" i="1"/>
  <c r="B52" i="1"/>
  <c r="C52" i="1"/>
  <c r="D196" i="1"/>
  <c r="A196" i="1"/>
  <c r="B196" i="1"/>
  <c r="C196" i="1"/>
  <c r="D295" i="1"/>
  <c r="A295" i="1"/>
  <c r="B295" i="1"/>
  <c r="C295" i="1"/>
  <c r="A135" i="1"/>
  <c r="C135" i="1"/>
  <c r="D135" i="1"/>
  <c r="B135" i="1"/>
  <c r="B374" i="1"/>
  <c r="A374" i="1"/>
  <c r="C374" i="1"/>
  <c r="D374" i="1"/>
  <c r="A121" i="1"/>
  <c r="C121" i="1"/>
  <c r="D121" i="1"/>
  <c r="B121" i="1"/>
  <c r="B361" i="1"/>
  <c r="D361" i="1"/>
  <c r="A361" i="1"/>
  <c r="C361" i="1"/>
  <c r="D82" i="1"/>
  <c r="A82" i="1"/>
  <c r="B82" i="1"/>
  <c r="C82" i="1"/>
  <c r="D177" i="1"/>
  <c r="A177" i="1"/>
  <c r="B177" i="1"/>
  <c r="C177" i="1"/>
  <c r="D104" i="1"/>
  <c r="A104" i="1"/>
  <c r="B104" i="1"/>
  <c r="C104" i="1"/>
  <c r="B344" i="1"/>
  <c r="A344" i="1"/>
  <c r="C344" i="1"/>
  <c r="D344" i="1"/>
  <c r="D59" i="1"/>
  <c r="A59" i="1"/>
  <c r="B59" i="1"/>
  <c r="C59" i="1"/>
  <c r="D455" i="1"/>
  <c r="A455" i="1"/>
  <c r="B455" i="1"/>
  <c r="C455" i="1"/>
  <c r="D289" i="1"/>
  <c r="A289" i="1"/>
  <c r="B289" i="1"/>
  <c r="C289" i="1"/>
  <c r="D235" i="1"/>
  <c r="A235" i="1"/>
  <c r="B235" i="1"/>
  <c r="C235" i="1"/>
  <c r="D268" i="1"/>
  <c r="C268" i="1"/>
  <c r="A268" i="1"/>
  <c r="B268" i="1"/>
  <c r="D284" i="1"/>
  <c r="C284" i="1"/>
  <c r="A284" i="1"/>
  <c r="B284" i="1"/>
  <c r="D211" i="1"/>
  <c r="A211" i="1"/>
  <c r="B211" i="1"/>
  <c r="C211" i="1"/>
  <c r="D228" i="1"/>
  <c r="A228" i="1"/>
  <c r="B228" i="1"/>
  <c r="C228" i="1"/>
  <c r="D198" i="1"/>
  <c r="A198" i="1"/>
  <c r="B198" i="1"/>
  <c r="C198" i="1"/>
  <c r="D256" i="1"/>
  <c r="C256" i="1"/>
  <c r="A256" i="1"/>
  <c r="B256" i="1"/>
  <c r="D199" i="1"/>
  <c r="A199" i="1"/>
  <c r="B199" i="1"/>
  <c r="C199" i="1"/>
  <c r="D280" i="1"/>
  <c r="C280" i="1"/>
  <c r="A280" i="1"/>
  <c r="B280" i="1"/>
  <c r="D274" i="1"/>
  <c r="C274" i="1"/>
  <c r="A274" i="1"/>
  <c r="B274" i="1"/>
  <c r="D241" i="1"/>
  <c r="A241" i="1"/>
  <c r="B241" i="1"/>
  <c r="C241" i="1"/>
  <c r="D267" i="1"/>
  <c r="A267" i="1"/>
  <c r="B267" i="1"/>
  <c r="C267" i="1"/>
  <c r="D230" i="1"/>
  <c r="A230" i="1"/>
  <c r="B230" i="1"/>
  <c r="C230" i="1"/>
  <c r="D201" i="1"/>
  <c r="A201" i="1"/>
  <c r="B201" i="1"/>
  <c r="C201" i="1"/>
  <c r="D243" i="1"/>
  <c r="A243" i="1"/>
  <c r="B243" i="1"/>
  <c r="C243" i="1"/>
  <c r="D212" i="1"/>
  <c r="A212" i="1"/>
  <c r="B212" i="1"/>
  <c r="C212" i="1"/>
  <c r="D257" i="1"/>
  <c r="A257" i="1"/>
  <c r="B257" i="1"/>
  <c r="C257" i="1"/>
  <c r="D251" i="1"/>
  <c r="A251" i="1"/>
  <c r="B251" i="1"/>
  <c r="C251" i="1"/>
  <c r="D210" i="1"/>
  <c r="A210" i="1"/>
  <c r="B210" i="1"/>
  <c r="C210" i="1"/>
  <c r="D285" i="1"/>
  <c r="A285" i="1"/>
  <c r="B285" i="1"/>
  <c r="C285" i="1"/>
  <c r="D227" i="1"/>
  <c r="A227" i="1"/>
  <c r="B227" i="1"/>
  <c r="C227" i="1"/>
  <c r="D272" i="1"/>
  <c r="C272" i="1"/>
  <c r="A272" i="1"/>
  <c r="B272" i="1"/>
  <c r="D254" i="1"/>
  <c r="C254" i="1"/>
  <c r="A254" i="1"/>
  <c r="B254" i="1"/>
  <c r="D176" i="1"/>
  <c r="A176" i="1"/>
  <c r="B176" i="1"/>
  <c r="C176" i="1"/>
  <c r="A117" i="1"/>
  <c r="C117" i="1"/>
  <c r="D117" i="1"/>
  <c r="B117" i="1"/>
  <c r="B365" i="1"/>
  <c r="D365" i="1"/>
  <c r="A365" i="1"/>
  <c r="C365" i="1"/>
  <c r="D78" i="1"/>
  <c r="A78" i="1"/>
  <c r="B78" i="1"/>
  <c r="C78" i="1"/>
  <c r="B330" i="1"/>
  <c r="A330" i="1"/>
  <c r="C330" i="1"/>
  <c r="D330" i="1"/>
  <c r="D60" i="1"/>
  <c r="A60" i="1"/>
  <c r="B60" i="1"/>
  <c r="C60" i="1"/>
  <c r="B332" i="1"/>
  <c r="A332" i="1"/>
  <c r="C332" i="1"/>
  <c r="D332" i="1"/>
  <c r="D299" i="1"/>
  <c r="A299" i="1"/>
  <c r="B299" i="1"/>
  <c r="C299" i="1"/>
  <c r="A165" i="1"/>
  <c r="C165" i="1"/>
  <c r="D165" i="1"/>
  <c r="B165" i="1"/>
  <c r="A122" i="1"/>
  <c r="B122" i="1"/>
  <c r="C122" i="1"/>
  <c r="D122" i="1"/>
  <c r="A112" i="1"/>
  <c r="B112" i="1"/>
  <c r="C112" i="1"/>
  <c r="D112" i="1"/>
  <c r="A35" i="1"/>
  <c r="D35" i="1"/>
  <c r="B35" i="1"/>
  <c r="C35" i="1"/>
  <c r="D477" i="1"/>
  <c r="A477" i="1"/>
  <c r="B477" i="1"/>
  <c r="C477" i="1"/>
  <c r="D85" i="1"/>
  <c r="B85" i="1"/>
  <c r="C85" i="1"/>
  <c r="A85" i="1"/>
  <c r="A150" i="1"/>
  <c r="B150" i="1"/>
  <c r="C150" i="1"/>
  <c r="D150" i="1"/>
  <c r="A159" i="1"/>
  <c r="C159" i="1"/>
  <c r="D159" i="1"/>
  <c r="B159" i="1"/>
  <c r="A310" i="1"/>
  <c r="B310" i="1"/>
  <c r="C310" i="1"/>
  <c r="D310" i="1"/>
  <c r="A137" i="1"/>
  <c r="C137" i="1"/>
  <c r="D137" i="1"/>
  <c r="B137" i="1"/>
  <c r="A130" i="1"/>
  <c r="B130" i="1"/>
  <c r="C130" i="1"/>
  <c r="D130" i="1"/>
  <c r="B367" i="1"/>
  <c r="D367" i="1"/>
  <c r="A367" i="1"/>
  <c r="C367" i="1"/>
  <c r="D381" i="1"/>
  <c r="A381" i="1"/>
  <c r="B381" i="1"/>
  <c r="C381" i="1"/>
  <c r="A24" i="1"/>
  <c r="B24" i="1"/>
  <c r="C24" i="1"/>
  <c r="D24" i="1"/>
  <c r="A152" i="1"/>
  <c r="B152" i="1"/>
  <c r="C152" i="1"/>
  <c r="D152" i="1"/>
  <c r="D191" i="1"/>
  <c r="C191" i="1"/>
  <c r="A191" i="1"/>
  <c r="B191" i="1"/>
  <c r="A107" i="1"/>
  <c r="C107" i="1"/>
  <c r="D107" i="1"/>
  <c r="B107" i="1"/>
  <c r="H102" i="1"/>
  <c r="E102" i="1"/>
  <c r="G102" i="1"/>
  <c r="F102" i="1"/>
  <c r="H445" i="1"/>
  <c r="E445" i="1"/>
  <c r="F445" i="1"/>
  <c r="G445" i="1"/>
  <c r="H450" i="1"/>
  <c r="E450" i="1"/>
  <c r="F450" i="1"/>
  <c r="G450" i="1"/>
  <c r="E15" i="1"/>
  <c r="F15" i="1"/>
  <c r="G15" i="1"/>
  <c r="H15" i="1"/>
  <c r="H51" i="1"/>
  <c r="E51" i="1"/>
  <c r="F51" i="1"/>
  <c r="G51" i="1"/>
  <c r="H57" i="1"/>
  <c r="E57" i="1"/>
  <c r="F57" i="1"/>
  <c r="G57" i="1"/>
  <c r="F345" i="1"/>
  <c r="E345" i="1"/>
  <c r="G345" i="1"/>
  <c r="H345" i="1"/>
  <c r="H59" i="1"/>
  <c r="G59" i="1"/>
  <c r="E59" i="1"/>
  <c r="F59" i="1"/>
  <c r="F334" i="1"/>
  <c r="G334" i="1"/>
  <c r="H334" i="1"/>
  <c r="E334" i="1"/>
  <c r="E36" i="1"/>
  <c r="G36" i="1"/>
  <c r="H36" i="1"/>
  <c r="F36" i="1"/>
  <c r="H96" i="1"/>
  <c r="E96" i="1"/>
  <c r="F96" i="1"/>
  <c r="G96" i="1"/>
  <c r="E160" i="1"/>
  <c r="F160" i="1"/>
  <c r="G160" i="1"/>
  <c r="H160" i="1"/>
  <c r="E119" i="1"/>
  <c r="H119" i="1"/>
  <c r="F119" i="1"/>
  <c r="G119" i="1"/>
  <c r="E311" i="1"/>
  <c r="F311" i="1"/>
  <c r="G311" i="1"/>
  <c r="H311" i="1"/>
  <c r="E12" i="1"/>
  <c r="F12" i="1"/>
  <c r="G12" i="1"/>
  <c r="H12" i="1"/>
  <c r="H77" i="1"/>
  <c r="G77" i="1"/>
  <c r="E77" i="1"/>
  <c r="F77" i="1"/>
  <c r="E141" i="1"/>
  <c r="H141" i="1"/>
  <c r="F141" i="1"/>
  <c r="G141" i="1"/>
  <c r="H380" i="1"/>
  <c r="E380" i="1"/>
  <c r="F380" i="1"/>
  <c r="G380" i="1"/>
  <c r="H91" i="1"/>
  <c r="G91" i="1"/>
  <c r="E91" i="1"/>
  <c r="F91" i="1"/>
  <c r="H304" i="1"/>
  <c r="E304" i="1"/>
  <c r="F304" i="1"/>
  <c r="G304" i="1"/>
  <c r="F368" i="1"/>
  <c r="G368" i="1"/>
  <c r="H368" i="1"/>
  <c r="E368" i="1"/>
  <c r="H70" i="1"/>
  <c r="E70" i="1"/>
  <c r="F70" i="1"/>
  <c r="G70" i="1"/>
  <c r="E134" i="1"/>
  <c r="F134" i="1"/>
  <c r="G134" i="1"/>
  <c r="H134" i="1"/>
  <c r="H388" i="1"/>
  <c r="E388" i="1"/>
  <c r="F388" i="1"/>
  <c r="G388" i="1"/>
  <c r="H67" i="1"/>
  <c r="G67" i="1"/>
  <c r="E67" i="1"/>
  <c r="F67" i="1"/>
  <c r="F362" i="1"/>
  <c r="G362" i="1"/>
  <c r="H362" i="1"/>
  <c r="E362" i="1"/>
  <c r="H188" i="1"/>
  <c r="F188" i="1"/>
  <c r="G188" i="1"/>
  <c r="E188" i="1"/>
  <c r="E41" i="1"/>
  <c r="F41" i="1"/>
  <c r="G41" i="1"/>
  <c r="H41" i="1"/>
  <c r="H179" i="1"/>
  <c r="E179" i="1"/>
  <c r="F179" i="1"/>
  <c r="G179" i="1"/>
  <c r="H66" i="1"/>
  <c r="E66" i="1"/>
  <c r="F66" i="1"/>
  <c r="G66" i="1"/>
  <c r="H194" i="1"/>
  <c r="E194" i="1"/>
  <c r="F194" i="1"/>
  <c r="G194" i="1"/>
  <c r="F369" i="1"/>
  <c r="E369" i="1"/>
  <c r="G369" i="1"/>
  <c r="H369" i="1"/>
  <c r="F338" i="1"/>
  <c r="G338" i="1"/>
  <c r="H338" i="1"/>
  <c r="E338" i="1"/>
  <c r="E40" i="1"/>
  <c r="G40" i="1"/>
  <c r="H40" i="1"/>
  <c r="F40" i="1"/>
  <c r="E116" i="1"/>
  <c r="F116" i="1"/>
  <c r="G116" i="1"/>
  <c r="H116" i="1"/>
  <c r="H180" i="1"/>
  <c r="F180" i="1"/>
  <c r="G180" i="1"/>
  <c r="E180" i="1"/>
  <c r="H183" i="1"/>
  <c r="E183" i="1"/>
  <c r="F183" i="1"/>
  <c r="G183" i="1"/>
  <c r="F331" i="1"/>
  <c r="E331" i="1"/>
  <c r="G331" i="1"/>
  <c r="H331" i="1"/>
  <c r="E33" i="1"/>
  <c r="F33" i="1"/>
  <c r="G33" i="1"/>
  <c r="H33" i="1"/>
  <c r="H97" i="1"/>
  <c r="G97" i="1"/>
  <c r="E97" i="1"/>
  <c r="F97" i="1"/>
  <c r="E161" i="1"/>
  <c r="H161" i="1"/>
  <c r="F161" i="1"/>
  <c r="G161" i="1"/>
  <c r="E325" i="1"/>
  <c r="F325" i="1"/>
  <c r="G325" i="1"/>
  <c r="H325" i="1"/>
  <c r="H103" i="1"/>
  <c r="G103" i="1"/>
  <c r="F103" i="1"/>
  <c r="E103" i="1"/>
  <c r="H308" i="1"/>
  <c r="E308" i="1"/>
  <c r="F308" i="1"/>
  <c r="G308" i="1"/>
  <c r="E9" i="1"/>
  <c r="F9" i="1"/>
  <c r="G9" i="1"/>
  <c r="H9" i="1"/>
  <c r="H74" i="1"/>
  <c r="E74" i="1"/>
  <c r="F74" i="1"/>
  <c r="G74" i="1"/>
  <c r="E138" i="1"/>
  <c r="F138" i="1"/>
  <c r="G138" i="1"/>
  <c r="H138" i="1"/>
  <c r="H301" i="1"/>
  <c r="F301" i="1"/>
  <c r="G301" i="1"/>
  <c r="E301" i="1"/>
  <c r="H79" i="1"/>
  <c r="G79" i="1"/>
  <c r="E79" i="1"/>
  <c r="F79" i="1"/>
  <c r="F330" i="1"/>
  <c r="G330" i="1"/>
  <c r="H330" i="1"/>
  <c r="E330" i="1"/>
  <c r="E172" i="1"/>
  <c r="F172" i="1"/>
  <c r="G172" i="1"/>
  <c r="H172" i="1"/>
  <c r="E24" i="1"/>
  <c r="G24" i="1"/>
  <c r="H24" i="1"/>
  <c r="F24" i="1"/>
  <c r="E313" i="1"/>
  <c r="F313" i="1"/>
  <c r="G313" i="1"/>
  <c r="H313" i="1"/>
  <c r="F332" i="1"/>
  <c r="G332" i="1"/>
  <c r="H332" i="1"/>
  <c r="E332" i="1"/>
  <c r="E114" i="1"/>
  <c r="F114" i="1"/>
  <c r="G114" i="1"/>
  <c r="H114" i="1"/>
  <c r="F349" i="1"/>
  <c r="E349" i="1"/>
  <c r="G349" i="1"/>
  <c r="H349" i="1"/>
  <c r="E310" i="1"/>
  <c r="F310" i="1"/>
  <c r="G310" i="1"/>
  <c r="H310" i="1"/>
  <c r="E11" i="1"/>
  <c r="F11" i="1"/>
  <c r="G11" i="1"/>
  <c r="H11" i="1"/>
  <c r="H88" i="1"/>
  <c r="E88" i="1"/>
  <c r="F88" i="1"/>
  <c r="G88" i="1"/>
  <c r="E152" i="1"/>
  <c r="F152" i="1"/>
  <c r="G152" i="1"/>
  <c r="H152" i="1"/>
  <c r="H99" i="1"/>
  <c r="G99" i="1"/>
  <c r="E99" i="1"/>
  <c r="F99" i="1"/>
  <c r="H303" i="1"/>
  <c r="F303" i="1"/>
  <c r="G303" i="1"/>
  <c r="E303" i="1"/>
  <c r="F367" i="1"/>
  <c r="E367" i="1"/>
  <c r="G367" i="1"/>
  <c r="H367" i="1"/>
  <c r="H69" i="1"/>
  <c r="G69" i="1"/>
  <c r="E69" i="1"/>
  <c r="F69" i="1"/>
  <c r="E133" i="1"/>
  <c r="H133" i="1"/>
  <c r="F133" i="1"/>
  <c r="G133" i="1"/>
  <c r="H197" i="1"/>
  <c r="E197" i="1"/>
  <c r="F197" i="1"/>
  <c r="G197" i="1"/>
  <c r="E43" i="1"/>
  <c r="F43" i="1"/>
  <c r="G43" i="1"/>
  <c r="H43" i="1"/>
  <c r="F375" i="1"/>
  <c r="E375" i="1"/>
  <c r="G375" i="1"/>
  <c r="H375" i="1"/>
  <c r="F344" i="1"/>
  <c r="G344" i="1"/>
  <c r="H344" i="1"/>
  <c r="E344" i="1"/>
  <c r="E46" i="1"/>
  <c r="G46" i="1"/>
  <c r="H46" i="1"/>
  <c r="F46" i="1"/>
  <c r="E110" i="1"/>
  <c r="F110" i="1"/>
  <c r="G110" i="1"/>
  <c r="H110" i="1"/>
  <c r="E174" i="1"/>
  <c r="F174" i="1"/>
  <c r="G174" i="1"/>
  <c r="H174" i="1"/>
  <c r="F341" i="1"/>
  <c r="E341" i="1"/>
  <c r="G341" i="1"/>
  <c r="H341" i="1"/>
  <c r="E143" i="1"/>
  <c r="H143" i="1"/>
  <c r="F143" i="1"/>
  <c r="G143" i="1"/>
  <c r="H233" i="1"/>
  <c r="E233" i="1"/>
  <c r="F233" i="1"/>
  <c r="G233" i="1"/>
  <c r="H244" i="1"/>
  <c r="E244" i="1"/>
  <c r="F244" i="1"/>
  <c r="G244" i="1"/>
  <c r="H272" i="1"/>
  <c r="E272" i="1"/>
  <c r="F272" i="1"/>
  <c r="G272" i="1"/>
  <c r="H216" i="1"/>
  <c r="E216" i="1"/>
  <c r="F216" i="1"/>
  <c r="G216" i="1"/>
  <c r="H285" i="1"/>
  <c r="F285" i="1"/>
  <c r="G285" i="1"/>
  <c r="E285" i="1"/>
  <c r="H245" i="1"/>
  <c r="F245" i="1"/>
  <c r="G245" i="1"/>
  <c r="E245" i="1"/>
  <c r="H252" i="1"/>
  <c r="E252" i="1"/>
  <c r="F252" i="1"/>
  <c r="G252" i="1"/>
  <c r="H264" i="1"/>
  <c r="E264" i="1"/>
  <c r="F264" i="1"/>
  <c r="G264" i="1"/>
  <c r="H224" i="1"/>
  <c r="E224" i="1"/>
  <c r="F224" i="1"/>
  <c r="G224" i="1"/>
  <c r="H293" i="1"/>
  <c r="F293" i="1"/>
  <c r="G293" i="1"/>
  <c r="E293" i="1"/>
  <c r="H286" i="1"/>
  <c r="E286" i="1"/>
  <c r="F286" i="1"/>
  <c r="G286" i="1"/>
  <c r="H270" i="1"/>
  <c r="E270" i="1"/>
  <c r="F270" i="1"/>
  <c r="G270" i="1"/>
  <c r="H283" i="1"/>
  <c r="F283" i="1"/>
  <c r="G283" i="1"/>
  <c r="E283" i="1"/>
  <c r="H267" i="1"/>
  <c r="F267" i="1"/>
  <c r="G267" i="1"/>
  <c r="E267" i="1"/>
  <c r="H251" i="1"/>
  <c r="F251" i="1"/>
  <c r="G251" i="1"/>
  <c r="E251" i="1"/>
  <c r="H235" i="1"/>
  <c r="E235" i="1"/>
  <c r="F235" i="1"/>
  <c r="G235" i="1"/>
  <c r="H219" i="1"/>
  <c r="E219" i="1"/>
  <c r="F219" i="1"/>
  <c r="G219" i="1"/>
  <c r="H203" i="1"/>
  <c r="E203" i="1"/>
  <c r="F203" i="1"/>
  <c r="G203" i="1"/>
  <c r="H254" i="1"/>
  <c r="E254" i="1"/>
  <c r="F254" i="1"/>
  <c r="G254" i="1"/>
  <c r="H238" i="1"/>
  <c r="E238" i="1"/>
  <c r="F238" i="1"/>
  <c r="G238" i="1"/>
  <c r="H222" i="1"/>
  <c r="E222" i="1"/>
  <c r="F222" i="1"/>
  <c r="G222" i="1"/>
  <c r="H206" i="1"/>
  <c r="E206" i="1"/>
  <c r="F206" i="1"/>
  <c r="G206" i="1"/>
  <c r="H257" i="1"/>
  <c r="F257" i="1"/>
  <c r="G257" i="1"/>
  <c r="E257" i="1"/>
  <c r="H209" i="1"/>
  <c r="E209" i="1"/>
  <c r="F209" i="1"/>
  <c r="G209" i="1"/>
  <c r="A320" i="1"/>
  <c r="B320" i="1"/>
  <c r="C320" i="1"/>
  <c r="D320" i="1"/>
  <c r="H420" i="1"/>
  <c r="E420" i="1"/>
  <c r="F420" i="1"/>
  <c r="G420" i="1"/>
  <c r="D414" i="1"/>
  <c r="A414" i="1"/>
  <c r="B414" i="1"/>
  <c r="C414" i="1"/>
  <c r="D396" i="1"/>
  <c r="A396" i="1"/>
  <c r="B396" i="1"/>
  <c r="C396" i="1"/>
  <c r="D489" i="1"/>
  <c r="A489" i="1"/>
  <c r="B489" i="1"/>
  <c r="C489" i="1"/>
  <c r="D397" i="1"/>
  <c r="A397" i="1"/>
  <c r="B397" i="1"/>
  <c r="C397" i="1"/>
  <c r="D469" i="1"/>
  <c r="A469" i="1"/>
  <c r="B469" i="1"/>
  <c r="C469" i="1"/>
  <c r="D412" i="1"/>
  <c r="A412" i="1"/>
  <c r="B412" i="1"/>
  <c r="C412" i="1"/>
  <c r="D443" i="1"/>
  <c r="A443" i="1"/>
  <c r="B443" i="1"/>
  <c r="C443" i="1"/>
  <c r="D451" i="1"/>
  <c r="A451" i="1"/>
  <c r="B451" i="1"/>
  <c r="C451" i="1"/>
  <c r="D435" i="1"/>
  <c r="A435" i="1"/>
  <c r="B435" i="1"/>
  <c r="C435" i="1"/>
  <c r="D442" i="1"/>
  <c r="A442" i="1"/>
  <c r="B442" i="1"/>
  <c r="C442" i="1"/>
  <c r="D515" i="1"/>
  <c r="A515" i="1"/>
  <c r="B515" i="1"/>
  <c r="C515" i="1"/>
  <c r="D478" i="1"/>
  <c r="A478" i="1"/>
  <c r="B478" i="1"/>
  <c r="C478" i="1"/>
  <c r="A317" i="1"/>
  <c r="B317" i="1"/>
  <c r="C317" i="1"/>
  <c r="D317" i="1"/>
  <c r="A12" i="1"/>
  <c r="B12" i="1"/>
  <c r="C12" i="1"/>
  <c r="D12" i="1"/>
  <c r="A140" i="1"/>
  <c r="B140" i="1"/>
  <c r="C140" i="1"/>
  <c r="D140" i="1"/>
  <c r="B347" i="1"/>
  <c r="D347" i="1"/>
  <c r="A347" i="1"/>
  <c r="C347" i="1"/>
  <c r="D102" i="1"/>
  <c r="A102" i="1"/>
  <c r="B102" i="1"/>
  <c r="C102" i="1"/>
  <c r="B372" i="1"/>
  <c r="A372" i="1"/>
  <c r="C372" i="1"/>
  <c r="D372" i="1"/>
  <c r="D429" i="1"/>
  <c r="A429" i="1"/>
  <c r="B429" i="1"/>
  <c r="C429" i="1"/>
  <c r="A129" i="1"/>
  <c r="C129" i="1"/>
  <c r="D129" i="1"/>
  <c r="B129" i="1"/>
  <c r="D445" i="1"/>
  <c r="A445" i="1"/>
  <c r="B445" i="1"/>
  <c r="C445" i="1"/>
  <c r="A36" i="1"/>
  <c r="B36" i="1"/>
  <c r="C36" i="1"/>
  <c r="D36" i="1"/>
  <c r="B376" i="1"/>
  <c r="A376" i="1"/>
  <c r="C376" i="1"/>
  <c r="D376" i="1"/>
  <c r="A37" i="1"/>
  <c r="D37" i="1"/>
  <c r="B37" i="1"/>
  <c r="C37" i="1"/>
  <c r="D189" i="1"/>
  <c r="C189" i="1"/>
  <c r="A189" i="1"/>
  <c r="B189" i="1"/>
  <c r="D71" i="1"/>
  <c r="B71" i="1"/>
  <c r="C71" i="1"/>
  <c r="A71" i="1"/>
  <c r="D297" i="1"/>
  <c r="A297" i="1"/>
  <c r="B297" i="1"/>
  <c r="C297" i="1"/>
  <c r="A146" i="1"/>
  <c r="B146" i="1"/>
  <c r="C146" i="1"/>
  <c r="D146" i="1"/>
  <c r="D180" i="1"/>
  <c r="A180" i="1"/>
  <c r="B180" i="1"/>
  <c r="C180" i="1"/>
  <c r="D466" i="1"/>
  <c r="A466" i="1"/>
  <c r="B466" i="1"/>
  <c r="C466" i="1"/>
  <c r="D215" i="1"/>
  <c r="A215" i="1"/>
  <c r="B215" i="1"/>
  <c r="C215" i="1"/>
  <c r="D281" i="1"/>
  <c r="A281" i="1"/>
  <c r="B281" i="1"/>
  <c r="C281" i="1"/>
  <c r="D252" i="1"/>
  <c r="C252" i="1"/>
  <c r="A252" i="1"/>
  <c r="B252" i="1"/>
  <c r="D287" i="1"/>
  <c r="A287" i="1"/>
  <c r="B287" i="1"/>
  <c r="C287" i="1"/>
  <c r="D247" i="1"/>
  <c r="A247" i="1"/>
  <c r="B247" i="1"/>
  <c r="C247" i="1"/>
  <c r="D207" i="1"/>
  <c r="A207" i="1"/>
  <c r="B207" i="1"/>
  <c r="C207" i="1"/>
  <c r="D206" i="1"/>
  <c r="A206" i="1"/>
  <c r="B206" i="1"/>
  <c r="C206" i="1"/>
  <c r="D273" i="1"/>
  <c r="A273" i="1"/>
  <c r="B273" i="1"/>
  <c r="C273" i="1"/>
  <c r="A45" i="1"/>
  <c r="D45" i="1"/>
  <c r="B45" i="1"/>
  <c r="C45" i="1"/>
  <c r="A142" i="1"/>
  <c r="B142" i="1"/>
  <c r="C142" i="1"/>
  <c r="D142" i="1"/>
  <c r="A47" i="1"/>
  <c r="D47" i="1"/>
  <c r="B47" i="1"/>
  <c r="C47" i="1"/>
  <c r="A26" i="1"/>
  <c r="B26" i="1"/>
  <c r="C26" i="1"/>
  <c r="D26" i="1"/>
  <c r="B371" i="1"/>
  <c r="D371" i="1"/>
  <c r="A371" i="1"/>
  <c r="C371" i="1"/>
  <c r="D87" i="1"/>
  <c r="B87" i="1"/>
  <c r="C87" i="1"/>
  <c r="A87" i="1"/>
  <c r="B341" i="1"/>
  <c r="D341" i="1"/>
  <c r="A341" i="1"/>
  <c r="C341" i="1"/>
  <c r="D88" i="1"/>
  <c r="A88" i="1"/>
  <c r="B88" i="1"/>
  <c r="C88" i="1"/>
  <c r="A43" i="1"/>
  <c r="D43" i="1"/>
  <c r="B43" i="1"/>
  <c r="C43" i="1"/>
  <c r="E323" i="1"/>
  <c r="F323" i="1"/>
  <c r="G323" i="1"/>
  <c r="H323" i="1"/>
  <c r="H302" i="1"/>
  <c r="E302" i="1"/>
  <c r="F302" i="1"/>
  <c r="G302" i="1"/>
  <c r="H192" i="1"/>
  <c r="E192" i="1"/>
  <c r="F192" i="1"/>
  <c r="G192" i="1"/>
  <c r="E45" i="1"/>
  <c r="F45" i="1"/>
  <c r="G45" i="1"/>
  <c r="H45" i="1"/>
  <c r="E163" i="1"/>
  <c r="H163" i="1"/>
  <c r="F163" i="1"/>
  <c r="G163" i="1"/>
  <c r="F348" i="1"/>
  <c r="G348" i="1"/>
  <c r="H348" i="1"/>
  <c r="E348" i="1"/>
  <c r="H306" i="1"/>
  <c r="E306" i="1"/>
  <c r="F306" i="1"/>
  <c r="G306" i="1"/>
  <c r="H84" i="1"/>
  <c r="E84" i="1"/>
  <c r="F84" i="1"/>
  <c r="G84" i="1"/>
  <c r="H299" i="1"/>
  <c r="F299" i="1"/>
  <c r="G299" i="1"/>
  <c r="E299" i="1"/>
  <c r="E129" i="1"/>
  <c r="H129" i="1"/>
  <c r="F129" i="1"/>
  <c r="G129" i="1"/>
  <c r="F371" i="1"/>
  <c r="E371" i="1"/>
  <c r="G371" i="1"/>
  <c r="H371" i="1"/>
  <c r="E42" i="1"/>
  <c r="G42" i="1"/>
  <c r="H42" i="1"/>
  <c r="F42" i="1"/>
  <c r="F361" i="1"/>
  <c r="E361" i="1"/>
  <c r="G361" i="1"/>
  <c r="H361" i="1"/>
  <c r="H386" i="1"/>
  <c r="E386" i="1"/>
  <c r="F386" i="1"/>
  <c r="G386" i="1"/>
  <c r="E127" i="1"/>
  <c r="H127" i="1"/>
  <c r="F127" i="1"/>
  <c r="G127" i="1"/>
  <c r="F373" i="1"/>
  <c r="E373" i="1"/>
  <c r="G373" i="1"/>
  <c r="H373" i="1"/>
  <c r="E120" i="1"/>
  <c r="F120" i="1"/>
  <c r="G120" i="1"/>
  <c r="H120" i="1"/>
  <c r="F335" i="1"/>
  <c r="E335" i="1"/>
  <c r="G335" i="1"/>
  <c r="H335" i="1"/>
  <c r="F333" i="1"/>
  <c r="E333" i="1"/>
  <c r="G333" i="1"/>
  <c r="H333" i="1"/>
  <c r="E312" i="1"/>
  <c r="F312" i="1"/>
  <c r="G312" i="1"/>
  <c r="H312" i="1"/>
  <c r="H78" i="1"/>
  <c r="E78" i="1"/>
  <c r="F78" i="1"/>
  <c r="G78" i="1"/>
  <c r="E47" i="1"/>
  <c r="F47" i="1"/>
  <c r="G47" i="1"/>
  <c r="H47" i="1"/>
  <c r="H281" i="1"/>
  <c r="F281" i="1"/>
  <c r="G281" i="1"/>
  <c r="E281" i="1"/>
  <c r="H248" i="1"/>
  <c r="E248" i="1"/>
  <c r="F248" i="1"/>
  <c r="G248" i="1"/>
  <c r="H289" i="1"/>
  <c r="F289" i="1"/>
  <c r="G289" i="1"/>
  <c r="E289" i="1"/>
  <c r="H280" i="1"/>
  <c r="E280" i="1"/>
  <c r="F280" i="1"/>
  <c r="G280" i="1"/>
  <c r="H259" i="1"/>
  <c r="F259" i="1"/>
  <c r="G259" i="1"/>
  <c r="E259" i="1"/>
  <c r="H227" i="1"/>
  <c r="E227" i="1"/>
  <c r="F227" i="1"/>
  <c r="G227" i="1"/>
  <c r="H246" i="1"/>
  <c r="E246" i="1"/>
  <c r="F246" i="1"/>
  <c r="G246" i="1"/>
  <c r="H198" i="1"/>
  <c r="E198" i="1"/>
  <c r="F198" i="1"/>
  <c r="G198" i="1"/>
  <c r="D409" i="1"/>
  <c r="A409" i="1"/>
  <c r="B409" i="1"/>
  <c r="C409" i="1"/>
  <c r="D552" i="1"/>
  <c r="A552" i="1"/>
  <c r="B552" i="1"/>
  <c r="C552" i="1"/>
  <c r="A557" i="1"/>
  <c r="B557" i="1"/>
  <c r="C557" i="1"/>
  <c r="D557" i="1"/>
  <c r="D392" i="1"/>
  <c r="A392" i="1"/>
  <c r="B392" i="1"/>
  <c r="C392" i="1"/>
  <c r="D473" i="1"/>
  <c r="A473" i="1"/>
  <c r="B473" i="1"/>
  <c r="C473" i="1"/>
  <c r="D547" i="1"/>
  <c r="A547" i="1"/>
  <c r="B547" i="1"/>
  <c r="C547" i="1"/>
  <c r="D476" i="1"/>
  <c r="A476" i="1"/>
  <c r="B476" i="1"/>
  <c r="C476" i="1"/>
  <c r="D475" i="1"/>
  <c r="A475" i="1"/>
  <c r="B475" i="1"/>
  <c r="C475" i="1"/>
  <c r="D472" i="1"/>
  <c r="A472" i="1"/>
  <c r="B472" i="1"/>
  <c r="C472" i="1"/>
  <c r="D502" i="1"/>
  <c r="A502" i="1"/>
  <c r="B502" i="1"/>
  <c r="C502" i="1"/>
  <c r="D446" i="1"/>
  <c r="A446" i="1"/>
  <c r="B446" i="1"/>
  <c r="C446" i="1"/>
  <c r="D468" i="1"/>
  <c r="A468" i="1"/>
  <c r="B468" i="1"/>
  <c r="C468" i="1"/>
  <c r="D498" i="1"/>
  <c r="A498" i="1"/>
  <c r="B498" i="1"/>
  <c r="C498" i="1"/>
  <c r="A570" i="1"/>
  <c r="C570" i="1"/>
  <c r="D570" i="1"/>
  <c r="B570" i="1"/>
  <c r="D471" i="1"/>
  <c r="A471" i="1"/>
  <c r="B471" i="1"/>
  <c r="C471" i="1"/>
  <c r="D464" i="1"/>
  <c r="A464" i="1"/>
  <c r="B464" i="1"/>
  <c r="C464" i="1"/>
  <c r="B366" i="1"/>
  <c r="A366" i="1"/>
  <c r="C366" i="1"/>
  <c r="D366" i="1"/>
  <c r="B349" i="1"/>
  <c r="D349" i="1"/>
  <c r="A349" i="1"/>
  <c r="C349" i="1"/>
  <c r="A314" i="1"/>
  <c r="B314" i="1"/>
  <c r="C314" i="1"/>
  <c r="D314" i="1"/>
  <c r="D184" i="1"/>
  <c r="A184" i="1"/>
  <c r="B184" i="1"/>
  <c r="C184" i="1"/>
  <c r="A127" i="1"/>
  <c r="C127" i="1"/>
  <c r="D127" i="1"/>
  <c r="B127" i="1"/>
  <c r="B353" i="1"/>
  <c r="D353" i="1"/>
  <c r="A353" i="1"/>
  <c r="C353" i="1"/>
  <c r="A327" i="1"/>
  <c r="B327" i="1"/>
  <c r="C327" i="1"/>
  <c r="D327" i="1"/>
  <c r="D304" i="1"/>
  <c r="C304" i="1"/>
  <c r="A304" i="1"/>
  <c r="B304" i="1"/>
  <c r="A19" i="1"/>
  <c r="D19" i="1"/>
  <c r="B19" i="1"/>
  <c r="C19" i="1"/>
  <c r="D403" i="1"/>
  <c r="A403" i="1"/>
  <c r="B403" i="1"/>
  <c r="C403" i="1"/>
  <c r="B331" i="1"/>
  <c r="D331" i="1"/>
  <c r="A331" i="1"/>
  <c r="C331" i="1"/>
  <c r="B343" i="1"/>
  <c r="D343" i="1"/>
  <c r="A343" i="1"/>
  <c r="C343" i="1"/>
  <c r="D483" i="1"/>
  <c r="A483" i="1"/>
  <c r="B483" i="1"/>
  <c r="C483" i="1"/>
  <c r="D100" i="1"/>
  <c r="B100" i="1"/>
  <c r="C100" i="1"/>
  <c r="A100" i="1"/>
  <c r="D181" i="1"/>
  <c r="C181" i="1"/>
  <c r="A181" i="1"/>
  <c r="B181" i="1"/>
  <c r="D69" i="1"/>
  <c r="B69" i="1"/>
  <c r="C69" i="1"/>
  <c r="A69" i="1"/>
  <c r="A38" i="1"/>
  <c r="B38" i="1"/>
  <c r="C38" i="1"/>
  <c r="D38" i="1"/>
  <c r="A20" i="1"/>
  <c r="B20" i="1"/>
  <c r="C20" i="1"/>
  <c r="D20" i="1"/>
  <c r="D183" i="1"/>
  <c r="C183" i="1"/>
  <c r="A183" i="1"/>
  <c r="B183" i="1"/>
  <c r="B358" i="1"/>
  <c r="A358" i="1"/>
  <c r="C358" i="1"/>
  <c r="D358" i="1"/>
  <c r="A329" i="1"/>
  <c r="B329" i="1"/>
  <c r="C329" i="1"/>
  <c r="D329" i="1"/>
  <c r="B338" i="1"/>
  <c r="A338" i="1"/>
  <c r="C338" i="1"/>
  <c r="D338" i="1"/>
  <c r="D72" i="1"/>
  <c r="A72" i="1"/>
  <c r="B72" i="1"/>
  <c r="C72" i="1"/>
  <c r="A27" i="1"/>
  <c r="D27" i="1"/>
  <c r="B27" i="1"/>
  <c r="C27" i="1"/>
  <c r="D220" i="1"/>
  <c r="A220" i="1"/>
  <c r="B220" i="1"/>
  <c r="C220" i="1"/>
  <c r="D233" i="1"/>
  <c r="A233" i="1"/>
  <c r="B233" i="1"/>
  <c r="C233" i="1"/>
  <c r="D218" i="1"/>
  <c r="A218" i="1"/>
  <c r="B218" i="1"/>
  <c r="C218" i="1"/>
  <c r="D237" i="1"/>
  <c r="A237" i="1"/>
  <c r="B237" i="1"/>
  <c r="C237" i="1"/>
  <c r="D242" i="1"/>
  <c r="C242" i="1"/>
  <c r="A242" i="1"/>
  <c r="B242" i="1"/>
  <c r="D223" i="1"/>
  <c r="A223" i="1"/>
  <c r="B223" i="1"/>
  <c r="C223" i="1"/>
  <c r="D224" i="1"/>
  <c r="A224" i="1"/>
  <c r="B224" i="1"/>
  <c r="C224" i="1"/>
  <c r="D240" i="1"/>
  <c r="A240" i="1"/>
  <c r="B240" i="1"/>
  <c r="C240" i="1"/>
  <c r="D225" i="1"/>
  <c r="A225" i="1"/>
  <c r="B225" i="1"/>
  <c r="C225" i="1"/>
  <c r="D282" i="1"/>
  <c r="C282" i="1"/>
  <c r="A282" i="1"/>
  <c r="B282" i="1"/>
  <c r="D291" i="1"/>
  <c r="A291" i="1"/>
  <c r="B291" i="1"/>
  <c r="C291" i="1"/>
  <c r="D209" i="1"/>
  <c r="A209" i="1"/>
  <c r="B209" i="1"/>
  <c r="C209" i="1"/>
  <c r="D77" i="1"/>
  <c r="B77" i="1"/>
  <c r="C77" i="1"/>
  <c r="A77" i="1"/>
  <c r="A46" i="1"/>
  <c r="B46" i="1"/>
  <c r="C46" i="1"/>
  <c r="D46" i="1"/>
  <c r="A28" i="1"/>
  <c r="B28" i="1"/>
  <c r="C28" i="1"/>
  <c r="D28" i="1"/>
  <c r="A111" i="1"/>
  <c r="C111" i="1"/>
  <c r="D111" i="1"/>
  <c r="B111" i="1"/>
  <c r="A48" i="1"/>
  <c r="B48" i="1"/>
  <c r="C48" i="1"/>
  <c r="D48" i="1"/>
  <c r="D422" i="1"/>
  <c r="A422" i="1"/>
  <c r="B422" i="1"/>
  <c r="C422" i="1"/>
  <c r="D86" i="1"/>
  <c r="A86" i="1"/>
  <c r="B86" i="1"/>
  <c r="C86" i="1"/>
  <c r="A119" i="1"/>
  <c r="C119" i="1"/>
  <c r="D119" i="1"/>
  <c r="B119" i="1"/>
  <c r="D66" i="1"/>
  <c r="A66" i="1"/>
  <c r="B66" i="1"/>
  <c r="C66" i="1"/>
  <c r="B345" i="1"/>
  <c r="D345" i="1"/>
  <c r="A345" i="1"/>
  <c r="C345" i="1"/>
  <c r="A120" i="1"/>
  <c r="B120" i="1"/>
  <c r="C120" i="1"/>
  <c r="D120" i="1"/>
  <c r="D75" i="1"/>
  <c r="B75" i="1"/>
  <c r="C75" i="1"/>
  <c r="A75" i="1"/>
  <c r="E156" i="1"/>
  <c r="F156" i="1"/>
  <c r="G156" i="1"/>
  <c r="H156" i="1"/>
  <c r="F376" i="1"/>
  <c r="G376" i="1"/>
  <c r="H376" i="1"/>
  <c r="E376" i="1"/>
  <c r="E318" i="1"/>
  <c r="F318" i="1"/>
  <c r="G318" i="1"/>
  <c r="H318" i="1"/>
  <c r="H80" i="1"/>
  <c r="E80" i="1"/>
  <c r="F80" i="1"/>
  <c r="G80" i="1"/>
  <c r="H75" i="1"/>
  <c r="G75" i="1"/>
  <c r="E75" i="1"/>
  <c r="F75" i="1"/>
  <c r="F359" i="1"/>
  <c r="E359" i="1"/>
  <c r="G359" i="1"/>
  <c r="H359" i="1"/>
  <c r="E125" i="1"/>
  <c r="H125" i="1"/>
  <c r="F125" i="1"/>
  <c r="G125" i="1"/>
  <c r="E31" i="1"/>
  <c r="F31" i="1"/>
  <c r="G31" i="1"/>
  <c r="H31" i="1"/>
  <c r="F352" i="1"/>
  <c r="G352" i="1"/>
  <c r="H352" i="1"/>
  <c r="E352" i="1"/>
  <c r="E118" i="1"/>
  <c r="F118" i="1"/>
  <c r="G118" i="1"/>
  <c r="H118" i="1"/>
  <c r="E26" i="1"/>
  <c r="G26" i="1"/>
  <c r="H26" i="1"/>
  <c r="F26" i="1"/>
  <c r="E140" i="1"/>
  <c r="F140" i="1"/>
  <c r="G140" i="1"/>
  <c r="H140" i="1"/>
  <c r="E169" i="1"/>
  <c r="H169" i="1"/>
  <c r="F169" i="1"/>
  <c r="G169" i="1"/>
  <c r="E162" i="1"/>
  <c r="F162" i="1"/>
  <c r="G162" i="1"/>
  <c r="H162" i="1"/>
  <c r="E322" i="1"/>
  <c r="F322" i="1"/>
  <c r="G322" i="1"/>
  <c r="H322" i="1"/>
  <c r="H100" i="1"/>
  <c r="E100" i="1"/>
  <c r="F100" i="1"/>
  <c r="G100" i="1"/>
  <c r="E315" i="1"/>
  <c r="F315" i="1"/>
  <c r="G315" i="1"/>
  <c r="H315" i="1"/>
  <c r="H81" i="1"/>
  <c r="G81" i="1"/>
  <c r="E81" i="1"/>
  <c r="F81" i="1"/>
  <c r="H297" i="1"/>
  <c r="F297" i="1"/>
  <c r="G297" i="1"/>
  <c r="E297" i="1"/>
  <c r="H387" i="1"/>
  <c r="E387" i="1"/>
  <c r="F387" i="1"/>
  <c r="G387" i="1"/>
  <c r="H58" i="1"/>
  <c r="E58" i="1"/>
  <c r="F58" i="1"/>
  <c r="G58" i="1"/>
  <c r="H186" i="1"/>
  <c r="F186" i="1"/>
  <c r="G186" i="1"/>
  <c r="E186" i="1"/>
  <c r="E39" i="1"/>
  <c r="F39" i="1"/>
  <c r="G39" i="1"/>
  <c r="H39" i="1"/>
  <c r="F355" i="1"/>
  <c r="E355" i="1"/>
  <c r="G355" i="1"/>
  <c r="H355" i="1"/>
  <c r="H379" i="1"/>
  <c r="E379" i="1"/>
  <c r="F379" i="1"/>
  <c r="G379" i="1"/>
  <c r="H82" i="1"/>
  <c r="E82" i="1"/>
  <c r="F82" i="1"/>
  <c r="G82" i="1"/>
  <c r="F358" i="1"/>
  <c r="G358" i="1"/>
  <c r="H358" i="1"/>
  <c r="E358" i="1"/>
  <c r="E136" i="1"/>
  <c r="F136" i="1"/>
  <c r="G136" i="1"/>
  <c r="H136" i="1"/>
  <c r="H382" i="1"/>
  <c r="E382" i="1"/>
  <c r="F382" i="1"/>
  <c r="G382" i="1"/>
  <c r="H53" i="1"/>
  <c r="E53" i="1"/>
  <c r="F53" i="1"/>
  <c r="G53" i="1"/>
  <c r="H181" i="1"/>
  <c r="E181" i="1"/>
  <c r="F181" i="1"/>
  <c r="G181" i="1"/>
  <c r="E167" i="1"/>
  <c r="H167" i="1"/>
  <c r="F167" i="1"/>
  <c r="G167" i="1"/>
  <c r="E30" i="1"/>
  <c r="G30" i="1"/>
  <c r="H30" i="1"/>
  <c r="F30" i="1"/>
  <c r="E158" i="1"/>
  <c r="F158" i="1"/>
  <c r="G158" i="1"/>
  <c r="H158" i="1"/>
  <c r="H95" i="1"/>
  <c r="G95" i="1"/>
  <c r="F95" i="1"/>
  <c r="E95" i="1"/>
  <c r="H228" i="1"/>
  <c r="E228" i="1"/>
  <c r="F228" i="1"/>
  <c r="G228" i="1"/>
  <c r="H200" i="1"/>
  <c r="E200" i="1"/>
  <c r="F200" i="1"/>
  <c r="G200" i="1"/>
  <c r="H225" i="1"/>
  <c r="E225" i="1"/>
  <c r="F225" i="1"/>
  <c r="G225" i="1"/>
  <c r="D524" i="1"/>
  <c r="A524" i="1"/>
  <c r="B524" i="1"/>
  <c r="C524" i="1"/>
  <c r="A558" i="1"/>
  <c r="C558" i="1"/>
  <c r="D558" i="1"/>
  <c r="B558" i="1"/>
  <c r="D448" i="1"/>
  <c r="A448" i="1"/>
  <c r="B448" i="1"/>
  <c r="C448" i="1"/>
  <c r="D430" i="1"/>
  <c r="A430" i="1"/>
  <c r="B430" i="1"/>
  <c r="C430" i="1"/>
  <c r="D457" i="1"/>
  <c r="A457" i="1"/>
  <c r="B457" i="1"/>
  <c r="C457" i="1"/>
  <c r="D462" i="1"/>
  <c r="A462" i="1"/>
  <c r="B462" i="1"/>
  <c r="C462" i="1"/>
  <c r="D427" i="1"/>
  <c r="A427" i="1"/>
  <c r="B427" i="1"/>
  <c r="C427" i="1"/>
  <c r="D480" i="1"/>
  <c r="A480" i="1"/>
  <c r="B480" i="1"/>
  <c r="C480" i="1"/>
  <c r="D447" i="1"/>
  <c r="A447" i="1"/>
  <c r="B447" i="1"/>
  <c r="C447" i="1"/>
  <c r="D421" i="1"/>
  <c r="A421" i="1"/>
  <c r="B421" i="1"/>
  <c r="C421" i="1"/>
  <c r="D499" i="1"/>
  <c r="A499" i="1"/>
  <c r="B499" i="1"/>
  <c r="C499" i="1"/>
  <c r="D438" i="1"/>
  <c r="A438" i="1"/>
  <c r="B438" i="1"/>
  <c r="C438" i="1"/>
  <c r="D417" i="1"/>
  <c r="A417" i="1"/>
  <c r="B417" i="1"/>
  <c r="C417" i="1"/>
  <c r="D395" i="1"/>
  <c r="A395" i="1"/>
  <c r="B395" i="1"/>
  <c r="C395" i="1"/>
  <c r="D431" i="1"/>
  <c r="A431" i="1"/>
  <c r="B431" i="1"/>
  <c r="C431" i="1"/>
  <c r="D382" i="1"/>
  <c r="A382" i="1"/>
  <c r="B382" i="1"/>
  <c r="C382" i="1"/>
  <c r="A170" i="1"/>
  <c r="B170" i="1"/>
  <c r="C170" i="1"/>
  <c r="D170" i="1"/>
  <c r="B346" i="1"/>
  <c r="A346" i="1"/>
  <c r="C346" i="1"/>
  <c r="D346" i="1"/>
  <c r="D76" i="1"/>
  <c r="A76" i="1"/>
  <c r="B76" i="1"/>
  <c r="C76" i="1"/>
  <c r="A31" i="1"/>
  <c r="D31" i="1"/>
  <c r="B31" i="1"/>
  <c r="C31" i="1"/>
  <c r="A17" i="1"/>
  <c r="D17" i="1"/>
  <c r="B17" i="1"/>
  <c r="C17" i="1"/>
  <c r="D178" i="1"/>
  <c r="A178" i="1"/>
  <c r="B178" i="1"/>
  <c r="C178" i="1"/>
  <c r="B359" i="1"/>
  <c r="D359" i="1"/>
  <c r="A359" i="1"/>
  <c r="C359" i="1"/>
  <c r="B336" i="1"/>
  <c r="A336" i="1"/>
  <c r="C336" i="1"/>
  <c r="D336" i="1"/>
  <c r="D406" i="1"/>
  <c r="A406" i="1"/>
  <c r="B406" i="1"/>
  <c r="C406" i="1"/>
  <c r="A15" i="1"/>
  <c r="B15" i="1"/>
  <c r="C15" i="1"/>
  <c r="D15" i="1"/>
  <c r="B373" i="1"/>
  <c r="D373" i="1"/>
  <c r="A373" i="1"/>
  <c r="C373" i="1"/>
  <c r="D67" i="1"/>
  <c r="B67" i="1"/>
  <c r="C67" i="1"/>
  <c r="A67" i="1"/>
  <c r="A309" i="1"/>
  <c r="B309" i="1"/>
  <c r="C309" i="1"/>
  <c r="D309" i="1"/>
  <c r="A151" i="1"/>
  <c r="C151" i="1"/>
  <c r="D151" i="1"/>
  <c r="B151" i="1"/>
  <c r="D509" i="1"/>
  <c r="A509" i="1"/>
  <c r="B509" i="1"/>
  <c r="C509" i="1"/>
  <c r="D521" i="1"/>
  <c r="A521" i="1"/>
  <c r="B521" i="1"/>
  <c r="C521" i="1"/>
  <c r="D538" i="1"/>
  <c r="A538" i="1"/>
  <c r="B538" i="1"/>
  <c r="C538" i="1"/>
  <c r="D490" i="1"/>
  <c r="A490" i="1"/>
  <c r="B490" i="1"/>
  <c r="C490" i="1"/>
  <c r="D456" i="1"/>
  <c r="A456" i="1"/>
  <c r="B456" i="1"/>
  <c r="C456" i="1"/>
  <c r="D391" i="1"/>
  <c r="A391" i="1"/>
  <c r="B391" i="1"/>
  <c r="C391" i="1"/>
  <c r="D439" i="1"/>
  <c r="A439" i="1"/>
  <c r="B439" i="1"/>
  <c r="C439" i="1"/>
  <c r="D405" i="1"/>
  <c r="A405" i="1"/>
  <c r="B405" i="1"/>
  <c r="C405" i="1"/>
  <c r="D523" i="1"/>
  <c r="A523" i="1"/>
  <c r="B523" i="1"/>
  <c r="C523" i="1"/>
  <c r="D423" i="1"/>
  <c r="A423" i="1"/>
  <c r="B423" i="1"/>
  <c r="C423" i="1"/>
  <c r="D434" i="1"/>
  <c r="A434" i="1"/>
  <c r="B434" i="1"/>
  <c r="C434" i="1"/>
  <c r="D437" i="1"/>
  <c r="A437" i="1"/>
  <c r="B437" i="1"/>
  <c r="C437" i="1"/>
  <c r="D543" i="1"/>
  <c r="A543" i="1"/>
  <c r="B543" i="1"/>
  <c r="C543" i="1"/>
  <c r="D408" i="1"/>
  <c r="A408" i="1"/>
  <c r="B408" i="1"/>
  <c r="C408" i="1"/>
  <c r="D419" i="1"/>
  <c r="A419" i="1"/>
  <c r="B419" i="1"/>
  <c r="C419" i="1"/>
  <c r="D479" i="1"/>
  <c r="A479" i="1"/>
  <c r="B479" i="1"/>
  <c r="C479" i="1"/>
  <c r="D495" i="1"/>
  <c r="A495" i="1"/>
  <c r="B495" i="1"/>
  <c r="C495" i="1"/>
  <c r="D522" i="1"/>
  <c r="A522" i="1"/>
  <c r="B522" i="1"/>
  <c r="C522" i="1"/>
  <c r="D449" i="1"/>
  <c r="A449" i="1"/>
  <c r="B449" i="1"/>
  <c r="C449" i="1"/>
  <c r="D453" i="1"/>
  <c r="A453" i="1"/>
  <c r="B453" i="1"/>
  <c r="C453" i="1"/>
  <c r="D399" i="1"/>
  <c r="A399" i="1"/>
  <c r="B399" i="1"/>
  <c r="C399" i="1"/>
  <c r="A563" i="1"/>
  <c r="B563" i="1"/>
  <c r="C563" i="1"/>
  <c r="D563" i="1"/>
  <c r="D410" i="1"/>
  <c r="A410" i="1"/>
  <c r="B410" i="1"/>
  <c r="C410" i="1"/>
  <c r="D514" i="1"/>
  <c r="A514" i="1"/>
  <c r="B514" i="1"/>
  <c r="C514" i="1"/>
  <c r="A579" i="1"/>
  <c r="B579" i="1"/>
  <c r="C579" i="1"/>
  <c r="D579" i="1"/>
  <c r="D426" i="1"/>
  <c r="A426" i="1"/>
  <c r="B426" i="1"/>
  <c r="C426" i="1"/>
  <c r="A575" i="1"/>
  <c r="B575" i="1"/>
  <c r="C575" i="1"/>
  <c r="D575" i="1"/>
  <c r="D436" i="1"/>
  <c r="A436" i="1"/>
  <c r="B436" i="1"/>
  <c r="C436" i="1"/>
  <c r="D302" i="1"/>
  <c r="C302" i="1"/>
  <c r="A302" i="1"/>
  <c r="B302" i="1"/>
  <c r="A29" i="1"/>
  <c r="D29" i="1"/>
  <c r="B29" i="1"/>
  <c r="C29" i="1"/>
  <c r="A173" i="1"/>
  <c r="C173" i="1"/>
  <c r="D173" i="1"/>
  <c r="B173" i="1"/>
  <c r="D385" i="1"/>
  <c r="A385" i="1"/>
  <c r="B385" i="1"/>
  <c r="C385" i="1"/>
  <c r="A126" i="1"/>
  <c r="B126" i="1"/>
  <c r="C126" i="1"/>
  <c r="D126" i="1"/>
  <c r="A169" i="1"/>
  <c r="C169" i="1"/>
  <c r="D169" i="1"/>
  <c r="B169" i="1"/>
  <c r="A108" i="1"/>
  <c r="B108" i="1"/>
  <c r="C108" i="1"/>
  <c r="D108" i="1"/>
  <c r="B348" i="1"/>
  <c r="A348" i="1"/>
  <c r="C348" i="1"/>
  <c r="D348" i="1"/>
  <c r="D63" i="1"/>
  <c r="B63" i="1"/>
  <c r="C63" i="1"/>
  <c r="A63" i="1"/>
  <c r="A315" i="1"/>
  <c r="B315" i="1"/>
  <c r="C315" i="1"/>
  <c r="D315" i="1"/>
  <c r="A49" i="1"/>
  <c r="D49" i="1"/>
  <c r="B49" i="1"/>
  <c r="C49" i="1"/>
  <c r="D193" i="1"/>
  <c r="A193" i="1"/>
  <c r="B193" i="1"/>
  <c r="C193" i="1"/>
  <c r="A10" i="1"/>
  <c r="B10" i="1"/>
  <c r="C10" i="1"/>
  <c r="D10" i="1"/>
  <c r="A138" i="1"/>
  <c r="B138" i="1"/>
  <c r="C138" i="1"/>
  <c r="D138" i="1"/>
  <c r="D386" i="1"/>
  <c r="A386" i="1"/>
  <c r="B386" i="1"/>
  <c r="C386" i="1"/>
  <c r="A128" i="1"/>
  <c r="B128" i="1"/>
  <c r="C128" i="1"/>
  <c r="D128" i="1"/>
  <c r="B368" i="1"/>
  <c r="A368" i="1"/>
  <c r="C368" i="1"/>
  <c r="D368" i="1"/>
  <c r="D83" i="1"/>
  <c r="B83" i="1"/>
  <c r="C83" i="1"/>
  <c r="A83" i="1"/>
  <c r="D470" i="1"/>
  <c r="A470" i="1"/>
  <c r="B470" i="1"/>
  <c r="C470" i="1"/>
  <c r="A318" i="1"/>
  <c r="B318" i="1"/>
  <c r="C318" i="1"/>
  <c r="D318" i="1"/>
  <c r="D79" i="1"/>
  <c r="B79" i="1"/>
  <c r="C79" i="1"/>
  <c r="A79" i="1"/>
  <c r="D65" i="1"/>
  <c r="B65" i="1"/>
  <c r="C65" i="1"/>
  <c r="A65" i="1"/>
  <c r="D58" i="1"/>
  <c r="A58" i="1"/>
  <c r="B58" i="1"/>
  <c r="C58" i="1"/>
  <c r="D80" i="1"/>
  <c r="A80" i="1"/>
  <c r="B80" i="1"/>
  <c r="C80" i="1"/>
  <c r="A131" i="1"/>
  <c r="C131" i="1"/>
  <c r="D131" i="1"/>
  <c r="B131" i="1"/>
  <c r="D389" i="1"/>
  <c r="A389" i="1"/>
  <c r="B389" i="1"/>
  <c r="C389" i="1"/>
  <c r="A158" i="1"/>
  <c r="B158" i="1"/>
  <c r="C158" i="1"/>
  <c r="D158" i="1"/>
  <c r="D303" i="1"/>
  <c r="A303" i="1"/>
  <c r="B303" i="1"/>
  <c r="C303" i="1"/>
  <c r="B340" i="1"/>
  <c r="A340" i="1"/>
  <c r="C340" i="1"/>
  <c r="D340" i="1"/>
  <c r="A9" i="1"/>
  <c r="B9" i="1"/>
  <c r="C9" i="1"/>
  <c r="D9" i="1"/>
  <c r="A174" i="1"/>
  <c r="B174" i="1"/>
  <c r="C174" i="1"/>
  <c r="D174" i="1"/>
  <c r="D387" i="1"/>
  <c r="A387" i="1"/>
  <c r="B387" i="1"/>
  <c r="C387" i="1"/>
  <c r="A141" i="1"/>
  <c r="C141" i="1"/>
  <c r="D141" i="1"/>
  <c r="B141" i="1"/>
  <c r="D182" i="1"/>
  <c r="A182" i="1"/>
  <c r="B182" i="1"/>
  <c r="C182" i="1"/>
  <c r="A7" i="1"/>
  <c r="B7" i="1"/>
  <c r="C7" i="1"/>
  <c r="D7" i="1"/>
  <c r="B351" i="1"/>
  <c r="D351" i="1"/>
  <c r="A351" i="1"/>
  <c r="C351" i="1"/>
  <c r="D84" i="1"/>
  <c r="A84" i="1"/>
  <c r="B84" i="1"/>
  <c r="C84" i="1"/>
  <c r="A324" i="1"/>
  <c r="B324" i="1"/>
  <c r="C324" i="1"/>
  <c r="D324" i="1"/>
  <c r="A39" i="1"/>
  <c r="D39" i="1"/>
  <c r="B39" i="1"/>
  <c r="C39" i="1"/>
  <c r="D187" i="1"/>
  <c r="C187" i="1"/>
  <c r="A187" i="1"/>
  <c r="B187" i="1"/>
  <c r="A25" i="1"/>
  <c r="D25" i="1"/>
  <c r="B25" i="1"/>
  <c r="C25" i="1"/>
  <c r="A153" i="1"/>
  <c r="C153" i="1"/>
  <c r="D153" i="1"/>
  <c r="B153" i="1"/>
  <c r="D190" i="1"/>
  <c r="A190" i="1"/>
  <c r="B190" i="1"/>
  <c r="C190" i="1"/>
  <c r="A114" i="1"/>
  <c r="B114" i="1"/>
  <c r="C114" i="1"/>
  <c r="D114" i="1"/>
  <c r="A8" i="1"/>
  <c r="B8" i="1"/>
  <c r="C8" i="1"/>
  <c r="D8" i="1"/>
  <c r="A136" i="1"/>
  <c r="B136" i="1"/>
  <c r="C136" i="1"/>
  <c r="D136" i="1"/>
  <c r="A167" i="1"/>
  <c r="C167" i="1"/>
  <c r="D167" i="1"/>
  <c r="B167" i="1"/>
  <c r="D91" i="1"/>
  <c r="B91" i="1"/>
  <c r="C91" i="1"/>
  <c r="A91" i="1"/>
  <c r="D444" i="1"/>
  <c r="A444" i="1"/>
  <c r="B444" i="1"/>
  <c r="C444" i="1"/>
  <c r="D290" i="1"/>
  <c r="C290" i="1"/>
  <c r="A290" i="1"/>
  <c r="B290" i="1"/>
  <c r="D253" i="1"/>
  <c r="A253" i="1"/>
  <c r="B253" i="1"/>
  <c r="C253" i="1"/>
  <c r="D279" i="1"/>
  <c r="A279" i="1"/>
  <c r="B279" i="1"/>
  <c r="C279" i="1"/>
  <c r="D262" i="1"/>
  <c r="C262" i="1"/>
  <c r="A262" i="1"/>
  <c r="B262" i="1"/>
  <c r="D229" i="1"/>
  <c r="A229" i="1"/>
  <c r="B229" i="1"/>
  <c r="C229" i="1"/>
  <c r="D239" i="1"/>
  <c r="A239" i="1"/>
  <c r="B239" i="1"/>
  <c r="C239" i="1"/>
  <c r="D283" i="1"/>
  <c r="A283" i="1"/>
  <c r="B283" i="1"/>
  <c r="C283" i="1"/>
  <c r="D246" i="1"/>
  <c r="C246" i="1"/>
  <c r="A246" i="1"/>
  <c r="B246" i="1"/>
  <c r="D217" i="1"/>
  <c r="A217" i="1"/>
  <c r="B217" i="1"/>
  <c r="C217" i="1"/>
  <c r="D259" i="1"/>
  <c r="A259" i="1"/>
  <c r="B259" i="1"/>
  <c r="C259" i="1"/>
  <c r="D202" i="1"/>
  <c r="A202" i="1"/>
  <c r="B202" i="1"/>
  <c r="C202" i="1"/>
  <c r="D264" i="1"/>
  <c r="C264" i="1"/>
  <c r="A264" i="1"/>
  <c r="B264" i="1"/>
  <c r="D203" i="1"/>
  <c r="A203" i="1"/>
  <c r="B203" i="1"/>
  <c r="C203" i="1"/>
  <c r="D248" i="1"/>
  <c r="C248" i="1"/>
  <c r="A248" i="1"/>
  <c r="B248" i="1"/>
  <c r="D216" i="1"/>
  <c r="A216" i="1"/>
  <c r="B216" i="1"/>
  <c r="C216" i="1"/>
  <c r="D261" i="1"/>
  <c r="A261" i="1"/>
  <c r="B261" i="1"/>
  <c r="C261" i="1"/>
  <c r="D271" i="1"/>
  <c r="A271" i="1"/>
  <c r="B271" i="1"/>
  <c r="C271" i="1"/>
  <c r="D232" i="1"/>
  <c r="A232" i="1"/>
  <c r="B232" i="1"/>
  <c r="C232" i="1"/>
  <c r="D269" i="1"/>
  <c r="A269" i="1"/>
  <c r="B269" i="1"/>
  <c r="C269" i="1"/>
  <c r="D204" i="1"/>
  <c r="A204" i="1"/>
  <c r="B204" i="1"/>
  <c r="C204" i="1"/>
  <c r="D278" i="1"/>
  <c r="C278" i="1"/>
  <c r="A278" i="1"/>
  <c r="B278" i="1"/>
  <c r="D245" i="1"/>
  <c r="A245" i="1"/>
  <c r="B245" i="1"/>
  <c r="C245" i="1"/>
  <c r="D255" i="1"/>
  <c r="A255" i="1"/>
  <c r="B255" i="1"/>
  <c r="C255" i="1"/>
  <c r="D286" i="1"/>
  <c r="C286" i="1"/>
  <c r="A286" i="1"/>
  <c r="B286" i="1"/>
  <c r="A13" i="1"/>
  <c r="B13" i="1"/>
  <c r="C13" i="1"/>
  <c r="D13" i="1"/>
  <c r="A149" i="1"/>
  <c r="C149" i="1"/>
  <c r="D149" i="1"/>
  <c r="B149" i="1"/>
  <c r="D194" i="1"/>
  <c r="A194" i="1"/>
  <c r="B194" i="1"/>
  <c r="C194" i="1"/>
  <c r="A110" i="1"/>
  <c r="B110" i="1"/>
  <c r="C110" i="1"/>
  <c r="D110" i="1"/>
  <c r="B362" i="1"/>
  <c r="A362" i="1"/>
  <c r="C362" i="1"/>
  <c r="D362" i="1"/>
  <c r="D92" i="1"/>
  <c r="B92" i="1"/>
  <c r="C92" i="1"/>
  <c r="A92" i="1"/>
  <c r="D195" i="1"/>
  <c r="A195" i="1"/>
  <c r="B195" i="1"/>
  <c r="C195" i="1"/>
  <c r="B363" i="1"/>
  <c r="D363" i="1"/>
  <c r="A363" i="1"/>
  <c r="C363" i="1"/>
  <c r="B337" i="1"/>
  <c r="D337" i="1"/>
  <c r="A337" i="1"/>
  <c r="C337" i="1"/>
  <c r="A311" i="1"/>
  <c r="B311" i="1"/>
  <c r="C311" i="1"/>
  <c r="D311" i="1"/>
  <c r="D192" i="1"/>
  <c r="A192" i="1"/>
  <c r="B192" i="1"/>
  <c r="C192" i="1"/>
  <c r="D99" i="1"/>
  <c r="B99" i="1"/>
  <c r="C99" i="1"/>
  <c r="A99" i="1"/>
  <c r="A323" i="1"/>
  <c r="B323" i="1"/>
  <c r="C323" i="1"/>
  <c r="D323" i="1"/>
  <c r="A157" i="1"/>
  <c r="C157" i="1"/>
  <c r="D157" i="1"/>
  <c r="B157" i="1"/>
  <c r="D383" i="1"/>
  <c r="A383" i="1"/>
  <c r="B383" i="1"/>
  <c r="C383" i="1"/>
  <c r="A23" i="1"/>
  <c r="D23" i="1"/>
  <c r="B23" i="1"/>
  <c r="C23" i="1"/>
  <c r="A168" i="1"/>
  <c r="B168" i="1"/>
  <c r="C168" i="1"/>
  <c r="D168" i="1"/>
  <c r="A166" i="1"/>
  <c r="B166" i="1"/>
  <c r="C166" i="1"/>
  <c r="D166" i="1"/>
  <c r="B355" i="1"/>
  <c r="D355" i="1"/>
  <c r="A355" i="1"/>
  <c r="C355" i="1"/>
  <c r="B342" i="1"/>
  <c r="A342" i="1"/>
  <c r="C342" i="1"/>
  <c r="D342" i="1"/>
  <c r="A322" i="1"/>
  <c r="B322" i="1"/>
  <c r="C322" i="1"/>
  <c r="D322" i="1"/>
  <c r="D56" i="1"/>
  <c r="A56" i="1"/>
  <c r="B56" i="1"/>
  <c r="C56" i="1"/>
  <c r="D296" i="1"/>
  <c r="C296" i="1"/>
  <c r="A296" i="1"/>
  <c r="B296" i="1"/>
  <c r="A11" i="1"/>
  <c r="B11" i="1"/>
  <c r="C11" i="1"/>
  <c r="D11" i="1"/>
  <c r="A139" i="1"/>
  <c r="C139" i="1"/>
  <c r="D139" i="1"/>
  <c r="B139" i="1"/>
  <c r="H414" i="1"/>
  <c r="E414" i="1"/>
  <c r="F414" i="1"/>
  <c r="G414" i="1"/>
  <c r="H422" i="1"/>
  <c r="E422" i="1"/>
  <c r="F422" i="1"/>
  <c r="G422" i="1"/>
  <c r="H482" i="1"/>
  <c r="E482" i="1"/>
  <c r="F482" i="1"/>
  <c r="G482" i="1"/>
  <c r="H60" i="1"/>
  <c r="E60" i="1"/>
  <c r="F60" i="1"/>
  <c r="G60" i="1"/>
  <c r="F370" i="1"/>
  <c r="G370" i="1"/>
  <c r="H370" i="1"/>
  <c r="E370" i="1"/>
  <c r="E105" i="1"/>
  <c r="H105" i="1"/>
  <c r="F105" i="1"/>
  <c r="G105" i="1"/>
  <c r="H83" i="1"/>
  <c r="G83" i="1"/>
  <c r="E83" i="1"/>
  <c r="F83" i="1"/>
  <c r="H381" i="1"/>
  <c r="E381" i="1"/>
  <c r="F381" i="1"/>
  <c r="G381" i="1"/>
  <c r="F350" i="1"/>
  <c r="G350" i="1"/>
  <c r="H350" i="1"/>
  <c r="E350" i="1"/>
  <c r="H52" i="1"/>
  <c r="E52" i="1"/>
  <c r="F52" i="1"/>
  <c r="G52" i="1"/>
  <c r="E112" i="1"/>
  <c r="F112" i="1"/>
  <c r="G112" i="1"/>
  <c r="H112" i="1"/>
  <c r="H176" i="1"/>
  <c r="E176" i="1"/>
  <c r="F176" i="1"/>
  <c r="G176" i="1"/>
  <c r="E171" i="1"/>
  <c r="H171" i="1"/>
  <c r="F171" i="1"/>
  <c r="G171" i="1"/>
  <c r="E327" i="1"/>
  <c r="F327" i="1"/>
  <c r="G327" i="1"/>
  <c r="H327" i="1"/>
  <c r="E28" i="1"/>
  <c r="G28" i="1"/>
  <c r="H28" i="1"/>
  <c r="F28" i="1"/>
  <c r="H93" i="1"/>
  <c r="G93" i="1"/>
  <c r="E93" i="1"/>
  <c r="F93" i="1"/>
  <c r="E157" i="1"/>
  <c r="H157" i="1"/>
  <c r="F157" i="1"/>
  <c r="G157" i="1"/>
  <c r="E321" i="1"/>
  <c r="F321" i="1"/>
  <c r="G321" i="1"/>
  <c r="H321" i="1"/>
  <c r="E139" i="1"/>
  <c r="H139" i="1"/>
  <c r="F139" i="1"/>
  <c r="G139" i="1"/>
  <c r="E320" i="1"/>
  <c r="F320" i="1"/>
  <c r="G320" i="1"/>
  <c r="H320" i="1"/>
  <c r="E21" i="1"/>
  <c r="F21" i="1"/>
  <c r="G21" i="1"/>
  <c r="H21" i="1"/>
  <c r="H86" i="1"/>
  <c r="E86" i="1"/>
  <c r="F86" i="1"/>
  <c r="G86" i="1"/>
  <c r="E150" i="1"/>
  <c r="F150" i="1"/>
  <c r="G150" i="1"/>
  <c r="H150" i="1"/>
  <c r="E329" i="1"/>
  <c r="F329" i="1"/>
  <c r="G329" i="1"/>
  <c r="H329" i="1"/>
  <c r="E123" i="1"/>
  <c r="H123" i="1"/>
  <c r="F123" i="1"/>
  <c r="G123" i="1"/>
  <c r="E48" i="1"/>
  <c r="G48" i="1"/>
  <c r="H48" i="1"/>
  <c r="F48" i="1"/>
  <c r="E159" i="1"/>
  <c r="H159" i="1"/>
  <c r="F159" i="1"/>
  <c r="G159" i="1"/>
  <c r="H89" i="1"/>
  <c r="G89" i="1"/>
  <c r="E89" i="1"/>
  <c r="F89" i="1"/>
  <c r="H300" i="1"/>
  <c r="E300" i="1"/>
  <c r="F300" i="1"/>
  <c r="G300" i="1"/>
  <c r="H98" i="1"/>
  <c r="E98" i="1"/>
  <c r="F98" i="1"/>
  <c r="G98" i="1"/>
  <c r="H384" i="1"/>
  <c r="E384" i="1"/>
  <c r="F384" i="1"/>
  <c r="G384" i="1"/>
  <c r="H385" i="1"/>
  <c r="E385" i="1"/>
  <c r="F385" i="1"/>
  <c r="G385" i="1"/>
  <c r="F354" i="1"/>
  <c r="G354" i="1"/>
  <c r="H354" i="1"/>
  <c r="E354" i="1"/>
  <c r="H68" i="1"/>
  <c r="E68" i="1"/>
  <c r="F68" i="1"/>
  <c r="G68" i="1"/>
  <c r="E132" i="1"/>
  <c r="F132" i="1"/>
  <c r="G132" i="1"/>
  <c r="H132" i="1"/>
  <c r="H196" i="1"/>
  <c r="E196" i="1"/>
  <c r="F196" i="1"/>
  <c r="G196" i="1"/>
  <c r="H378" i="1"/>
  <c r="E378" i="1"/>
  <c r="F378" i="1"/>
  <c r="G378" i="1"/>
  <c r="F347" i="1"/>
  <c r="E347" i="1"/>
  <c r="G347" i="1"/>
  <c r="H347" i="1"/>
  <c r="H49" i="1"/>
  <c r="E49" i="1"/>
  <c r="F49" i="1"/>
  <c r="G49" i="1"/>
  <c r="E113" i="1"/>
  <c r="H113" i="1"/>
  <c r="F113" i="1"/>
  <c r="G113" i="1"/>
  <c r="H177" i="1"/>
  <c r="E177" i="1"/>
  <c r="F177" i="1"/>
  <c r="G177" i="1"/>
  <c r="F365" i="1"/>
  <c r="E365" i="1"/>
  <c r="G365" i="1"/>
  <c r="H365" i="1"/>
  <c r="E151" i="1"/>
  <c r="H151" i="1"/>
  <c r="F151" i="1"/>
  <c r="G151" i="1"/>
  <c r="E324" i="1"/>
  <c r="F324" i="1"/>
  <c r="G324" i="1"/>
  <c r="H324" i="1"/>
  <c r="E25" i="1"/>
  <c r="F25" i="1"/>
  <c r="G25" i="1"/>
  <c r="H25" i="1"/>
  <c r="H90" i="1"/>
  <c r="E90" i="1"/>
  <c r="F90" i="1"/>
  <c r="G90" i="1"/>
  <c r="E154" i="1"/>
  <c r="F154" i="1"/>
  <c r="G154" i="1"/>
  <c r="H154" i="1"/>
  <c r="F337" i="1"/>
  <c r="E337" i="1"/>
  <c r="G337" i="1"/>
  <c r="H337" i="1"/>
  <c r="E131" i="1"/>
  <c r="H131" i="1"/>
  <c r="F131" i="1"/>
  <c r="G131" i="1"/>
  <c r="E32" i="1"/>
  <c r="G32" i="1"/>
  <c r="H32" i="1"/>
  <c r="F32" i="1"/>
  <c r="E107" i="1"/>
  <c r="H107" i="1"/>
  <c r="F107" i="1"/>
  <c r="G107" i="1"/>
  <c r="H73" i="1"/>
  <c r="G73" i="1"/>
  <c r="E73" i="1"/>
  <c r="F73" i="1"/>
  <c r="E18" i="1"/>
  <c r="G18" i="1"/>
  <c r="H18" i="1"/>
  <c r="F18" i="1"/>
  <c r="F364" i="1"/>
  <c r="G364" i="1"/>
  <c r="H364" i="1"/>
  <c r="E364" i="1"/>
  <c r="E146" i="1"/>
  <c r="F146" i="1"/>
  <c r="G146" i="1"/>
  <c r="H146" i="1"/>
  <c r="E155" i="1"/>
  <c r="H155" i="1"/>
  <c r="F155" i="1"/>
  <c r="G155" i="1"/>
  <c r="E326" i="1"/>
  <c r="F326" i="1"/>
  <c r="G326" i="1"/>
  <c r="H326" i="1"/>
  <c r="E27" i="1"/>
  <c r="F27" i="1"/>
  <c r="G27" i="1"/>
  <c r="H27" i="1"/>
  <c r="E104" i="1"/>
  <c r="F104" i="1"/>
  <c r="G104" i="1"/>
  <c r="H104" i="1"/>
  <c r="E168" i="1"/>
  <c r="F168" i="1"/>
  <c r="G168" i="1"/>
  <c r="H168" i="1"/>
  <c r="E147" i="1"/>
  <c r="H147" i="1"/>
  <c r="F147" i="1"/>
  <c r="G147" i="1"/>
  <c r="E319" i="1"/>
  <c r="F319" i="1"/>
  <c r="G319" i="1"/>
  <c r="H319" i="1"/>
  <c r="E20" i="1"/>
  <c r="G20" i="1"/>
  <c r="H20" i="1"/>
  <c r="F20" i="1"/>
  <c r="H85" i="1"/>
  <c r="G85" i="1"/>
  <c r="E85" i="1"/>
  <c r="F85" i="1"/>
  <c r="E149" i="1"/>
  <c r="H149" i="1"/>
  <c r="F149" i="1"/>
  <c r="G149" i="1"/>
  <c r="H305" i="1"/>
  <c r="F305" i="1"/>
  <c r="G305" i="1"/>
  <c r="E305" i="1"/>
  <c r="H71" i="1"/>
  <c r="G71" i="1"/>
  <c r="E71" i="1"/>
  <c r="F71" i="1"/>
  <c r="H296" i="1"/>
  <c r="E296" i="1"/>
  <c r="F296" i="1"/>
  <c r="G296" i="1"/>
  <c r="F360" i="1"/>
  <c r="G360" i="1"/>
  <c r="H360" i="1"/>
  <c r="E360" i="1"/>
  <c r="H62" i="1"/>
  <c r="E62" i="1"/>
  <c r="F62" i="1"/>
  <c r="G62" i="1"/>
  <c r="E126" i="1"/>
  <c r="F126" i="1"/>
  <c r="G126" i="1"/>
  <c r="H126" i="1"/>
  <c r="H190" i="1"/>
  <c r="F190" i="1"/>
  <c r="G190" i="1"/>
  <c r="E190" i="1"/>
  <c r="H294" i="1"/>
  <c r="E294" i="1"/>
  <c r="F294" i="1"/>
  <c r="G294" i="1"/>
  <c r="H187" i="1"/>
  <c r="E187" i="1"/>
  <c r="F187" i="1"/>
  <c r="G187" i="1"/>
  <c r="H261" i="1"/>
  <c r="F261" i="1"/>
  <c r="G261" i="1"/>
  <c r="E261" i="1"/>
  <c r="H260" i="1"/>
  <c r="E260" i="1"/>
  <c r="F260" i="1"/>
  <c r="G260" i="1"/>
  <c r="H221" i="1"/>
  <c r="E221" i="1"/>
  <c r="F221" i="1"/>
  <c r="G221" i="1"/>
  <c r="H232" i="1"/>
  <c r="E232" i="1"/>
  <c r="F232" i="1"/>
  <c r="G232" i="1"/>
  <c r="H276" i="1"/>
  <c r="E276" i="1"/>
  <c r="F276" i="1"/>
  <c r="G276" i="1"/>
  <c r="H204" i="1"/>
  <c r="E204" i="1"/>
  <c r="F204" i="1"/>
  <c r="G204" i="1"/>
  <c r="H269" i="1"/>
  <c r="F269" i="1"/>
  <c r="G269" i="1"/>
  <c r="E269" i="1"/>
  <c r="H229" i="1"/>
  <c r="E229" i="1"/>
  <c r="F229" i="1"/>
  <c r="G229" i="1"/>
  <c r="H240" i="1"/>
  <c r="E240" i="1"/>
  <c r="F240" i="1"/>
  <c r="G240" i="1"/>
  <c r="H292" i="1"/>
  <c r="E292" i="1"/>
  <c r="F292" i="1"/>
  <c r="G292" i="1"/>
  <c r="H282" i="1"/>
  <c r="E282" i="1"/>
  <c r="F282" i="1"/>
  <c r="G282" i="1"/>
  <c r="H266" i="1"/>
  <c r="E266" i="1"/>
  <c r="F266" i="1"/>
  <c r="G266" i="1"/>
  <c r="H279" i="1"/>
  <c r="F279" i="1"/>
  <c r="G279" i="1"/>
  <c r="E279" i="1"/>
  <c r="H263" i="1"/>
  <c r="F263" i="1"/>
  <c r="G263" i="1"/>
  <c r="E263" i="1"/>
  <c r="H247" i="1"/>
  <c r="F247" i="1"/>
  <c r="G247" i="1"/>
  <c r="E247" i="1"/>
  <c r="H231" i="1"/>
  <c r="E231" i="1"/>
  <c r="F231" i="1"/>
  <c r="G231" i="1"/>
  <c r="H215" i="1"/>
  <c r="E215" i="1"/>
  <c r="F215" i="1"/>
  <c r="G215" i="1"/>
  <c r="H199" i="1"/>
  <c r="E199" i="1"/>
  <c r="F199" i="1"/>
  <c r="G199" i="1"/>
  <c r="H250" i="1"/>
  <c r="E250" i="1"/>
  <c r="F250" i="1"/>
  <c r="G250" i="1"/>
  <c r="H234" i="1"/>
  <c r="E234" i="1"/>
  <c r="F234" i="1"/>
  <c r="G234" i="1"/>
  <c r="H218" i="1"/>
  <c r="E218" i="1"/>
  <c r="F218" i="1"/>
  <c r="G218" i="1"/>
  <c r="H202" i="1"/>
  <c r="E202" i="1"/>
  <c r="F202" i="1"/>
  <c r="G202" i="1"/>
  <c r="H249" i="1"/>
  <c r="F249" i="1"/>
  <c r="G249" i="1"/>
  <c r="E249" i="1"/>
  <c r="H205" i="1"/>
  <c r="E205" i="1"/>
  <c r="F205" i="1"/>
  <c r="G205" i="1"/>
  <c r="H398" i="1"/>
  <c r="E398" i="1"/>
  <c r="F398" i="1"/>
  <c r="G398" i="1"/>
  <c r="H477" i="1"/>
  <c r="E477" i="1"/>
  <c r="F477" i="1"/>
  <c r="G477" i="1"/>
  <c r="H466" i="1"/>
  <c r="E466" i="1"/>
  <c r="F466" i="1"/>
  <c r="G466" i="1"/>
  <c r="H409" i="1"/>
  <c r="E409" i="1"/>
  <c r="F409" i="1"/>
  <c r="G409" i="1"/>
  <c r="D482" i="1"/>
  <c r="A482" i="1"/>
  <c r="B482" i="1"/>
  <c r="C482" i="1"/>
  <c r="D6" i="1"/>
  <c r="B6" i="1"/>
  <c r="C6" i="1"/>
  <c r="F6" i="1"/>
  <c r="I438" i="2"/>
  <c r="J438" i="2" s="1"/>
  <c r="I524" i="2"/>
  <c r="J524" i="2" s="1"/>
  <c r="I393" i="2"/>
  <c r="J393" i="2" s="1"/>
  <c r="I531" i="2"/>
  <c r="J531" i="2" s="1"/>
  <c r="I523" i="2"/>
  <c r="J523" i="2" s="1"/>
  <c r="I423" i="2"/>
  <c r="J423" i="2" s="1"/>
  <c r="I415" i="2"/>
  <c r="J415" i="2" s="1"/>
  <c r="I446" i="2"/>
  <c r="J446" i="2" s="1"/>
  <c r="I400" i="2"/>
  <c r="J400" i="2" s="1"/>
  <c r="I474" i="2"/>
  <c r="J474" i="2" s="1"/>
  <c r="I416" i="2"/>
  <c r="J416" i="2" s="1"/>
  <c r="I463" i="2"/>
  <c r="J463" i="2" s="1"/>
  <c r="I506" i="2"/>
  <c r="J506" i="2" s="1"/>
  <c r="I509" i="2"/>
  <c r="J509" i="2" s="1"/>
  <c r="I473" i="2"/>
  <c r="J473" i="2" s="1"/>
  <c r="I430" i="2"/>
  <c r="J430" i="2" s="1"/>
  <c r="I494" i="2"/>
  <c r="J494" i="2" s="1"/>
  <c r="I502" i="2"/>
  <c r="J502" i="2" s="1"/>
  <c r="I440" i="2"/>
  <c r="J440" i="2" s="1"/>
  <c r="I503" i="2"/>
  <c r="J503" i="2" s="1"/>
  <c r="I453" i="2"/>
  <c r="J453" i="2" s="1"/>
  <c r="I467" i="2"/>
  <c r="J467" i="2" s="1"/>
  <c r="I468" i="2"/>
  <c r="J468" i="2" s="1"/>
  <c r="I495" i="2"/>
  <c r="J495" i="2" s="1"/>
  <c r="I402" i="2"/>
  <c r="J402" i="2" s="1"/>
  <c r="F586" i="2"/>
  <c r="G586" i="2" s="1"/>
  <c r="H586" i="2" s="1"/>
  <c r="F610" i="2"/>
  <c r="G610" i="2" s="1"/>
  <c r="H610" i="2" s="1"/>
  <c r="F674" i="2"/>
  <c r="G674" i="2" s="1"/>
  <c r="H674" i="2" s="1"/>
  <c r="F670" i="2"/>
  <c r="G670" i="2" s="1"/>
  <c r="H670" i="2" s="1"/>
  <c r="I436" i="2"/>
  <c r="J436" i="2" s="1"/>
  <c r="I447" i="2"/>
  <c r="J447" i="2" s="1"/>
  <c r="I443" i="2"/>
  <c r="J443" i="2" s="1"/>
  <c r="I432" i="2"/>
  <c r="J432" i="2" s="1"/>
  <c r="I571" i="2"/>
  <c r="J571" i="2" s="1"/>
  <c r="I527" i="2"/>
  <c r="J527" i="2" s="1"/>
  <c r="I431" i="2"/>
  <c r="J431" i="2" s="1"/>
  <c r="I451" i="2"/>
  <c r="J451" i="2" s="1"/>
  <c r="I542" i="2"/>
  <c r="J542" i="2" s="1"/>
  <c r="I575" i="2"/>
  <c r="J575" i="2" s="1"/>
  <c r="I394" i="2"/>
  <c r="J394" i="2" s="1"/>
  <c r="I407" i="2"/>
  <c r="J407" i="2" s="1"/>
  <c r="I419" i="2"/>
  <c r="J419" i="2" s="1"/>
  <c r="I481" i="2"/>
  <c r="J481" i="2" s="1"/>
  <c r="I546" i="2"/>
  <c r="J546" i="2" s="1"/>
  <c r="I543" i="2"/>
  <c r="J543" i="2" s="1"/>
  <c r="I563" i="2"/>
  <c r="J563" i="2" s="1"/>
  <c r="I535" i="2"/>
  <c r="J535" i="2" s="1"/>
  <c r="I516" i="2"/>
  <c r="J516" i="2" s="1"/>
  <c r="I557" i="2"/>
  <c r="J557" i="2" s="1"/>
  <c r="I469" i="2"/>
  <c r="J469" i="2" s="1"/>
  <c r="I538" i="2"/>
  <c r="J538" i="2" s="1"/>
  <c r="I478" i="2"/>
  <c r="J478" i="2" s="1"/>
  <c r="I437" i="2"/>
  <c r="J437" i="2" s="1"/>
  <c r="I479" i="2"/>
  <c r="J479" i="2" s="1"/>
  <c r="I454" i="2"/>
  <c r="J454" i="2" s="1"/>
  <c r="I392" i="2"/>
  <c r="J392" i="2" s="1"/>
  <c r="I464" i="2"/>
  <c r="J464" i="2" s="1"/>
  <c r="I498" i="2"/>
  <c r="J498" i="2" s="1"/>
  <c r="I471" i="2"/>
  <c r="J471" i="2" s="1"/>
  <c r="I578" i="2"/>
  <c r="J578" i="2" s="1"/>
  <c r="I489" i="2"/>
  <c r="J489" i="2" s="1"/>
  <c r="F634" i="2"/>
  <c r="G634" i="2" s="1"/>
  <c r="H634" i="2" s="1"/>
  <c r="F726" i="2"/>
  <c r="G726" i="2" s="1"/>
  <c r="H726" i="2" s="1"/>
  <c r="F630" i="2"/>
  <c r="G630" i="2" s="1"/>
  <c r="H630" i="2" s="1"/>
  <c r="F590" i="2"/>
  <c r="G590" i="2" s="1"/>
  <c r="H590" i="2" s="1"/>
  <c r="F606" i="2"/>
  <c r="G606" i="2" s="1"/>
  <c r="H606" i="2" s="1"/>
  <c r="F626" i="2"/>
  <c r="G626" i="2" s="1"/>
  <c r="H626" i="2" s="1"/>
  <c r="F594" i="2"/>
  <c r="G594" i="2" s="1"/>
  <c r="H594" i="2" s="1"/>
  <c r="A577" i="2"/>
  <c r="B577" i="2" s="1"/>
  <c r="C577" i="2" s="1"/>
  <c r="D577" i="2" s="1"/>
  <c r="E577" i="2" s="1"/>
  <c r="F614" i="2"/>
  <c r="G614" i="2" s="1"/>
  <c r="H614" i="2" s="1"/>
  <c r="F662" i="2"/>
  <c r="G662" i="2" s="1"/>
  <c r="H662" i="2" s="1"/>
  <c r="F598" i="2"/>
  <c r="G598" i="2" s="1"/>
  <c r="H598" i="2" s="1"/>
  <c r="I441" i="2"/>
  <c r="J441" i="2" s="1"/>
  <c r="I462" i="2"/>
  <c r="J462" i="2" s="1"/>
  <c r="I412" i="2"/>
  <c r="J412" i="2" s="1"/>
  <c r="I472" i="2"/>
  <c r="J472" i="2" s="1"/>
  <c r="I401" i="2"/>
  <c r="J401" i="2" s="1"/>
  <c r="I558" i="2"/>
  <c r="J558" i="2" s="1"/>
  <c r="I550" i="2"/>
  <c r="J550" i="2" s="1"/>
  <c r="I551" i="2"/>
  <c r="J551" i="2" s="1"/>
  <c r="I449" i="2"/>
  <c r="J449" i="2" s="1"/>
  <c r="I442" i="2"/>
  <c r="J442" i="2" s="1"/>
  <c r="I408" i="2"/>
  <c r="J408" i="2" s="1"/>
  <c r="I397" i="2"/>
  <c r="J397" i="2" s="1"/>
  <c r="I405" i="2"/>
  <c r="J405" i="2" s="1"/>
  <c r="I483" i="2"/>
  <c r="J483" i="2" s="1"/>
  <c r="I418" i="2"/>
  <c r="J418" i="2" s="1"/>
  <c r="I534" i="2"/>
  <c r="J534" i="2" s="1"/>
  <c r="I490" i="2"/>
  <c r="J490" i="2" s="1"/>
  <c r="I500" i="2"/>
  <c r="J500" i="2" s="1"/>
  <c r="I552" i="2"/>
  <c r="J552" i="2" s="1"/>
  <c r="I452" i="2"/>
  <c r="J452" i="2" s="1"/>
  <c r="I457" i="2"/>
  <c r="J457" i="2" s="1"/>
  <c r="I410" i="2"/>
  <c r="J410" i="2" s="1"/>
  <c r="I395" i="2"/>
  <c r="J395" i="2" s="1"/>
  <c r="I425" i="2"/>
  <c r="J425" i="2" s="1"/>
  <c r="I433" i="2"/>
  <c r="J433" i="2" s="1"/>
  <c r="I424" i="2"/>
  <c r="J424" i="2" s="1"/>
  <c r="I485" i="2"/>
  <c r="J485" i="2" s="1"/>
  <c r="F654" i="2"/>
  <c r="G654" i="2" s="1"/>
  <c r="H654" i="2" s="1"/>
  <c r="F646" i="2"/>
  <c r="G646" i="2" s="1"/>
  <c r="H646" i="2" s="1"/>
  <c r="I579" i="2"/>
  <c r="J579" i="2" s="1"/>
  <c r="I417" i="2"/>
  <c r="J417" i="2" s="1"/>
  <c r="A548" i="2"/>
  <c r="B548" i="2" s="1"/>
  <c r="C548" i="2" s="1"/>
  <c r="D548" i="2" s="1"/>
  <c r="E548" i="2" s="1"/>
  <c r="F650" i="2"/>
  <c r="G650" i="2" s="1"/>
  <c r="H650" i="2" s="1"/>
  <c r="F658" i="2"/>
  <c r="G658" i="2" s="1"/>
  <c r="H658" i="2" s="1"/>
  <c r="F638" i="2"/>
  <c r="G638" i="2" s="1"/>
  <c r="H638" i="2" s="1"/>
  <c r="I439" i="2"/>
  <c r="J439" i="2" s="1"/>
  <c r="I426" i="2"/>
  <c r="J426" i="2" s="1"/>
  <c r="I475" i="2"/>
  <c r="J475" i="2" s="1"/>
  <c r="I476" i="2"/>
  <c r="J476" i="2" s="1"/>
  <c r="I484" i="2"/>
  <c r="J484" i="2" s="1"/>
  <c r="I465" i="2"/>
  <c r="J465" i="2" s="1"/>
  <c r="I562" i="2"/>
  <c r="J562" i="2" s="1"/>
  <c r="I515" i="2"/>
  <c r="J515" i="2" s="1"/>
  <c r="I514" i="2"/>
  <c r="J514" i="2" s="1"/>
  <c r="I553" i="2"/>
  <c r="J553" i="2" s="1"/>
  <c r="I391" i="2"/>
  <c r="J391" i="2" s="1"/>
  <c r="I399" i="2"/>
  <c r="J399" i="2" s="1"/>
  <c r="I461" i="2"/>
  <c r="J461" i="2" s="1"/>
  <c r="I459" i="2"/>
  <c r="J459" i="2" s="1"/>
  <c r="I448" i="2"/>
  <c r="J448" i="2" s="1"/>
  <c r="I574" i="2"/>
  <c r="J574" i="2" s="1"/>
  <c r="I547" i="2"/>
  <c r="J547" i="2" s="1"/>
  <c r="I521" i="2"/>
  <c r="J521" i="2" s="1"/>
  <c r="I572" i="2"/>
  <c r="J572" i="2" s="1"/>
  <c r="I460" i="2"/>
  <c r="J460" i="2" s="1"/>
  <c r="I480" i="2"/>
  <c r="J480" i="2" s="1"/>
  <c r="I499" i="2"/>
  <c r="J499" i="2" s="1"/>
  <c r="I404" i="2"/>
  <c r="J404" i="2" s="1"/>
  <c r="I458" i="2"/>
  <c r="J458" i="2" s="1"/>
  <c r="I456" i="2"/>
  <c r="J456" i="2" s="1"/>
  <c r="I413" i="2"/>
  <c r="J413" i="2" s="1"/>
  <c r="I421" i="2"/>
  <c r="J421" i="2" s="1"/>
  <c r="I435" i="2"/>
  <c r="J435" i="2" s="1"/>
  <c r="I434" i="2"/>
  <c r="J434" i="2" s="1"/>
  <c r="I570" i="2"/>
  <c r="J570" i="2" s="1"/>
  <c r="I522" i="2"/>
  <c r="J522" i="2" s="1"/>
  <c r="I427" i="2"/>
  <c r="J427" i="2" s="1"/>
  <c r="I411" i="2"/>
  <c r="J411" i="2" s="1"/>
  <c r="I390" i="2"/>
  <c r="J390" i="2" s="1"/>
  <c r="A576" i="2"/>
  <c r="B576" i="2" s="1"/>
  <c r="C576" i="2" s="1"/>
  <c r="D576" i="2" s="1"/>
  <c r="E576" i="2" s="1"/>
  <c r="A591" i="2"/>
  <c r="B591" i="2" s="1"/>
  <c r="C591" i="2" s="1"/>
  <c r="D591" i="2" s="1"/>
  <c r="E591" i="2" s="1"/>
  <c r="F686" i="2"/>
  <c r="G686" i="2" s="1"/>
  <c r="H686" i="2" s="1"/>
  <c r="A580" i="2"/>
  <c r="B580" i="2" s="1"/>
  <c r="C580" i="2" s="1"/>
  <c r="D580" i="2" s="1"/>
  <c r="E580" i="2" s="1"/>
  <c r="F766" i="2"/>
  <c r="G766" i="2" s="1"/>
  <c r="H766" i="2" s="1"/>
  <c r="A545" i="2"/>
  <c r="B545" i="2" s="1"/>
  <c r="C545" i="2" s="1"/>
  <c r="D545" i="2" s="1"/>
  <c r="E545" i="2" s="1"/>
  <c r="A670" i="2"/>
  <c r="B670" i="2" s="1"/>
  <c r="C670" i="2" s="1"/>
  <c r="D670" i="2" s="1"/>
  <c r="E670" i="2" s="1"/>
  <c r="A602" i="2"/>
  <c r="B602" i="2" s="1"/>
  <c r="C602" i="2" s="1"/>
  <c r="D602" i="2" s="1"/>
  <c r="E602" i="2" s="1"/>
  <c r="A603" i="2"/>
  <c r="B603" i="2" s="1"/>
  <c r="C603" i="2" s="1"/>
  <c r="D603" i="2" s="1"/>
  <c r="E603" i="2" s="1"/>
  <c r="A505" i="2"/>
  <c r="B505" i="2" s="1"/>
  <c r="C505" i="2" s="1"/>
  <c r="D505" i="2" s="1"/>
  <c r="E505" i="2" s="1"/>
  <c r="A504" i="2"/>
  <c r="B504" i="2" s="1"/>
  <c r="C504" i="2" s="1"/>
  <c r="D504" i="2" s="1"/>
  <c r="E504" i="2" s="1"/>
  <c r="A674" i="2"/>
  <c r="B674" i="2" s="1"/>
  <c r="C674" i="2" s="1"/>
  <c r="D674" i="2" s="1"/>
  <c r="E674" i="2" s="1"/>
  <c r="A544" i="2"/>
  <c r="B544" i="2" s="1"/>
  <c r="C544" i="2" s="1"/>
  <c r="D544" i="2" s="1"/>
  <c r="E544" i="2" s="1"/>
  <c r="A533" i="2"/>
  <c r="B533" i="2" s="1"/>
  <c r="C533" i="2" s="1"/>
  <c r="D533" i="2" s="1"/>
  <c r="E533" i="2" s="1"/>
  <c r="A639" i="2"/>
  <c r="B639" i="2" s="1"/>
  <c r="C639" i="2" s="1"/>
  <c r="D639" i="2" s="1"/>
  <c r="E639" i="2" s="1"/>
  <c r="A638" i="2"/>
  <c r="B638" i="2" s="1"/>
  <c r="C638" i="2" s="1"/>
  <c r="D638" i="2" s="1"/>
  <c r="E638" i="2" s="1"/>
  <c r="A623" i="2"/>
  <c r="B623" i="2" s="1"/>
  <c r="C623" i="2" s="1"/>
  <c r="D623" i="2" s="1"/>
  <c r="E623" i="2" s="1"/>
  <c r="A626" i="2"/>
  <c r="B626" i="2" s="1"/>
  <c r="C626" i="2" s="1"/>
  <c r="D626" i="2" s="1"/>
  <c r="E626" i="2" s="1"/>
  <c r="A606" i="2"/>
  <c r="B606" i="2" s="1"/>
  <c r="C606" i="2" s="1"/>
  <c r="D606" i="2" s="1"/>
  <c r="E606" i="2" s="1"/>
  <c r="F690" i="2"/>
  <c r="G690" i="2" s="1"/>
  <c r="H690" i="2" s="1"/>
  <c r="A513" i="2"/>
  <c r="B513" i="2" s="1"/>
  <c r="C513" i="2" s="1"/>
  <c r="D513" i="2" s="1"/>
  <c r="E513" i="2" s="1"/>
  <c r="A658" i="2"/>
  <c r="B658" i="2" s="1"/>
  <c r="C658" i="2" s="1"/>
  <c r="D658" i="2" s="1"/>
  <c r="E658" i="2" s="1"/>
  <c r="A507" i="2"/>
  <c r="B507" i="2" s="1"/>
  <c r="C507" i="2" s="1"/>
  <c r="D507" i="2" s="1"/>
  <c r="E507" i="2" s="1"/>
  <c r="A667" i="2"/>
  <c r="B667" i="2" s="1"/>
  <c r="C667" i="2" s="1"/>
  <c r="D667" i="2" s="1"/>
  <c r="E667" i="2" s="1"/>
  <c r="A666" i="2"/>
  <c r="B666" i="2" s="1"/>
  <c r="C666" i="2" s="1"/>
  <c r="D666" i="2" s="1"/>
  <c r="E666" i="2" s="1"/>
  <c r="A569" i="2"/>
  <c r="B569" i="2" s="1"/>
  <c r="C569" i="2" s="1"/>
  <c r="D569" i="2" s="1"/>
  <c r="E569" i="2" s="1"/>
  <c r="A659" i="2"/>
  <c r="B659" i="2" s="1"/>
  <c r="C659" i="2" s="1"/>
  <c r="D659" i="2" s="1"/>
  <c r="E659" i="2" s="1"/>
  <c r="A646" i="2"/>
  <c r="B646" i="2" s="1"/>
  <c r="C646" i="2" s="1"/>
  <c r="D646" i="2" s="1"/>
  <c r="E646" i="2" s="1"/>
  <c r="A647" i="2"/>
  <c r="B647" i="2" s="1"/>
  <c r="C647" i="2" s="1"/>
  <c r="D647" i="2" s="1"/>
  <c r="E647" i="2" s="1"/>
  <c r="A530" i="2"/>
  <c r="B530" i="2" s="1"/>
  <c r="C530" i="2" s="1"/>
  <c r="D530" i="2" s="1"/>
  <c r="E530" i="2" s="1"/>
  <c r="A594" i="2"/>
  <c r="B594" i="2" s="1"/>
  <c r="C594" i="2" s="1"/>
  <c r="D594" i="2" s="1"/>
  <c r="E594" i="2" s="1"/>
  <c r="A595" i="2"/>
  <c r="B595" i="2" s="1"/>
  <c r="C595" i="2" s="1"/>
  <c r="D595" i="2" s="1"/>
  <c r="E595" i="2" s="1"/>
  <c r="A627" i="2"/>
  <c r="B627" i="2" s="1"/>
  <c r="C627" i="2" s="1"/>
  <c r="D627" i="2" s="1"/>
  <c r="E627" i="2" s="1"/>
  <c r="A611" i="2"/>
  <c r="B611" i="2" s="1"/>
  <c r="C611" i="2" s="1"/>
  <c r="D611" i="2" s="1"/>
  <c r="E611" i="2" s="1"/>
  <c r="A512" i="2"/>
  <c r="B512" i="2" s="1"/>
  <c r="C512" i="2" s="1"/>
  <c r="D512" i="2" s="1"/>
  <c r="E512" i="2" s="1"/>
  <c r="A586" i="2"/>
  <c r="B586" i="2" s="1"/>
  <c r="C586" i="2" s="1"/>
  <c r="D586" i="2" s="1"/>
  <c r="E586" i="2" s="1"/>
  <c r="A587" i="2"/>
  <c r="B587" i="2" s="1"/>
  <c r="C587" i="2" s="1"/>
  <c r="D587" i="2" s="1"/>
  <c r="E587" i="2" s="1"/>
  <c r="A651" i="2"/>
  <c r="B651" i="2" s="1"/>
  <c r="C651" i="2" s="1"/>
  <c r="D651" i="2" s="1"/>
  <c r="E651" i="2" s="1"/>
  <c r="A556" i="2"/>
  <c r="B556" i="2" s="1"/>
  <c r="C556" i="2" s="1"/>
  <c r="D556" i="2" s="1"/>
  <c r="E556" i="2" s="1"/>
  <c r="A541" i="2"/>
  <c r="B541" i="2" s="1"/>
  <c r="C541" i="2" s="1"/>
  <c r="D541" i="2" s="1"/>
  <c r="E541" i="2" s="1"/>
  <c r="A529" i="2"/>
  <c r="B529" i="2" s="1"/>
  <c r="C529" i="2" s="1"/>
  <c r="D529" i="2" s="1"/>
  <c r="E529" i="2" s="1"/>
  <c r="A525" i="2"/>
  <c r="B525" i="2" s="1"/>
  <c r="C525" i="2" s="1"/>
  <c r="D525" i="2" s="1"/>
  <c r="E525" i="2" s="1"/>
  <c r="A599" i="2"/>
  <c r="B599" i="2" s="1"/>
  <c r="C599" i="2" s="1"/>
  <c r="D599" i="2" s="1"/>
  <c r="E599" i="2" s="1"/>
  <c r="A496" i="2"/>
  <c r="B496" i="2" s="1"/>
  <c r="C496" i="2" s="1"/>
  <c r="D496" i="2" s="1"/>
  <c r="E496" i="2" s="1"/>
  <c r="A566" i="2"/>
  <c r="B566" i="2" s="1"/>
  <c r="C566" i="2" s="1"/>
  <c r="D566" i="2" s="1"/>
  <c r="E566" i="2" s="1"/>
  <c r="A564" i="2"/>
  <c r="B564" i="2" s="1"/>
  <c r="C564" i="2" s="1"/>
  <c r="D564" i="2" s="1"/>
  <c r="E564" i="2" s="1"/>
  <c r="A536" i="2"/>
  <c r="B536" i="2" s="1"/>
  <c r="C536" i="2" s="1"/>
  <c r="D536" i="2" s="1"/>
  <c r="E536" i="2" s="1"/>
  <c r="A526" i="2"/>
  <c r="B526" i="2" s="1"/>
  <c r="C526" i="2" s="1"/>
  <c r="D526" i="2" s="1"/>
  <c r="E526" i="2" s="1"/>
  <c r="F746" i="2"/>
  <c r="G746" i="2" s="1"/>
  <c r="H746" i="2" s="1"/>
  <c r="A635" i="2"/>
  <c r="B635" i="2" s="1"/>
  <c r="C635" i="2" s="1"/>
  <c r="D635" i="2" s="1"/>
  <c r="E635" i="2" s="1"/>
  <c r="A493" i="2"/>
  <c r="B493" i="2" s="1"/>
  <c r="C493" i="2" s="1"/>
  <c r="D493" i="2" s="1"/>
  <c r="E493" i="2" s="1"/>
  <c r="A631" i="2"/>
  <c r="B631" i="2" s="1"/>
  <c r="C631" i="2" s="1"/>
  <c r="D631" i="2" s="1"/>
  <c r="E631" i="2" s="1"/>
  <c r="A650" i="2"/>
  <c r="B650" i="2" s="1"/>
  <c r="C650" i="2" s="1"/>
  <c r="D650" i="2" s="1"/>
  <c r="E650" i="2" s="1"/>
  <c r="A598" i="2"/>
  <c r="B598" i="2" s="1"/>
  <c r="C598" i="2" s="1"/>
  <c r="D598" i="2" s="1"/>
  <c r="E598" i="2" s="1"/>
  <c r="A630" i="2"/>
  <c r="B630" i="2" s="1"/>
  <c r="C630" i="2" s="1"/>
  <c r="D630" i="2" s="1"/>
  <c r="E630" i="2" s="1"/>
  <c r="A549" i="2"/>
  <c r="B549" i="2" s="1"/>
  <c r="C549" i="2" s="1"/>
  <c r="D549" i="2" s="1"/>
  <c r="E549" i="2" s="1"/>
  <c r="A508" i="2"/>
  <c r="B508" i="2" s="1"/>
  <c r="C508" i="2" s="1"/>
  <c r="D508" i="2" s="1"/>
  <c r="E508" i="2" s="1"/>
  <c r="A560" i="2"/>
  <c r="B560" i="2" s="1"/>
  <c r="C560" i="2" s="1"/>
  <c r="D560" i="2" s="1"/>
  <c r="E560" i="2" s="1"/>
  <c r="A492" i="2"/>
  <c r="B492" i="2" s="1"/>
  <c r="C492" i="2" s="1"/>
  <c r="D492" i="2" s="1"/>
  <c r="E492" i="2" s="1"/>
  <c r="A634" i="2"/>
  <c r="B634" i="2" s="1"/>
  <c r="C634" i="2" s="1"/>
  <c r="D634" i="2" s="1"/>
  <c r="E634" i="2" s="1"/>
  <c r="A537" i="2"/>
  <c r="B537" i="2" s="1"/>
  <c r="C537" i="2" s="1"/>
  <c r="D537" i="2" s="1"/>
  <c r="E537" i="2" s="1"/>
  <c r="A517" i="2"/>
  <c r="B517" i="2" s="1"/>
  <c r="C517" i="2" s="1"/>
  <c r="D517" i="2" s="1"/>
  <c r="E517" i="2" s="1"/>
  <c r="A607" i="2"/>
  <c r="B607" i="2" s="1"/>
  <c r="C607" i="2" s="1"/>
  <c r="D607" i="2" s="1"/>
  <c r="E607" i="2" s="1"/>
  <c r="A590" i="2"/>
  <c r="B590" i="2" s="1"/>
  <c r="C590" i="2" s="1"/>
  <c r="D590" i="2" s="1"/>
  <c r="E590" i="2" s="1"/>
  <c r="A488" i="2"/>
  <c r="B488" i="2" s="1"/>
  <c r="C488" i="2" s="1"/>
  <c r="D488" i="2" s="1"/>
  <c r="E488" i="2" s="1"/>
  <c r="A643" i="2"/>
  <c r="B643" i="2" s="1"/>
  <c r="C643" i="2" s="1"/>
  <c r="D643" i="2" s="1"/>
  <c r="E643" i="2" s="1"/>
  <c r="A675" i="2"/>
  <c r="B675" i="2" s="1"/>
  <c r="C675" i="2" s="1"/>
  <c r="D675" i="2" s="1"/>
  <c r="E675" i="2" s="1"/>
  <c r="A486" i="2"/>
  <c r="B486" i="2" s="1"/>
  <c r="C486" i="2" s="1"/>
  <c r="D486" i="2" s="1"/>
  <c r="E486" i="2" s="1"/>
  <c r="A671" i="2"/>
  <c r="B671" i="2" s="1"/>
  <c r="C671" i="2" s="1"/>
  <c r="D671" i="2" s="1"/>
  <c r="E671" i="2" s="1"/>
  <c r="A610" i="2"/>
  <c r="B610" i="2" s="1"/>
  <c r="C610" i="2" s="1"/>
  <c r="D610" i="2" s="1"/>
  <c r="E610" i="2" s="1"/>
  <c r="A618" i="2"/>
  <c r="B618" i="2" s="1"/>
  <c r="C618" i="2" s="1"/>
  <c r="D618" i="2" s="1"/>
  <c r="E618" i="2" s="1"/>
  <c r="A559" i="2"/>
  <c r="B559" i="2" s="1"/>
  <c r="C559" i="2" s="1"/>
  <c r="D559" i="2" s="1"/>
  <c r="E559" i="2" s="1"/>
  <c r="A487" i="2"/>
  <c r="B487" i="2" s="1"/>
  <c r="C487" i="2" s="1"/>
  <c r="D487" i="2" s="1"/>
  <c r="E487" i="2" s="1"/>
  <c r="A568" i="2"/>
  <c r="B568" i="2" s="1"/>
  <c r="C568" i="2" s="1"/>
  <c r="D568" i="2" s="1"/>
  <c r="E568" i="2" s="1"/>
  <c r="A619" i="2"/>
  <c r="B619" i="2" s="1"/>
  <c r="C619" i="2" s="1"/>
  <c r="D619" i="2" s="1"/>
  <c r="E619" i="2" s="1"/>
  <c r="A519" i="2"/>
  <c r="B519" i="2" s="1"/>
  <c r="C519" i="2" s="1"/>
  <c r="D519" i="2" s="1"/>
  <c r="E519" i="2" s="1"/>
  <c r="A539" i="2"/>
  <c r="B539" i="2" s="1"/>
  <c r="C539" i="2" s="1"/>
  <c r="D539" i="2" s="1"/>
  <c r="E539" i="2" s="1"/>
  <c r="A554" i="2"/>
  <c r="B554" i="2" s="1"/>
  <c r="C554" i="2" s="1"/>
  <c r="D554" i="2" s="1"/>
  <c r="E554" i="2" s="1"/>
  <c r="A622" i="2"/>
  <c r="B622" i="2" s="1"/>
  <c r="C622" i="2" s="1"/>
  <c r="D622" i="2" s="1"/>
  <c r="E622" i="2" s="1"/>
  <c r="A642" i="2"/>
  <c r="B642" i="2" s="1"/>
  <c r="C642" i="2" s="1"/>
  <c r="D642" i="2" s="1"/>
  <c r="E642" i="2" s="1"/>
  <c r="A510" i="2"/>
  <c r="B510" i="2" s="1"/>
  <c r="C510" i="2" s="1"/>
  <c r="D510" i="2" s="1"/>
  <c r="E510" i="2" s="1"/>
  <c r="A614" i="2"/>
  <c r="B614" i="2" s="1"/>
  <c r="C614" i="2" s="1"/>
  <c r="D614" i="2" s="1"/>
  <c r="E614" i="2" s="1"/>
  <c r="A655" i="2"/>
  <c r="B655" i="2" s="1"/>
  <c r="C655" i="2" s="1"/>
  <c r="D655" i="2" s="1"/>
  <c r="E655" i="2" s="1"/>
  <c r="A608" i="2"/>
  <c r="B608" i="2" s="1"/>
  <c r="C608" i="2" s="1"/>
  <c r="D608" i="2" s="1"/>
  <c r="E608" i="2" s="1"/>
  <c r="A644" i="2"/>
  <c r="B644" i="2" s="1"/>
  <c r="C644" i="2" s="1"/>
  <c r="D644" i="2" s="1"/>
  <c r="E644" i="2" s="1"/>
  <c r="A620" i="2"/>
  <c r="B620" i="2" s="1"/>
  <c r="C620" i="2" s="1"/>
  <c r="D620" i="2" s="1"/>
  <c r="E620" i="2" s="1"/>
  <c r="A672" i="2"/>
  <c r="B672" i="2" s="1"/>
  <c r="C672" i="2" s="1"/>
  <c r="D672" i="2" s="1"/>
  <c r="E672" i="2" s="1"/>
  <c r="A669" i="2"/>
  <c r="B669" i="2" s="1"/>
  <c r="C669" i="2" s="1"/>
  <c r="D669" i="2" s="1"/>
  <c r="E669" i="2" s="1"/>
  <c r="A641" i="2"/>
  <c r="B641" i="2" s="1"/>
  <c r="C641" i="2" s="1"/>
  <c r="D641" i="2" s="1"/>
  <c r="E641" i="2" s="1"/>
  <c r="A617" i="2"/>
  <c r="B617" i="2" s="1"/>
  <c r="C617" i="2" s="1"/>
  <c r="D617" i="2" s="1"/>
  <c r="E617" i="2" s="1"/>
  <c r="A637" i="2"/>
  <c r="B637" i="2" s="1"/>
  <c r="C637" i="2" s="1"/>
  <c r="D637" i="2" s="1"/>
  <c r="E637" i="2" s="1"/>
  <c r="F771" i="2"/>
  <c r="G771" i="2" s="1"/>
  <c r="H771" i="2" s="1"/>
  <c r="F745" i="2"/>
  <c r="G745" i="2" s="1"/>
  <c r="H745" i="2" s="1"/>
  <c r="F733" i="2"/>
  <c r="G733" i="2" s="1"/>
  <c r="H733" i="2" s="1"/>
  <c r="F715" i="2"/>
  <c r="G715" i="2" s="1"/>
  <c r="H715" i="2" s="1"/>
  <c r="F753" i="2"/>
  <c r="G753" i="2" s="1"/>
  <c r="H753" i="2" s="1"/>
  <c r="F767" i="2"/>
  <c r="G767" i="2" s="1"/>
  <c r="H767" i="2" s="1"/>
  <c r="F764" i="2"/>
  <c r="G764" i="2" s="1"/>
  <c r="H764" i="2" s="1"/>
  <c r="F763" i="2"/>
  <c r="G763" i="2" s="1"/>
  <c r="H763" i="2" s="1"/>
  <c r="I581" i="2"/>
  <c r="J581" i="2" s="1"/>
  <c r="F678" i="2"/>
  <c r="G678" i="2" s="1"/>
  <c r="H678" i="2" s="1"/>
  <c r="F680" i="2"/>
  <c r="G680" i="2" s="1"/>
  <c r="H680" i="2" s="1"/>
  <c r="F701" i="2"/>
  <c r="G701" i="2" s="1"/>
  <c r="H701" i="2" s="1"/>
  <c r="F736" i="2"/>
  <c r="G736" i="2" s="1"/>
  <c r="H736" i="2" s="1"/>
  <c r="F772" i="2"/>
  <c r="G772" i="2" s="1"/>
  <c r="H772" i="2" s="1"/>
  <c r="F712" i="2"/>
  <c r="G712" i="2" s="1"/>
  <c r="H712" i="2" s="1"/>
  <c r="F732" i="2"/>
  <c r="G732" i="2" s="1"/>
  <c r="H732" i="2" s="1"/>
  <c r="F731" i="2"/>
  <c r="G731" i="2" s="1"/>
  <c r="H731" i="2" s="1"/>
  <c r="F756" i="2"/>
  <c r="G756" i="2" s="1"/>
  <c r="H756" i="2" s="1"/>
  <c r="F692" i="2"/>
  <c r="G692" i="2" s="1"/>
  <c r="H692" i="2" s="1"/>
  <c r="F755" i="2"/>
  <c r="G755" i="2" s="1"/>
  <c r="H755" i="2" s="1"/>
  <c r="F769" i="2"/>
  <c r="G769" i="2" s="1"/>
  <c r="H769" i="2" s="1"/>
  <c r="F719" i="2"/>
  <c r="G719" i="2" s="1"/>
  <c r="H719" i="2" s="1"/>
  <c r="F681" i="2"/>
  <c r="G681" i="2" s="1"/>
  <c r="H681" i="2" s="1"/>
  <c r="F716" i="2"/>
  <c r="G716" i="2" s="1"/>
  <c r="H716" i="2" s="1"/>
  <c r="F739" i="2"/>
  <c r="G739" i="2" s="1"/>
  <c r="H739" i="2" s="1"/>
  <c r="F689" i="2"/>
  <c r="G689" i="2" s="1"/>
  <c r="H689" i="2" s="1"/>
  <c r="F703" i="2"/>
  <c r="G703" i="2" s="1"/>
  <c r="H703" i="2" s="1"/>
  <c r="F773" i="2"/>
  <c r="G773" i="2" s="1"/>
  <c r="H773" i="2" s="1"/>
  <c r="F729" i="2"/>
  <c r="G729" i="2" s="1"/>
  <c r="H729" i="2" s="1"/>
  <c r="F700" i="2"/>
  <c r="G700" i="2" s="1"/>
  <c r="H700" i="2" s="1"/>
  <c r="F699" i="2"/>
  <c r="G699" i="2" s="1"/>
  <c r="H699" i="2" s="1"/>
  <c r="F737" i="2"/>
  <c r="G737" i="2" s="1"/>
  <c r="H737" i="2" s="1"/>
  <c r="F751" i="2"/>
  <c r="G751" i="2" s="1"/>
  <c r="H751" i="2" s="1"/>
  <c r="F757" i="2"/>
  <c r="G757" i="2" s="1"/>
  <c r="H757" i="2" s="1"/>
  <c r="F748" i="2"/>
  <c r="G748" i="2" s="1"/>
  <c r="H748" i="2" s="1"/>
  <c r="F747" i="2"/>
  <c r="G747" i="2" s="1"/>
  <c r="H747" i="2" s="1"/>
  <c r="F708" i="2"/>
  <c r="G708" i="2" s="1"/>
  <c r="H708" i="2" s="1"/>
  <c r="F711" i="2"/>
  <c r="G711" i="2" s="1"/>
  <c r="H711" i="2" s="1"/>
  <c r="F720" i="2"/>
  <c r="G720" i="2" s="1"/>
  <c r="H720" i="2" s="1"/>
  <c r="F705" i="2"/>
  <c r="G705" i="2" s="1"/>
  <c r="H705" i="2" s="1"/>
  <c r="F725" i="2"/>
  <c r="G725" i="2" s="1"/>
  <c r="H725" i="2" s="1"/>
  <c r="F760" i="2"/>
  <c r="G760" i="2" s="1"/>
  <c r="H760" i="2" s="1"/>
  <c r="F759" i="2"/>
  <c r="G759" i="2" s="1"/>
  <c r="H759" i="2" s="1"/>
  <c r="F768" i="2"/>
  <c r="G768" i="2" s="1"/>
  <c r="H768" i="2" s="1"/>
  <c r="F723" i="2"/>
  <c r="G723" i="2" s="1"/>
  <c r="H723" i="2" s="1"/>
  <c r="F709" i="2"/>
  <c r="G709" i="2" s="1"/>
  <c r="H709" i="2" s="1"/>
  <c r="F744" i="2"/>
  <c r="G744" i="2" s="1"/>
  <c r="H744" i="2" s="1"/>
  <c r="F743" i="2"/>
  <c r="G743" i="2" s="1"/>
  <c r="H743" i="2" s="1"/>
  <c r="F707" i="2"/>
  <c r="G707" i="2" s="1"/>
  <c r="H707" i="2" s="1"/>
  <c r="F752" i="2"/>
  <c r="G752" i="2" s="1"/>
  <c r="H752" i="2" s="1"/>
  <c r="F687" i="2"/>
  <c r="G687" i="2" s="1"/>
  <c r="H687" i="2" s="1"/>
  <c r="F693" i="2"/>
  <c r="G693" i="2" s="1"/>
  <c r="H693" i="2" s="1"/>
  <c r="F713" i="2"/>
  <c r="G713" i="2" s="1"/>
  <c r="H713" i="2" s="1"/>
  <c r="F684" i="2"/>
  <c r="G684" i="2" s="1"/>
  <c r="H684" i="2" s="1"/>
  <c r="F683" i="2"/>
  <c r="G683" i="2" s="1"/>
  <c r="H683" i="2" s="1"/>
  <c r="F735" i="2"/>
  <c r="G735" i="2" s="1"/>
  <c r="H735" i="2" s="1"/>
  <c r="F761" i="2"/>
  <c r="G761" i="2" s="1"/>
  <c r="H761" i="2" s="1"/>
  <c r="F749" i="2"/>
  <c r="G749" i="2" s="1"/>
  <c r="H749" i="2" s="1"/>
  <c r="F696" i="2"/>
  <c r="G696" i="2" s="1"/>
  <c r="H696" i="2" s="1"/>
  <c r="F695" i="2"/>
  <c r="G695" i="2" s="1"/>
  <c r="H695" i="2" s="1"/>
  <c r="F704" i="2"/>
  <c r="G704" i="2" s="1"/>
  <c r="H704" i="2" s="1"/>
  <c r="F740" i="2"/>
  <c r="G740" i="2" s="1"/>
  <c r="H740" i="2" s="1"/>
  <c r="F679" i="2"/>
  <c r="G679" i="2" s="1"/>
  <c r="H679" i="2" s="1"/>
  <c r="F717" i="2"/>
  <c r="G717" i="2" s="1"/>
  <c r="H717" i="2" s="1"/>
  <c r="F688" i="2"/>
  <c r="G688" i="2" s="1"/>
  <c r="H688" i="2" s="1"/>
  <c r="F724" i="2"/>
  <c r="G724" i="2" s="1"/>
  <c r="H724" i="2" s="1"/>
  <c r="F728" i="2"/>
  <c r="G728" i="2" s="1"/>
  <c r="H728" i="2" s="1"/>
  <c r="F727" i="2"/>
  <c r="G727" i="2" s="1"/>
  <c r="H727" i="2" s="1"/>
  <c r="F765" i="2"/>
  <c r="G765" i="2" s="1"/>
  <c r="H765" i="2" s="1"/>
  <c r="F691" i="2"/>
  <c r="G691" i="2" s="1"/>
  <c r="H691" i="2" s="1"/>
  <c r="F721" i="2"/>
  <c r="G721" i="2" s="1"/>
  <c r="H721" i="2" s="1"/>
  <c r="F741" i="2"/>
  <c r="G741" i="2" s="1"/>
  <c r="H741" i="2" s="1"/>
  <c r="F697" i="2"/>
  <c r="G697" i="2" s="1"/>
  <c r="H697" i="2" s="1"/>
  <c r="F685" i="2"/>
  <c r="G685" i="2" s="1"/>
  <c r="H685" i="2" s="1"/>
  <c r="J122" i="1" l="1"/>
  <c r="J120" i="1"/>
  <c r="J316" i="1"/>
  <c r="J201" i="1"/>
  <c r="J56" i="1"/>
  <c r="J383" i="1"/>
  <c r="J192" i="1"/>
  <c r="J195" i="1"/>
  <c r="J194" i="1"/>
  <c r="J216" i="1"/>
  <c r="J203" i="1"/>
  <c r="J217" i="1"/>
  <c r="J239" i="1"/>
  <c r="J444" i="1"/>
  <c r="J39" i="1"/>
  <c r="J84" i="1"/>
  <c r="J387" i="1"/>
  <c r="J389" i="1"/>
  <c r="J80" i="1"/>
  <c r="J58" i="1"/>
  <c r="J470" i="1"/>
  <c r="J386" i="1"/>
  <c r="J193" i="1"/>
  <c r="J406" i="1"/>
  <c r="J76" i="1"/>
  <c r="J237" i="1"/>
  <c r="J367" i="1"/>
  <c r="J35" i="1"/>
  <c r="J455" i="1"/>
  <c r="J311" i="1"/>
  <c r="J128" i="1"/>
  <c r="J108" i="1"/>
  <c r="J106" i="1"/>
  <c r="J148" i="1"/>
  <c r="J212" i="1"/>
  <c r="J50" i="1"/>
  <c r="J99" i="1"/>
  <c r="J92" i="1"/>
  <c r="J286" i="1"/>
  <c r="J278" i="1"/>
  <c r="J248" i="1"/>
  <c r="J264" i="1"/>
  <c r="J246" i="1"/>
  <c r="J262" i="1"/>
  <c r="J91" i="1"/>
  <c r="J65" i="1"/>
  <c r="J79" i="1"/>
  <c r="J63" i="1"/>
  <c r="J302" i="1"/>
  <c r="J67" i="1"/>
  <c r="J259" i="1"/>
  <c r="J289" i="1"/>
  <c r="J299" i="1"/>
  <c r="J191" i="1"/>
  <c r="J265" i="1"/>
  <c r="J11" i="1"/>
  <c r="J110" i="1"/>
  <c r="J114" i="1"/>
  <c r="J9" i="1"/>
  <c r="J158" i="1"/>
  <c r="J318" i="1"/>
  <c r="J138" i="1"/>
  <c r="J10" i="1"/>
  <c r="J315" i="1"/>
  <c r="J309" i="1"/>
  <c r="J130" i="1"/>
  <c r="J168" i="1"/>
  <c r="J359" i="1"/>
  <c r="J170" i="1"/>
  <c r="J118" i="1"/>
  <c r="J310" i="1"/>
  <c r="J312" i="1"/>
  <c r="J167" i="1"/>
  <c r="J169" i="1"/>
  <c r="J173" i="1"/>
  <c r="J23" i="1"/>
  <c r="J363" i="1"/>
  <c r="J153" i="1"/>
  <c r="J127" i="1"/>
  <c r="J348" i="1"/>
  <c r="J374" i="1"/>
  <c r="J229" i="1"/>
  <c r="J166" i="1"/>
  <c r="J136" i="1"/>
  <c r="J322" i="1"/>
  <c r="J323" i="1"/>
  <c r="J13" i="1"/>
  <c r="J8" i="1"/>
  <c r="J7" i="1"/>
  <c r="J344" i="1"/>
  <c r="J24" i="1"/>
  <c r="J368" i="1"/>
  <c r="J137" i="1"/>
  <c r="J165" i="1"/>
  <c r="J117" i="1"/>
  <c r="J254" i="1"/>
  <c r="J280" i="1"/>
  <c r="J256" i="1"/>
  <c r="J284" i="1"/>
  <c r="J121" i="1"/>
  <c r="J135" i="1"/>
  <c r="J109" i="1"/>
  <c r="J145" i="1"/>
  <c r="J163" i="1"/>
  <c r="J94" i="1"/>
  <c r="J16" i="1"/>
  <c r="J182" i="1"/>
  <c r="J295" i="1"/>
  <c r="J346" i="1"/>
  <c r="J258" i="1"/>
  <c r="J243" i="1"/>
  <c r="J275" i="1"/>
  <c r="J253" i="1"/>
  <c r="J184" i="1"/>
  <c r="J342" i="1"/>
  <c r="J340" i="1"/>
  <c r="J38" i="1"/>
  <c r="J366" i="1"/>
  <c r="J241" i="1"/>
  <c r="J291" i="1"/>
  <c r="J44" i="1"/>
  <c r="J336" i="1"/>
  <c r="J355" i="1"/>
  <c r="J351" i="1"/>
  <c r="J29" i="1"/>
  <c r="J373" i="1"/>
  <c r="J17" i="1"/>
  <c r="J31" i="1"/>
  <c r="J220" i="1"/>
  <c r="J72" i="1"/>
  <c r="J343" i="1"/>
  <c r="J353" i="1"/>
  <c r="J396" i="1"/>
  <c r="J227" i="1"/>
  <c r="J210" i="1"/>
  <c r="J230" i="1"/>
  <c r="J228" i="1"/>
  <c r="J211" i="1"/>
  <c r="J361" i="1"/>
  <c r="J357" i="1"/>
  <c r="J335" i="1"/>
  <c r="J333" i="1"/>
  <c r="J64" i="1"/>
  <c r="J428" i="1"/>
  <c r="J75" i="1"/>
  <c r="J482" i="1"/>
  <c r="J255" i="1"/>
  <c r="J271" i="1"/>
  <c r="J178" i="1"/>
  <c r="J232" i="1"/>
  <c r="J290" i="1"/>
  <c r="J245" i="1"/>
  <c r="J202" i="1"/>
  <c r="J187" i="1"/>
  <c r="J78" i="1"/>
  <c r="J257" i="1"/>
  <c r="J198" i="1"/>
  <c r="J268" i="1"/>
  <c r="J235" i="1"/>
  <c r="J82" i="1"/>
  <c r="J298" i="1"/>
  <c r="J85" i="1"/>
  <c r="A644" i="1"/>
  <c r="B644" i="1"/>
  <c r="C644" i="1"/>
  <c r="D644" i="1"/>
  <c r="D487" i="1"/>
  <c r="A487" i="1"/>
  <c r="B487" i="1"/>
  <c r="C487" i="1"/>
  <c r="D537" i="1"/>
  <c r="A537" i="1"/>
  <c r="B537" i="1"/>
  <c r="C537" i="1"/>
  <c r="A587" i="1"/>
  <c r="B587" i="1"/>
  <c r="C587" i="1"/>
  <c r="D587" i="1"/>
  <c r="A666" i="1"/>
  <c r="B666" i="1"/>
  <c r="C666" i="1"/>
  <c r="D666" i="1"/>
  <c r="A603" i="1"/>
  <c r="B603" i="1"/>
  <c r="C603" i="1"/>
  <c r="D603" i="1"/>
  <c r="H522" i="1"/>
  <c r="E522" i="1"/>
  <c r="F522" i="1"/>
  <c r="G522" i="1"/>
  <c r="H500" i="1"/>
  <c r="E500" i="1"/>
  <c r="F500" i="1"/>
  <c r="G500" i="1"/>
  <c r="H479" i="1"/>
  <c r="E479" i="1"/>
  <c r="F479" i="1"/>
  <c r="G479" i="1"/>
  <c r="H467" i="1"/>
  <c r="E467" i="1"/>
  <c r="F467" i="1"/>
  <c r="G467" i="1"/>
  <c r="H509" i="1"/>
  <c r="E509" i="1"/>
  <c r="F509" i="1"/>
  <c r="G509" i="1"/>
  <c r="H474" i="1"/>
  <c r="E474" i="1"/>
  <c r="F474" i="1"/>
  <c r="G474" i="1"/>
  <c r="H423" i="1"/>
  <c r="E423" i="1"/>
  <c r="F423" i="1"/>
  <c r="G423" i="1"/>
  <c r="H524" i="1"/>
  <c r="E524" i="1"/>
  <c r="F524" i="1"/>
  <c r="G524" i="1"/>
  <c r="E581" i="1"/>
  <c r="F581" i="1"/>
  <c r="G581" i="1"/>
  <c r="H581" i="1"/>
  <c r="A669" i="1"/>
  <c r="C669" i="1"/>
  <c r="B669" i="1"/>
  <c r="D669" i="1"/>
  <c r="A608" i="1"/>
  <c r="C608" i="1"/>
  <c r="D608" i="1"/>
  <c r="B608" i="1"/>
  <c r="A642" i="1"/>
  <c r="B642" i="1"/>
  <c r="C642" i="1"/>
  <c r="D642" i="1"/>
  <c r="D519" i="1"/>
  <c r="A519" i="1"/>
  <c r="B519" i="1"/>
  <c r="C519" i="1"/>
  <c r="A559" i="1"/>
  <c r="B559" i="1"/>
  <c r="C559" i="1"/>
  <c r="D559" i="1"/>
  <c r="D486" i="1"/>
  <c r="A486" i="1"/>
  <c r="B486" i="1"/>
  <c r="C486" i="1"/>
  <c r="A590" i="1"/>
  <c r="C590" i="1"/>
  <c r="D590" i="1"/>
  <c r="B590" i="1"/>
  <c r="A634" i="1"/>
  <c r="B634" i="1"/>
  <c r="C634" i="1"/>
  <c r="D634" i="1"/>
  <c r="D549" i="1"/>
  <c r="A549" i="1"/>
  <c r="B549" i="1"/>
  <c r="C549" i="1"/>
  <c r="A631" i="1"/>
  <c r="B631" i="1"/>
  <c r="C631" i="1"/>
  <c r="D631" i="1"/>
  <c r="D526" i="1"/>
  <c r="A526" i="1"/>
  <c r="B526" i="1"/>
  <c r="C526" i="1"/>
  <c r="D496" i="1"/>
  <c r="A496" i="1"/>
  <c r="B496" i="1"/>
  <c r="C496" i="1"/>
  <c r="D541" i="1"/>
  <c r="A541" i="1"/>
  <c r="B541" i="1"/>
  <c r="C541" i="1"/>
  <c r="A586" i="1"/>
  <c r="C586" i="1"/>
  <c r="D586" i="1"/>
  <c r="B586" i="1"/>
  <c r="A595" i="1"/>
  <c r="B595" i="1"/>
  <c r="C595" i="1"/>
  <c r="D595" i="1"/>
  <c r="A646" i="1"/>
  <c r="B646" i="1"/>
  <c r="C646" i="1"/>
  <c r="D646" i="1"/>
  <c r="A667" i="1"/>
  <c r="B667" i="1"/>
  <c r="C667" i="1"/>
  <c r="D667" i="1"/>
  <c r="A638" i="1"/>
  <c r="B638" i="1"/>
  <c r="C638" i="1"/>
  <c r="D638" i="1"/>
  <c r="A674" i="1"/>
  <c r="B674" i="1"/>
  <c r="C674" i="1"/>
  <c r="D674" i="1"/>
  <c r="A602" i="1"/>
  <c r="C602" i="1"/>
  <c r="D602" i="1"/>
  <c r="B602" i="1"/>
  <c r="A580" i="1"/>
  <c r="C580" i="1"/>
  <c r="D580" i="1"/>
  <c r="B580" i="1"/>
  <c r="H390" i="1"/>
  <c r="E390" i="1"/>
  <c r="F390" i="1"/>
  <c r="G390" i="1"/>
  <c r="E570" i="1"/>
  <c r="H570" i="1"/>
  <c r="F570" i="1"/>
  <c r="G570" i="1"/>
  <c r="H413" i="1"/>
  <c r="E413" i="1"/>
  <c r="F413" i="1"/>
  <c r="G413" i="1"/>
  <c r="H499" i="1"/>
  <c r="E499" i="1"/>
  <c r="F499" i="1"/>
  <c r="G499" i="1"/>
  <c r="H521" i="1"/>
  <c r="E521" i="1"/>
  <c r="F521" i="1"/>
  <c r="G521" i="1"/>
  <c r="H459" i="1"/>
  <c r="E459" i="1"/>
  <c r="F459" i="1"/>
  <c r="G459" i="1"/>
  <c r="H553" i="1"/>
  <c r="E553" i="1"/>
  <c r="F553" i="1"/>
  <c r="G553" i="1"/>
  <c r="H465" i="1"/>
  <c r="E465" i="1"/>
  <c r="F465" i="1"/>
  <c r="G465" i="1"/>
  <c r="H426" i="1"/>
  <c r="E426" i="1"/>
  <c r="F426" i="1"/>
  <c r="G426" i="1"/>
  <c r="H433" i="1"/>
  <c r="E433" i="1"/>
  <c r="F433" i="1"/>
  <c r="G433" i="1"/>
  <c r="H457" i="1"/>
  <c r="E457" i="1"/>
  <c r="F457" i="1"/>
  <c r="G457" i="1"/>
  <c r="H490" i="1"/>
  <c r="E490" i="1"/>
  <c r="F490" i="1"/>
  <c r="G490" i="1"/>
  <c r="H405" i="1"/>
  <c r="E405" i="1"/>
  <c r="F405" i="1"/>
  <c r="G405" i="1"/>
  <c r="H449" i="1"/>
  <c r="E449" i="1"/>
  <c r="F449" i="1"/>
  <c r="G449" i="1"/>
  <c r="H401" i="1"/>
  <c r="E401" i="1"/>
  <c r="F401" i="1"/>
  <c r="G401" i="1"/>
  <c r="H441" i="1"/>
  <c r="E441" i="1"/>
  <c r="F441" i="1"/>
  <c r="G441" i="1"/>
  <c r="A577" i="1"/>
  <c r="B577" i="1"/>
  <c r="C577" i="1"/>
  <c r="D577" i="1"/>
  <c r="H489" i="1"/>
  <c r="E489" i="1"/>
  <c r="F489" i="1"/>
  <c r="G489" i="1"/>
  <c r="H464" i="1"/>
  <c r="E464" i="1"/>
  <c r="F464" i="1"/>
  <c r="G464" i="1"/>
  <c r="H437" i="1"/>
  <c r="E437" i="1"/>
  <c r="F437" i="1"/>
  <c r="G437" i="1"/>
  <c r="E557" i="1"/>
  <c r="F557" i="1"/>
  <c r="G557" i="1"/>
  <c r="H557" i="1"/>
  <c r="H543" i="1"/>
  <c r="E543" i="1"/>
  <c r="F543" i="1"/>
  <c r="G543" i="1"/>
  <c r="H407" i="1"/>
  <c r="E407" i="1"/>
  <c r="F407" i="1"/>
  <c r="G407" i="1"/>
  <c r="H451" i="1"/>
  <c r="E451" i="1"/>
  <c r="F451" i="1"/>
  <c r="G451" i="1"/>
  <c r="H432" i="1"/>
  <c r="E432" i="1"/>
  <c r="F432" i="1"/>
  <c r="G432" i="1"/>
  <c r="H402" i="1"/>
  <c r="E402" i="1"/>
  <c r="F402" i="1"/>
  <c r="G402" i="1"/>
  <c r="H453" i="1"/>
  <c r="E453" i="1"/>
  <c r="F453" i="1"/>
  <c r="G453" i="1"/>
  <c r="H494" i="1"/>
  <c r="E494" i="1"/>
  <c r="F494" i="1"/>
  <c r="G494" i="1"/>
  <c r="H506" i="1"/>
  <c r="E506" i="1"/>
  <c r="F506" i="1"/>
  <c r="G506" i="1"/>
  <c r="H400" i="1"/>
  <c r="E400" i="1"/>
  <c r="F400" i="1"/>
  <c r="G400" i="1"/>
  <c r="H523" i="1"/>
  <c r="E523" i="1"/>
  <c r="F523" i="1"/>
  <c r="G523" i="1"/>
  <c r="H438" i="1"/>
  <c r="E438" i="1"/>
  <c r="F438" i="1"/>
  <c r="G438" i="1"/>
  <c r="A641" i="1"/>
  <c r="B641" i="1"/>
  <c r="C641" i="1"/>
  <c r="D641" i="1"/>
  <c r="D510" i="1"/>
  <c r="A510" i="1"/>
  <c r="B510" i="1"/>
  <c r="C510" i="1"/>
  <c r="A671" i="1"/>
  <c r="B671" i="1"/>
  <c r="C671" i="1"/>
  <c r="D671" i="1"/>
  <c r="D508" i="1"/>
  <c r="A508" i="1"/>
  <c r="B508" i="1"/>
  <c r="C508" i="1"/>
  <c r="A566" i="1"/>
  <c r="C566" i="1"/>
  <c r="D566" i="1"/>
  <c r="B566" i="1"/>
  <c r="A627" i="1"/>
  <c r="B627" i="1"/>
  <c r="C627" i="1"/>
  <c r="D627" i="1"/>
  <c r="D513" i="1"/>
  <c r="A513" i="1"/>
  <c r="B513" i="1"/>
  <c r="C513" i="1"/>
  <c r="D544" i="1"/>
  <c r="A544" i="1"/>
  <c r="B544" i="1"/>
  <c r="C544" i="1"/>
  <c r="H421" i="1"/>
  <c r="E421" i="1"/>
  <c r="F421" i="1"/>
  <c r="G421" i="1"/>
  <c r="E572" i="1"/>
  <c r="H572" i="1"/>
  <c r="F572" i="1"/>
  <c r="G572" i="1"/>
  <c r="H391" i="1"/>
  <c r="E391" i="1"/>
  <c r="F391" i="1"/>
  <c r="G391" i="1"/>
  <c r="H475" i="1"/>
  <c r="E475" i="1"/>
  <c r="F475" i="1"/>
  <c r="G475" i="1"/>
  <c r="H424" i="1"/>
  <c r="E424" i="1"/>
  <c r="F424" i="1"/>
  <c r="G424" i="1"/>
  <c r="H483" i="1"/>
  <c r="E483" i="1"/>
  <c r="F483" i="1"/>
  <c r="G483" i="1"/>
  <c r="E558" i="1"/>
  <c r="H558" i="1"/>
  <c r="F558" i="1"/>
  <c r="G558" i="1"/>
  <c r="H498" i="1"/>
  <c r="E498" i="1"/>
  <c r="F498" i="1"/>
  <c r="G498" i="1"/>
  <c r="E563" i="1"/>
  <c r="F563" i="1"/>
  <c r="G563" i="1"/>
  <c r="H563" i="1"/>
  <c r="H542" i="1"/>
  <c r="E542" i="1"/>
  <c r="F542" i="1"/>
  <c r="G542" i="1"/>
  <c r="E571" i="1"/>
  <c r="F571" i="1"/>
  <c r="G571" i="1"/>
  <c r="H571" i="1"/>
  <c r="H502" i="1"/>
  <c r="E502" i="1"/>
  <c r="F502" i="1"/>
  <c r="G502" i="1"/>
  <c r="A637" i="1"/>
  <c r="B637" i="1"/>
  <c r="C637" i="1"/>
  <c r="D637" i="1"/>
  <c r="A672" i="1"/>
  <c r="B672" i="1"/>
  <c r="C672" i="1"/>
  <c r="D672" i="1"/>
  <c r="A655" i="1"/>
  <c r="B655" i="1"/>
  <c r="C655" i="1"/>
  <c r="D655" i="1"/>
  <c r="A622" i="1"/>
  <c r="B622" i="1"/>
  <c r="C622" i="1"/>
  <c r="D622" i="1"/>
  <c r="A619" i="1"/>
  <c r="B619" i="1"/>
  <c r="C619" i="1"/>
  <c r="D619" i="1"/>
  <c r="A618" i="1"/>
  <c r="C618" i="1"/>
  <c r="D618" i="1"/>
  <c r="B618" i="1"/>
  <c r="A675" i="1"/>
  <c r="B675" i="1"/>
  <c r="C675" i="1"/>
  <c r="D675" i="1"/>
  <c r="A607" i="1"/>
  <c r="B607" i="1"/>
  <c r="C607" i="1"/>
  <c r="D607" i="1"/>
  <c r="D492" i="1"/>
  <c r="A492" i="1"/>
  <c r="B492" i="1"/>
  <c r="C492" i="1"/>
  <c r="A630" i="1"/>
  <c r="B630" i="1"/>
  <c r="C630" i="1"/>
  <c r="D630" i="1"/>
  <c r="D493" i="1"/>
  <c r="A493" i="1"/>
  <c r="B493" i="1"/>
  <c r="C493" i="1"/>
  <c r="D536" i="1"/>
  <c r="A536" i="1"/>
  <c r="B536" i="1"/>
  <c r="C536" i="1"/>
  <c r="A599" i="1"/>
  <c r="B599" i="1"/>
  <c r="C599" i="1"/>
  <c r="D599" i="1"/>
  <c r="A556" i="1"/>
  <c r="C556" i="1"/>
  <c r="D556" i="1"/>
  <c r="B556" i="1"/>
  <c r="D512" i="1"/>
  <c r="A512" i="1"/>
  <c r="B512" i="1"/>
  <c r="C512" i="1"/>
  <c r="A594" i="1"/>
  <c r="C594" i="1"/>
  <c r="D594" i="1"/>
  <c r="B594" i="1"/>
  <c r="A659" i="1"/>
  <c r="B659" i="1"/>
  <c r="C659" i="1"/>
  <c r="D659" i="1"/>
  <c r="D507" i="1"/>
  <c r="A507" i="1"/>
  <c r="B507" i="1"/>
  <c r="C507" i="1"/>
  <c r="A606" i="1"/>
  <c r="C606" i="1"/>
  <c r="D606" i="1"/>
  <c r="B606" i="1"/>
  <c r="A639" i="1"/>
  <c r="B639" i="1"/>
  <c r="C639" i="1"/>
  <c r="D639" i="1"/>
  <c r="D504" i="1"/>
  <c r="A504" i="1"/>
  <c r="B504" i="1"/>
  <c r="C504" i="1"/>
  <c r="A670" i="1"/>
  <c r="B670" i="1"/>
  <c r="C670" i="1"/>
  <c r="D670" i="1"/>
  <c r="H411" i="1"/>
  <c r="E411" i="1"/>
  <c r="F411" i="1"/>
  <c r="G411" i="1"/>
  <c r="H434" i="1"/>
  <c r="E434" i="1"/>
  <c r="F434" i="1"/>
  <c r="G434" i="1"/>
  <c r="H456" i="1"/>
  <c r="E456" i="1"/>
  <c r="F456" i="1"/>
  <c r="G456" i="1"/>
  <c r="H480" i="1"/>
  <c r="E480" i="1"/>
  <c r="F480" i="1"/>
  <c r="G480" i="1"/>
  <c r="H547" i="1"/>
  <c r="E547" i="1"/>
  <c r="F547" i="1"/>
  <c r="G547" i="1"/>
  <c r="H461" i="1"/>
  <c r="E461" i="1"/>
  <c r="F461" i="1"/>
  <c r="G461" i="1"/>
  <c r="H514" i="1"/>
  <c r="E514" i="1"/>
  <c r="F514" i="1"/>
  <c r="G514" i="1"/>
  <c r="H484" i="1"/>
  <c r="E484" i="1"/>
  <c r="F484" i="1"/>
  <c r="G484" i="1"/>
  <c r="H439" i="1"/>
  <c r="E439" i="1"/>
  <c r="F439" i="1"/>
  <c r="G439" i="1"/>
  <c r="D548" i="1"/>
  <c r="A548" i="1"/>
  <c r="B548" i="1"/>
  <c r="C548" i="1"/>
  <c r="H425" i="1"/>
  <c r="E425" i="1"/>
  <c r="F425" i="1"/>
  <c r="G425" i="1"/>
  <c r="H452" i="1"/>
  <c r="E452" i="1"/>
  <c r="F452" i="1"/>
  <c r="G452" i="1"/>
  <c r="H534" i="1"/>
  <c r="E534" i="1"/>
  <c r="F534" i="1"/>
  <c r="G534" i="1"/>
  <c r="H397" i="1"/>
  <c r="E397" i="1"/>
  <c r="F397" i="1"/>
  <c r="G397" i="1"/>
  <c r="H551" i="1"/>
  <c r="E551" i="1"/>
  <c r="F551" i="1"/>
  <c r="G551" i="1"/>
  <c r="H472" i="1"/>
  <c r="E472" i="1"/>
  <c r="F472" i="1"/>
  <c r="G472" i="1"/>
  <c r="E578" i="1"/>
  <c r="H578" i="1"/>
  <c r="F578" i="1"/>
  <c r="G578" i="1"/>
  <c r="H392" i="1"/>
  <c r="E392" i="1"/>
  <c r="F392" i="1"/>
  <c r="G392" i="1"/>
  <c r="H478" i="1"/>
  <c r="E478" i="1"/>
  <c r="F478" i="1"/>
  <c r="G478" i="1"/>
  <c r="H516" i="1"/>
  <c r="E516" i="1"/>
  <c r="F516" i="1"/>
  <c r="G516" i="1"/>
  <c r="H546" i="1"/>
  <c r="E546" i="1"/>
  <c r="F546" i="1"/>
  <c r="G546" i="1"/>
  <c r="H394" i="1"/>
  <c r="E394" i="1"/>
  <c r="F394" i="1"/>
  <c r="G394" i="1"/>
  <c r="H431" i="1"/>
  <c r="E431" i="1"/>
  <c r="F431" i="1"/>
  <c r="G431" i="1"/>
  <c r="H443" i="1"/>
  <c r="E443" i="1"/>
  <c r="F443" i="1"/>
  <c r="G443" i="1"/>
  <c r="H495" i="1"/>
  <c r="E495" i="1"/>
  <c r="F495" i="1"/>
  <c r="G495" i="1"/>
  <c r="H503" i="1"/>
  <c r="E503" i="1"/>
  <c r="F503" i="1"/>
  <c r="G503" i="1"/>
  <c r="H430" i="1"/>
  <c r="E430" i="1"/>
  <c r="F430" i="1"/>
  <c r="G430" i="1"/>
  <c r="H463" i="1"/>
  <c r="E463" i="1"/>
  <c r="F463" i="1"/>
  <c r="G463" i="1"/>
  <c r="H446" i="1"/>
  <c r="E446" i="1"/>
  <c r="F446" i="1"/>
  <c r="G446" i="1"/>
  <c r="H531" i="1"/>
  <c r="E531" i="1"/>
  <c r="F531" i="1"/>
  <c r="G531" i="1"/>
  <c r="D539" i="1"/>
  <c r="A539" i="1"/>
  <c r="B539" i="1"/>
  <c r="C539" i="1"/>
  <c r="D488" i="1"/>
  <c r="A488" i="1"/>
  <c r="B488" i="1"/>
  <c r="C488" i="1"/>
  <c r="A650" i="1"/>
  <c r="B650" i="1"/>
  <c r="C650" i="1"/>
  <c r="D650" i="1"/>
  <c r="D529" i="1"/>
  <c r="A529" i="1"/>
  <c r="B529" i="1"/>
  <c r="C529" i="1"/>
  <c r="A647" i="1"/>
  <c r="B647" i="1"/>
  <c r="C647" i="1"/>
  <c r="D647" i="1"/>
  <c r="A623" i="1"/>
  <c r="B623" i="1"/>
  <c r="C623" i="1"/>
  <c r="D623" i="1"/>
  <c r="A576" i="1"/>
  <c r="C576" i="1"/>
  <c r="D576" i="1"/>
  <c r="B576" i="1"/>
  <c r="H404" i="1"/>
  <c r="E404" i="1"/>
  <c r="F404" i="1"/>
  <c r="G404" i="1"/>
  <c r="H448" i="1"/>
  <c r="E448" i="1"/>
  <c r="F448" i="1"/>
  <c r="G448" i="1"/>
  <c r="E562" i="1"/>
  <c r="H562" i="1"/>
  <c r="F562" i="1"/>
  <c r="G562" i="1"/>
  <c r="E579" i="1"/>
  <c r="F579" i="1"/>
  <c r="G579" i="1"/>
  <c r="H579" i="1"/>
  <c r="H410" i="1"/>
  <c r="E410" i="1"/>
  <c r="F410" i="1"/>
  <c r="G410" i="1"/>
  <c r="H442" i="1"/>
  <c r="E442" i="1"/>
  <c r="F442" i="1"/>
  <c r="G442" i="1"/>
  <c r="H462" i="1"/>
  <c r="E462" i="1"/>
  <c r="F462" i="1"/>
  <c r="G462" i="1"/>
  <c r="H469" i="1"/>
  <c r="E469" i="1"/>
  <c r="F469" i="1"/>
  <c r="G469" i="1"/>
  <c r="H419" i="1"/>
  <c r="E419" i="1"/>
  <c r="F419" i="1"/>
  <c r="G419" i="1"/>
  <c r="H436" i="1"/>
  <c r="E436" i="1"/>
  <c r="F436" i="1"/>
  <c r="G436" i="1"/>
  <c r="A617" i="1"/>
  <c r="B617" i="1"/>
  <c r="C617" i="1"/>
  <c r="D617" i="1"/>
  <c r="A620" i="1"/>
  <c r="C620" i="1"/>
  <c r="D620" i="1"/>
  <c r="B620" i="1"/>
  <c r="A614" i="1"/>
  <c r="C614" i="1"/>
  <c r="D614" i="1"/>
  <c r="B614" i="1"/>
  <c r="D554" i="1"/>
  <c r="A554" i="1"/>
  <c r="B554" i="1"/>
  <c r="C554" i="1"/>
  <c r="A568" i="1"/>
  <c r="C568" i="1"/>
  <c r="D568" i="1"/>
  <c r="B568" i="1"/>
  <c r="A610" i="1"/>
  <c r="C610" i="1"/>
  <c r="D610" i="1"/>
  <c r="B610" i="1"/>
  <c r="A643" i="1"/>
  <c r="B643" i="1"/>
  <c r="C643" i="1"/>
  <c r="D643" i="1"/>
  <c r="D517" i="1"/>
  <c r="A517" i="1"/>
  <c r="B517" i="1"/>
  <c r="C517" i="1"/>
  <c r="A560" i="1"/>
  <c r="C560" i="1"/>
  <c r="D560" i="1"/>
  <c r="B560" i="1"/>
  <c r="A598" i="1"/>
  <c r="C598" i="1"/>
  <c r="D598" i="1"/>
  <c r="B598" i="1"/>
  <c r="A635" i="1"/>
  <c r="B635" i="1"/>
  <c r="C635" i="1"/>
  <c r="D635" i="1"/>
  <c r="A564" i="1"/>
  <c r="C564" i="1"/>
  <c r="D564" i="1"/>
  <c r="B564" i="1"/>
  <c r="D525" i="1"/>
  <c r="A525" i="1"/>
  <c r="B525" i="1"/>
  <c r="C525" i="1"/>
  <c r="A651" i="1"/>
  <c r="B651" i="1"/>
  <c r="C651" i="1"/>
  <c r="D651" i="1"/>
  <c r="A611" i="1"/>
  <c r="B611" i="1"/>
  <c r="C611" i="1"/>
  <c r="D611" i="1"/>
  <c r="D530" i="1"/>
  <c r="A530" i="1"/>
  <c r="B530" i="1"/>
  <c r="C530" i="1"/>
  <c r="A569" i="1"/>
  <c r="B569" i="1"/>
  <c r="C569" i="1"/>
  <c r="D569" i="1"/>
  <c r="A658" i="1"/>
  <c r="B658" i="1"/>
  <c r="C658" i="1"/>
  <c r="D658" i="1"/>
  <c r="A626" i="1"/>
  <c r="B626" i="1"/>
  <c r="C626" i="1"/>
  <c r="D626" i="1"/>
  <c r="D533" i="1"/>
  <c r="A533" i="1"/>
  <c r="B533" i="1"/>
  <c r="C533" i="1"/>
  <c r="D505" i="1"/>
  <c r="A505" i="1"/>
  <c r="B505" i="1"/>
  <c r="C505" i="1"/>
  <c r="D545" i="1"/>
  <c r="A545" i="1"/>
  <c r="B545" i="1"/>
  <c r="C545" i="1"/>
  <c r="A591" i="1"/>
  <c r="B591" i="1"/>
  <c r="C591" i="1"/>
  <c r="D591" i="1"/>
  <c r="H427" i="1"/>
  <c r="E427" i="1"/>
  <c r="F427" i="1"/>
  <c r="G427" i="1"/>
  <c r="H435" i="1"/>
  <c r="E435" i="1"/>
  <c r="F435" i="1"/>
  <c r="G435" i="1"/>
  <c r="H458" i="1"/>
  <c r="E458" i="1"/>
  <c r="F458" i="1"/>
  <c r="G458" i="1"/>
  <c r="H460" i="1"/>
  <c r="E460" i="1"/>
  <c r="F460" i="1"/>
  <c r="G460" i="1"/>
  <c r="E574" i="1"/>
  <c r="H574" i="1"/>
  <c r="F574" i="1"/>
  <c r="G574" i="1"/>
  <c r="H399" i="1"/>
  <c r="E399" i="1"/>
  <c r="F399" i="1"/>
  <c r="G399" i="1"/>
  <c r="H515" i="1"/>
  <c r="E515" i="1"/>
  <c r="F515" i="1"/>
  <c r="G515" i="1"/>
  <c r="H476" i="1"/>
  <c r="E476" i="1"/>
  <c r="F476" i="1"/>
  <c r="G476" i="1"/>
  <c r="H417" i="1"/>
  <c r="E417" i="1"/>
  <c r="F417" i="1"/>
  <c r="G417" i="1"/>
  <c r="H485" i="1"/>
  <c r="E485" i="1"/>
  <c r="F485" i="1"/>
  <c r="G485" i="1"/>
  <c r="H395" i="1"/>
  <c r="E395" i="1"/>
  <c r="F395" i="1"/>
  <c r="G395" i="1"/>
  <c r="H552" i="1"/>
  <c r="E552" i="1"/>
  <c r="F552" i="1"/>
  <c r="G552" i="1"/>
  <c r="H418" i="1"/>
  <c r="E418" i="1"/>
  <c r="F418" i="1"/>
  <c r="G418" i="1"/>
  <c r="H408" i="1"/>
  <c r="E408" i="1"/>
  <c r="F408" i="1"/>
  <c r="G408" i="1"/>
  <c r="H550" i="1"/>
  <c r="E550" i="1"/>
  <c r="F550" i="1"/>
  <c r="G550" i="1"/>
  <c r="H412" i="1"/>
  <c r="E412" i="1"/>
  <c r="F412" i="1"/>
  <c r="G412" i="1"/>
  <c r="H471" i="1"/>
  <c r="E471" i="1"/>
  <c r="F471" i="1"/>
  <c r="G471" i="1"/>
  <c r="H454" i="1"/>
  <c r="E454" i="1"/>
  <c r="F454" i="1"/>
  <c r="G454" i="1"/>
  <c r="H538" i="1"/>
  <c r="E538" i="1"/>
  <c r="F538" i="1"/>
  <c r="G538" i="1"/>
  <c r="H535" i="1"/>
  <c r="E535" i="1"/>
  <c r="F535" i="1"/>
  <c r="G535" i="1"/>
  <c r="H481" i="1"/>
  <c r="E481" i="1"/>
  <c r="F481" i="1"/>
  <c r="G481" i="1"/>
  <c r="E575" i="1"/>
  <c r="F575" i="1"/>
  <c r="G575" i="1"/>
  <c r="H575" i="1"/>
  <c r="H527" i="1"/>
  <c r="E527" i="1"/>
  <c r="F527" i="1"/>
  <c r="G527" i="1"/>
  <c r="H447" i="1"/>
  <c r="E447" i="1"/>
  <c r="F447" i="1"/>
  <c r="G447" i="1"/>
  <c r="H468" i="1"/>
  <c r="E468" i="1"/>
  <c r="F468" i="1"/>
  <c r="G468" i="1"/>
  <c r="H440" i="1"/>
  <c r="E440" i="1"/>
  <c r="F440" i="1"/>
  <c r="G440" i="1"/>
  <c r="H473" i="1"/>
  <c r="E473" i="1"/>
  <c r="F473" i="1"/>
  <c r="G473" i="1"/>
  <c r="H416" i="1"/>
  <c r="E416" i="1"/>
  <c r="F416" i="1"/>
  <c r="G416" i="1"/>
  <c r="H415" i="1"/>
  <c r="E415" i="1"/>
  <c r="F415" i="1"/>
  <c r="G415" i="1"/>
  <c r="H393" i="1"/>
  <c r="E393" i="1"/>
  <c r="F393" i="1"/>
  <c r="G393" i="1"/>
  <c r="J157" i="1"/>
  <c r="J149" i="1"/>
  <c r="J204" i="1"/>
  <c r="J70" i="1"/>
  <c r="J139" i="1"/>
  <c r="J261" i="1"/>
  <c r="J414" i="1"/>
  <c r="J159" i="1"/>
  <c r="J190" i="1"/>
  <c r="J25" i="1"/>
  <c r="J141" i="1"/>
  <c r="J174" i="1"/>
  <c r="J131" i="1"/>
  <c r="J49" i="1"/>
  <c r="J126" i="1"/>
  <c r="J320" i="1"/>
  <c r="J381" i="1"/>
  <c r="J477" i="1"/>
  <c r="J332" i="1"/>
  <c r="J365" i="1"/>
  <c r="J272" i="1"/>
  <c r="J285" i="1"/>
  <c r="J251" i="1"/>
  <c r="J267" i="1"/>
  <c r="J274" i="1"/>
  <c r="J59" i="1"/>
  <c r="J319" i="1"/>
  <c r="J420" i="1"/>
  <c r="J379" i="1"/>
  <c r="J382" i="1"/>
  <c r="J360" i="1"/>
  <c r="J375" i="1"/>
  <c r="J73" i="1"/>
  <c r="J53" i="1"/>
  <c r="J77" i="1"/>
  <c r="J282" i="1"/>
  <c r="J338" i="1"/>
  <c r="J358" i="1"/>
  <c r="J325" i="1"/>
  <c r="J339" i="1"/>
  <c r="J55" i="1"/>
  <c r="J403" i="1"/>
  <c r="J74" i="1"/>
  <c r="J314" i="1"/>
  <c r="J349" i="1"/>
  <c r="J450" i="1"/>
  <c r="J313" i="1"/>
  <c r="J87" i="1"/>
  <c r="J370" i="1"/>
  <c r="J301" i="1"/>
  <c r="J276" i="1"/>
  <c r="J247" i="1"/>
  <c r="J250" i="1"/>
  <c r="J277" i="1"/>
  <c r="J292" i="1"/>
  <c r="J281" i="1"/>
  <c r="J288" i="1"/>
  <c r="J466" i="1"/>
  <c r="J380" i="1"/>
  <c r="J57" i="1"/>
  <c r="J71" i="1"/>
  <c r="J376" i="1"/>
  <c r="J377" i="1"/>
  <c r="J445" i="1"/>
  <c r="J429" i="1"/>
  <c r="J372" i="1"/>
  <c r="J81" i="1"/>
  <c r="J317" i="1"/>
  <c r="J334" i="1"/>
  <c r="J296" i="1"/>
  <c r="J337" i="1"/>
  <c r="J362" i="1"/>
  <c r="J269" i="1"/>
  <c r="J283" i="1"/>
  <c r="J279" i="1"/>
  <c r="J324" i="1"/>
  <c r="J303" i="1"/>
  <c r="J83" i="1"/>
  <c r="J385" i="1"/>
  <c r="J107" i="1"/>
  <c r="J152" i="1"/>
  <c r="J150" i="1"/>
  <c r="J112" i="1"/>
  <c r="J330" i="1"/>
  <c r="J176" i="1"/>
  <c r="J199" i="1"/>
  <c r="J104" i="1"/>
  <c r="J196" i="1"/>
  <c r="J160" i="1"/>
  <c r="J151" i="1"/>
  <c r="J197" i="1"/>
  <c r="J51" i="1"/>
  <c r="J96" i="1"/>
  <c r="J132" i="1"/>
  <c r="J179" i="1"/>
  <c r="J90" i="1"/>
  <c r="J111" i="1"/>
  <c r="J28" i="1"/>
  <c r="J46" i="1"/>
  <c r="J209" i="1"/>
  <c r="J225" i="1"/>
  <c r="J240" i="1"/>
  <c r="J224" i="1"/>
  <c r="J223" i="1"/>
  <c r="J242" i="1"/>
  <c r="J218" i="1"/>
  <c r="J233" i="1"/>
  <c r="J155" i="1"/>
  <c r="J329" i="1"/>
  <c r="J186" i="1"/>
  <c r="J54" i="1"/>
  <c r="J331" i="1"/>
  <c r="J19" i="1"/>
  <c r="J113" i="1"/>
  <c r="J43" i="1"/>
  <c r="J88" i="1"/>
  <c r="J34" i="1"/>
  <c r="J22" i="1"/>
  <c r="J175" i="1"/>
  <c r="J33" i="1"/>
  <c r="J124" i="1"/>
  <c r="J142" i="1"/>
  <c r="J222" i="1"/>
  <c r="J244" i="1"/>
  <c r="J231" i="1"/>
  <c r="J234" i="1"/>
  <c r="J236" i="1"/>
  <c r="J40" i="1"/>
  <c r="J18" i="1"/>
  <c r="J116" i="1"/>
  <c r="J134" i="1"/>
  <c r="J185" i="1"/>
  <c r="J101" i="1"/>
  <c r="J154" i="1"/>
  <c r="J143" i="1"/>
  <c r="J32" i="1"/>
  <c r="J42" i="1"/>
  <c r="J95" i="1"/>
  <c r="J140" i="1"/>
  <c r="J162" i="1"/>
  <c r="J345" i="1"/>
  <c r="J66" i="1"/>
  <c r="J86" i="1"/>
  <c r="J422" i="1"/>
  <c r="J300" i="1"/>
  <c r="J350" i="1"/>
  <c r="J249" i="1"/>
  <c r="J260" i="1"/>
  <c r="J263" i="1"/>
  <c r="J270" i="1"/>
  <c r="J266" i="1"/>
  <c r="J398" i="1"/>
  <c r="J69" i="1"/>
  <c r="J388" i="1"/>
  <c r="J369" i="1"/>
  <c r="J364" i="1"/>
  <c r="J304" i="1"/>
  <c r="J384" i="1"/>
  <c r="J62" i="1"/>
  <c r="J293" i="1"/>
  <c r="J409" i="1"/>
  <c r="J354" i="1"/>
  <c r="J341" i="1"/>
  <c r="J68" i="1"/>
  <c r="J371" i="1"/>
  <c r="J352" i="1"/>
  <c r="J378" i="1"/>
  <c r="J273" i="1"/>
  <c r="J287" i="1"/>
  <c r="J252" i="1"/>
  <c r="J297" i="1"/>
  <c r="J326" i="1"/>
  <c r="J356" i="1"/>
  <c r="J294" i="1"/>
  <c r="J321" i="1"/>
  <c r="J347" i="1"/>
  <c r="J61" i="1"/>
  <c r="J60" i="1"/>
  <c r="J177" i="1"/>
  <c r="J52" i="1"/>
  <c r="J98" i="1"/>
  <c r="J172" i="1"/>
  <c r="J15" i="1"/>
  <c r="J133" i="1"/>
  <c r="J161" i="1"/>
  <c r="J119" i="1"/>
  <c r="J48" i="1"/>
  <c r="J97" i="1"/>
  <c r="J238" i="1"/>
  <c r="J200" i="1"/>
  <c r="J213" i="1"/>
  <c r="J27" i="1"/>
  <c r="J89" i="1"/>
  <c r="J183" i="1"/>
  <c r="J20" i="1"/>
  <c r="J181" i="1"/>
  <c r="J100" i="1"/>
  <c r="J125" i="1"/>
  <c r="J147" i="1"/>
  <c r="J327" i="1"/>
  <c r="J188" i="1"/>
  <c r="J93" i="1"/>
  <c r="J103" i="1"/>
  <c r="J328" i="1"/>
  <c r="J41" i="1"/>
  <c r="J26" i="1"/>
  <c r="J47" i="1"/>
  <c r="J14" i="1"/>
  <c r="J45" i="1"/>
  <c r="J206" i="1"/>
  <c r="J205" i="1"/>
  <c r="J207" i="1"/>
  <c r="J226" i="1"/>
  <c r="J221" i="1"/>
  <c r="J219" i="1"/>
  <c r="J208" i="1"/>
  <c r="J215" i="1"/>
  <c r="J214" i="1"/>
  <c r="J123" i="1"/>
  <c r="J180" i="1"/>
  <c r="J146" i="1"/>
  <c r="J189" i="1"/>
  <c r="J37" i="1"/>
  <c r="J105" i="1"/>
  <c r="J36" i="1"/>
  <c r="J21" i="1"/>
  <c r="J144" i="1"/>
  <c r="J129" i="1"/>
  <c r="J156" i="1"/>
  <c r="J115" i="1"/>
  <c r="J164" i="1"/>
  <c r="J102" i="1"/>
  <c r="J171" i="1"/>
  <c r="J12" i="1"/>
  <c r="J30" i="1"/>
  <c r="I606" i="2"/>
  <c r="J606" i="2" s="1"/>
  <c r="I548" i="2"/>
  <c r="J548" i="2" s="1"/>
  <c r="I674" i="2"/>
  <c r="J674" i="2" s="1"/>
  <c r="I508" i="2"/>
  <c r="J508" i="2" s="1"/>
  <c r="A662" i="2"/>
  <c r="B662" i="2" s="1"/>
  <c r="C662" i="2" s="1"/>
  <c r="D662" i="2" s="1"/>
  <c r="E662" i="2" s="1"/>
  <c r="I492" i="2"/>
  <c r="J492" i="2" s="1"/>
  <c r="I630" i="2"/>
  <c r="J630" i="2" s="1"/>
  <c r="I642" i="2"/>
  <c r="J642" i="2" s="1"/>
  <c r="I493" i="2"/>
  <c r="J493" i="2" s="1"/>
  <c r="I639" i="2"/>
  <c r="J639" i="2" s="1"/>
  <c r="I517" i="2"/>
  <c r="J517" i="2" s="1"/>
  <c r="I641" i="2"/>
  <c r="J641" i="2" s="1"/>
  <c r="I569" i="2"/>
  <c r="J569" i="2" s="1"/>
  <c r="I580" i="2"/>
  <c r="J580" i="2" s="1"/>
  <c r="I658" i="2"/>
  <c r="J658" i="2" s="1"/>
  <c r="I635" i="2"/>
  <c r="J635" i="2" s="1"/>
  <c r="I671" i="2"/>
  <c r="J671" i="2" s="1"/>
  <c r="I487" i="2"/>
  <c r="J487" i="2" s="1"/>
  <c r="A528" i="2"/>
  <c r="B528" i="2" s="1"/>
  <c r="C528" i="2" s="1"/>
  <c r="D528" i="2" s="1"/>
  <c r="E528" i="2" s="1"/>
  <c r="I528" i="2"/>
  <c r="J528" i="2" s="1"/>
  <c r="I533" i="2"/>
  <c r="J533" i="2" s="1"/>
  <c r="I594" i="2"/>
  <c r="J594" i="2" s="1"/>
  <c r="A532" i="2"/>
  <c r="B532" i="2" s="1"/>
  <c r="C532" i="2" s="1"/>
  <c r="D532" i="2" s="1"/>
  <c r="E532" i="2" s="1"/>
  <c r="I532" i="2"/>
  <c r="J532" i="2" s="1"/>
  <c r="A497" i="2"/>
  <c r="B497" i="2" s="1"/>
  <c r="C497" i="2" s="1"/>
  <c r="D497" i="2" s="1"/>
  <c r="E497" i="2" s="1"/>
  <c r="I497" i="2"/>
  <c r="J497" i="2" s="1"/>
  <c r="F706" i="2"/>
  <c r="G706" i="2" s="1"/>
  <c r="H706" i="2" s="1"/>
  <c r="F694" i="2"/>
  <c r="G694" i="2" s="1"/>
  <c r="H694" i="2" s="1"/>
  <c r="A501" i="2"/>
  <c r="B501" i="2" s="1"/>
  <c r="C501" i="2" s="1"/>
  <c r="D501" i="2" s="1"/>
  <c r="E501" i="2" s="1"/>
  <c r="I501" i="2"/>
  <c r="J501" i="2" s="1"/>
  <c r="F718" i="2"/>
  <c r="G718" i="2" s="1"/>
  <c r="H718" i="2" s="1"/>
  <c r="F698" i="2"/>
  <c r="G698" i="2" s="1"/>
  <c r="H698" i="2" s="1"/>
  <c r="I512" i="2"/>
  <c r="J512" i="2" s="1"/>
  <c r="I537" i="2"/>
  <c r="J537" i="2" s="1"/>
  <c r="I564" i="2"/>
  <c r="J564" i="2" s="1"/>
  <c r="I513" i="2"/>
  <c r="J513" i="2" s="1"/>
  <c r="I669" i="2"/>
  <c r="J669" i="2" s="1"/>
  <c r="I591" i="2"/>
  <c r="J591" i="2" s="1"/>
  <c r="I644" i="2"/>
  <c r="J644" i="2" s="1"/>
  <c r="A561" i="2"/>
  <c r="B561" i="2" s="1"/>
  <c r="C561" i="2" s="1"/>
  <c r="D561" i="2" s="1"/>
  <c r="E561" i="2" s="1"/>
  <c r="I561" i="2"/>
  <c r="J561" i="2" s="1"/>
  <c r="I530" i="2"/>
  <c r="J530" i="2" s="1"/>
  <c r="I646" i="2"/>
  <c r="J646" i="2" s="1"/>
  <c r="I549" i="2"/>
  <c r="J549" i="2" s="1"/>
  <c r="I536" i="2"/>
  <c r="J536" i="2" s="1"/>
  <c r="I603" i="2"/>
  <c r="J603" i="2" s="1"/>
  <c r="I647" i="2"/>
  <c r="J647" i="2" s="1"/>
  <c r="I488" i="2"/>
  <c r="J488" i="2" s="1"/>
  <c r="I507" i="2"/>
  <c r="J507" i="2" s="1"/>
  <c r="I595" i="2"/>
  <c r="J595" i="2" s="1"/>
  <c r="I627" i="2"/>
  <c r="J627" i="2" s="1"/>
  <c r="I576" i="2"/>
  <c r="J576" i="2" s="1"/>
  <c r="I586" i="2"/>
  <c r="J586" i="2" s="1"/>
  <c r="I607" i="2"/>
  <c r="J607" i="2" s="1"/>
  <c r="I525" i="2"/>
  <c r="J525" i="2" s="1"/>
  <c r="F750" i="2"/>
  <c r="G750" i="2" s="1"/>
  <c r="H750" i="2" s="1"/>
  <c r="A683" i="2"/>
  <c r="B683" i="2" s="1"/>
  <c r="C683" i="2" s="1"/>
  <c r="D683" i="2" s="1"/>
  <c r="E683" i="2" s="1"/>
  <c r="F682" i="2"/>
  <c r="G682" i="2" s="1"/>
  <c r="H682" i="2" s="1"/>
  <c r="I598" i="2"/>
  <c r="J598" i="2" s="1"/>
  <c r="F758" i="2"/>
  <c r="G758" i="2" s="1"/>
  <c r="H758" i="2" s="1"/>
  <c r="A555" i="2"/>
  <c r="B555" i="2" s="1"/>
  <c r="C555" i="2" s="1"/>
  <c r="D555" i="2" s="1"/>
  <c r="E555" i="2" s="1"/>
  <c r="I555" i="2"/>
  <c r="J555" i="2" s="1"/>
  <c r="A565" i="2"/>
  <c r="B565" i="2" s="1"/>
  <c r="C565" i="2" s="1"/>
  <c r="D565" i="2" s="1"/>
  <c r="E565" i="2" s="1"/>
  <c r="I565" i="2"/>
  <c r="J565" i="2" s="1"/>
  <c r="A520" i="2"/>
  <c r="B520" i="2" s="1"/>
  <c r="C520" i="2" s="1"/>
  <c r="D520" i="2" s="1"/>
  <c r="E520" i="2" s="1"/>
  <c r="I520" i="2"/>
  <c r="J520" i="2" s="1"/>
  <c r="F742" i="2"/>
  <c r="G742" i="2" s="1"/>
  <c r="H742" i="2" s="1"/>
  <c r="A540" i="2"/>
  <c r="B540" i="2" s="1"/>
  <c r="C540" i="2" s="1"/>
  <c r="D540" i="2" s="1"/>
  <c r="E540" i="2" s="1"/>
  <c r="I540" i="2"/>
  <c r="J540" i="2" s="1"/>
  <c r="I545" i="2"/>
  <c r="J545" i="2" s="1"/>
  <c r="I529" i="2"/>
  <c r="J529" i="2" s="1"/>
  <c r="I556" i="2"/>
  <c r="J556" i="2" s="1"/>
  <c r="I638" i="2"/>
  <c r="J638" i="2" s="1"/>
  <c r="I666" i="2"/>
  <c r="J666" i="2" s="1"/>
  <c r="I631" i="2"/>
  <c r="J631" i="2" s="1"/>
  <c r="I667" i="2"/>
  <c r="J667" i="2" s="1"/>
  <c r="I659" i="2"/>
  <c r="J659" i="2" s="1"/>
  <c r="I608" i="2"/>
  <c r="J608" i="2" s="1"/>
  <c r="I539" i="2"/>
  <c r="J539" i="2" s="1"/>
  <c r="I559" i="2"/>
  <c r="J559" i="2" s="1"/>
  <c r="I486" i="2"/>
  <c r="J486" i="2" s="1"/>
  <c r="I662" i="2"/>
  <c r="J662" i="2" s="1"/>
  <c r="I643" i="2"/>
  <c r="J643" i="2" s="1"/>
  <c r="I626" i="2"/>
  <c r="J626" i="2" s="1"/>
  <c r="I672" i="2"/>
  <c r="J672" i="2" s="1"/>
  <c r="I526" i="2"/>
  <c r="J526" i="2" s="1"/>
  <c r="I590" i="2"/>
  <c r="J590" i="2" s="1"/>
  <c r="I634" i="2"/>
  <c r="J634" i="2" s="1"/>
  <c r="I496" i="2"/>
  <c r="J496" i="2" s="1"/>
  <c r="I519" i="2"/>
  <c r="J519" i="2" s="1"/>
  <c r="I670" i="2"/>
  <c r="J670" i="2" s="1"/>
  <c r="I622" i="2"/>
  <c r="J622" i="2" s="1"/>
  <c r="I541" i="2"/>
  <c r="J541" i="2" s="1"/>
  <c r="I577" i="2"/>
  <c r="J577" i="2" s="1"/>
  <c r="F702" i="2"/>
  <c r="G702" i="2" s="1"/>
  <c r="H702" i="2" s="1"/>
  <c r="A511" i="2"/>
  <c r="B511" i="2" s="1"/>
  <c r="C511" i="2" s="1"/>
  <c r="D511" i="2" s="1"/>
  <c r="E511" i="2" s="1"/>
  <c r="I511" i="2"/>
  <c r="J511" i="2" s="1"/>
  <c r="F754" i="2"/>
  <c r="G754" i="2" s="1"/>
  <c r="H754" i="2" s="1"/>
  <c r="F762" i="2"/>
  <c r="G762" i="2" s="1"/>
  <c r="H762" i="2" s="1"/>
  <c r="I637" i="2"/>
  <c r="J637" i="2" s="1"/>
  <c r="I614" i="2"/>
  <c r="J614" i="2" s="1"/>
  <c r="A518" i="2"/>
  <c r="B518" i="2" s="1"/>
  <c r="C518" i="2" s="1"/>
  <c r="D518" i="2" s="1"/>
  <c r="E518" i="2" s="1"/>
  <c r="I518" i="2"/>
  <c r="J518" i="2" s="1"/>
  <c r="F710" i="2"/>
  <c r="G710" i="2" s="1"/>
  <c r="H710" i="2" s="1"/>
  <c r="A567" i="2"/>
  <c r="B567" i="2" s="1"/>
  <c r="C567" i="2" s="1"/>
  <c r="D567" i="2" s="1"/>
  <c r="E567" i="2" s="1"/>
  <c r="I567" i="2"/>
  <c r="J567" i="2" s="1"/>
  <c r="A491" i="2"/>
  <c r="B491" i="2" s="1"/>
  <c r="C491" i="2" s="1"/>
  <c r="D491" i="2" s="1"/>
  <c r="E491" i="2" s="1"/>
  <c r="I491" i="2"/>
  <c r="J491" i="2" s="1"/>
  <c r="F722" i="2"/>
  <c r="G722" i="2" s="1"/>
  <c r="H722" i="2" s="1"/>
  <c r="F730" i="2"/>
  <c r="G730" i="2" s="1"/>
  <c r="H730" i="2" s="1"/>
  <c r="F734" i="2"/>
  <c r="G734" i="2" s="1"/>
  <c r="H734" i="2" s="1"/>
  <c r="A573" i="2"/>
  <c r="B573" i="2" s="1"/>
  <c r="C573" i="2" s="1"/>
  <c r="D573" i="2" s="1"/>
  <c r="E573" i="2" s="1"/>
  <c r="I573" i="2"/>
  <c r="J573" i="2" s="1"/>
  <c r="I505" i="2"/>
  <c r="J505" i="2" s="1"/>
  <c r="I650" i="2"/>
  <c r="J650" i="2" s="1"/>
  <c r="I619" i="2"/>
  <c r="J619" i="2" s="1"/>
  <c r="I623" i="2"/>
  <c r="J623" i="2" s="1"/>
  <c r="I611" i="2"/>
  <c r="J611" i="2" s="1"/>
  <c r="I566" i="2"/>
  <c r="J566" i="2" s="1"/>
  <c r="I617" i="2"/>
  <c r="J617" i="2" s="1"/>
  <c r="I599" i="2"/>
  <c r="J599" i="2" s="1"/>
  <c r="I510" i="2"/>
  <c r="J510" i="2" s="1"/>
  <c r="I560" i="2"/>
  <c r="J560" i="2" s="1"/>
  <c r="I618" i="2"/>
  <c r="J618" i="2" s="1"/>
  <c r="I544" i="2"/>
  <c r="J544" i="2" s="1"/>
  <c r="I602" i="2"/>
  <c r="J602" i="2" s="1"/>
  <c r="I651" i="2"/>
  <c r="J651" i="2" s="1"/>
  <c r="I620" i="2"/>
  <c r="J620" i="2" s="1"/>
  <c r="I675" i="2"/>
  <c r="J675" i="2" s="1"/>
  <c r="I504" i="2"/>
  <c r="J504" i="2" s="1"/>
  <c r="I655" i="2"/>
  <c r="J655" i="2" s="1"/>
  <c r="I554" i="2"/>
  <c r="J554" i="2" s="1"/>
  <c r="I610" i="2"/>
  <c r="J610" i="2" s="1"/>
  <c r="I587" i="2"/>
  <c r="J587" i="2" s="1"/>
  <c r="I568" i="2"/>
  <c r="J568" i="2" s="1"/>
  <c r="A581" i="2"/>
  <c r="B581" i="2" s="1"/>
  <c r="C581" i="2" s="1"/>
  <c r="D581" i="2" s="1"/>
  <c r="E581" i="2" s="1"/>
  <c r="B306" i="2"/>
  <c r="C306" i="2" s="1"/>
  <c r="D306" i="2" s="1"/>
  <c r="E306" i="2" s="1"/>
  <c r="B308" i="2"/>
  <c r="C308" i="2" s="1"/>
  <c r="D308" i="2" s="1"/>
  <c r="E308" i="2" s="1"/>
  <c r="B307" i="2"/>
  <c r="C307" i="2" s="1"/>
  <c r="D307" i="2" s="1"/>
  <c r="E307" i="2" s="1"/>
  <c r="B305" i="2"/>
  <c r="C305" i="2" s="1"/>
  <c r="D305" i="2" s="1"/>
  <c r="E305" i="2" s="1"/>
  <c r="A734" i="2"/>
  <c r="B734" i="2" s="1"/>
  <c r="C734" i="2" s="1"/>
  <c r="D734" i="2" s="1"/>
  <c r="E734" i="2" s="1"/>
  <c r="A723" i="2"/>
  <c r="B723" i="2" s="1"/>
  <c r="C723" i="2" s="1"/>
  <c r="D723" i="2" s="1"/>
  <c r="E723" i="2" s="1"/>
  <c r="A699" i="2"/>
  <c r="B699" i="2" s="1"/>
  <c r="C699" i="2" s="1"/>
  <c r="D699" i="2" s="1"/>
  <c r="E699" i="2" s="1"/>
  <c r="A698" i="2"/>
  <c r="B698" i="2" s="1"/>
  <c r="C698" i="2" s="1"/>
  <c r="D698" i="2" s="1"/>
  <c r="E698" i="2" s="1"/>
  <c r="A718" i="2"/>
  <c r="B718" i="2" s="1"/>
  <c r="C718" i="2" s="1"/>
  <c r="D718" i="2" s="1"/>
  <c r="E718" i="2" s="1"/>
  <c r="A719" i="2"/>
  <c r="B719" i="2" s="1"/>
  <c r="C719" i="2" s="1"/>
  <c r="D719" i="2" s="1"/>
  <c r="E719" i="2" s="1"/>
  <c r="A762" i="2"/>
  <c r="B762" i="2" s="1"/>
  <c r="C762" i="2" s="1"/>
  <c r="D762" i="2" s="1"/>
  <c r="E762" i="2" s="1"/>
  <c r="A690" i="2"/>
  <c r="B690" i="2" s="1"/>
  <c r="C690" i="2" s="1"/>
  <c r="D690" i="2" s="1"/>
  <c r="E690" i="2" s="1"/>
  <c r="A763" i="2"/>
  <c r="B763" i="2" s="1"/>
  <c r="C763" i="2" s="1"/>
  <c r="D763" i="2" s="1"/>
  <c r="E763" i="2" s="1"/>
  <c r="A754" i="2"/>
  <c r="B754" i="2" s="1"/>
  <c r="C754" i="2" s="1"/>
  <c r="D754" i="2" s="1"/>
  <c r="E754" i="2" s="1"/>
  <c r="A755" i="2"/>
  <c r="B755" i="2" s="1"/>
  <c r="C755" i="2" s="1"/>
  <c r="D755" i="2" s="1"/>
  <c r="E755" i="2" s="1"/>
  <c r="A703" i="2"/>
  <c r="B703" i="2" s="1"/>
  <c r="C703" i="2" s="1"/>
  <c r="D703" i="2" s="1"/>
  <c r="E703" i="2" s="1"/>
  <c r="A695" i="2"/>
  <c r="B695" i="2" s="1"/>
  <c r="C695" i="2" s="1"/>
  <c r="D695" i="2" s="1"/>
  <c r="E695" i="2" s="1"/>
  <c r="A694" i="2"/>
  <c r="B694" i="2" s="1"/>
  <c r="C694" i="2" s="1"/>
  <c r="D694" i="2" s="1"/>
  <c r="E694" i="2" s="1"/>
  <c r="A751" i="2"/>
  <c r="B751" i="2" s="1"/>
  <c r="C751" i="2" s="1"/>
  <c r="D751" i="2" s="1"/>
  <c r="E751" i="2" s="1"/>
  <c r="A743" i="2"/>
  <c r="B743" i="2" s="1"/>
  <c r="C743" i="2" s="1"/>
  <c r="D743" i="2" s="1"/>
  <c r="E743" i="2" s="1"/>
  <c r="A742" i="2"/>
  <c r="B742" i="2" s="1"/>
  <c r="C742" i="2" s="1"/>
  <c r="D742" i="2" s="1"/>
  <c r="E742" i="2" s="1"/>
  <c r="A702" i="2"/>
  <c r="B702" i="2" s="1"/>
  <c r="C702" i="2" s="1"/>
  <c r="D702" i="2" s="1"/>
  <c r="E702" i="2" s="1"/>
  <c r="A706" i="2"/>
  <c r="B706" i="2" s="1"/>
  <c r="C706" i="2" s="1"/>
  <c r="D706" i="2" s="1"/>
  <c r="E706" i="2" s="1"/>
  <c r="A682" i="2"/>
  <c r="B682" i="2" s="1"/>
  <c r="C682" i="2" s="1"/>
  <c r="D682" i="2" s="1"/>
  <c r="E682" i="2" s="1"/>
  <c r="A747" i="2"/>
  <c r="B747" i="2" s="1"/>
  <c r="C747" i="2" s="1"/>
  <c r="D747" i="2" s="1"/>
  <c r="E747" i="2" s="1"/>
  <c r="A746" i="2"/>
  <c r="B746" i="2" s="1"/>
  <c r="C746" i="2" s="1"/>
  <c r="D746" i="2" s="1"/>
  <c r="E746" i="2" s="1"/>
  <c r="A750" i="2"/>
  <c r="B750" i="2" s="1"/>
  <c r="C750" i="2" s="1"/>
  <c r="D750" i="2" s="1"/>
  <c r="E750" i="2" s="1"/>
  <c r="A710" i="2"/>
  <c r="B710" i="2" s="1"/>
  <c r="C710" i="2" s="1"/>
  <c r="D710" i="2" s="1"/>
  <c r="E710" i="2" s="1"/>
  <c r="A711" i="2"/>
  <c r="B711" i="2" s="1"/>
  <c r="C711" i="2" s="1"/>
  <c r="D711" i="2" s="1"/>
  <c r="E711" i="2" s="1"/>
  <c r="A739" i="2"/>
  <c r="B739" i="2" s="1"/>
  <c r="C739" i="2" s="1"/>
  <c r="D739" i="2" s="1"/>
  <c r="E739" i="2" s="1"/>
  <c r="A730" i="2"/>
  <c r="B730" i="2" s="1"/>
  <c r="C730" i="2" s="1"/>
  <c r="D730" i="2" s="1"/>
  <c r="E730" i="2" s="1"/>
  <c r="A722" i="2"/>
  <c r="B722" i="2" s="1"/>
  <c r="C722" i="2" s="1"/>
  <c r="D722" i="2" s="1"/>
  <c r="E722" i="2" s="1"/>
  <c r="A766" i="2"/>
  <c r="B766" i="2" s="1"/>
  <c r="C766" i="2" s="1"/>
  <c r="D766" i="2" s="1"/>
  <c r="E766" i="2" s="1"/>
  <c r="A654" i="2"/>
  <c r="B654" i="2" s="1"/>
  <c r="C654" i="2" s="1"/>
  <c r="D654" i="2" s="1"/>
  <c r="E654" i="2" s="1"/>
  <c r="A715" i="2"/>
  <c r="B715" i="2" s="1"/>
  <c r="C715" i="2" s="1"/>
  <c r="D715" i="2" s="1"/>
  <c r="E715" i="2" s="1"/>
  <c r="A707" i="2"/>
  <c r="B707" i="2" s="1"/>
  <c r="C707" i="2" s="1"/>
  <c r="D707" i="2" s="1"/>
  <c r="E707" i="2" s="1"/>
  <c r="A727" i="2"/>
  <c r="B727" i="2" s="1"/>
  <c r="C727" i="2" s="1"/>
  <c r="D727" i="2" s="1"/>
  <c r="E727" i="2" s="1"/>
  <c r="A687" i="2"/>
  <c r="B687" i="2" s="1"/>
  <c r="C687" i="2" s="1"/>
  <c r="D687" i="2" s="1"/>
  <c r="E687" i="2" s="1"/>
  <c r="A771" i="2"/>
  <c r="B771" i="2" s="1"/>
  <c r="C771" i="2" s="1"/>
  <c r="D771" i="2" s="1"/>
  <c r="E771" i="2" s="1"/>
  <c r="A691" i="2"/>
  <c r="B691" i="2" s="1"/>
  <c r="C691" i="2" s="1"/>
  <c r="D691" i="2" s="1"/>
  <c r="E691" i="2" s="1"/>
  <c r="A726" i="2"/>
  <c r="B726" i="2" s="1"/>
  <c r="C726" i="2" s="1"/>
  <c r="D726" i="2" s="1"/>
  <c r="E726" i="2" s="1"/>
  <c r="A686" i="2"/>
  <c r="B686" i="2" s="1"/>
  <c r="C686" i="2" s="1"/>
  <c r="D686" i="2" s="1"/>
  <c r="E686" i="2" s="1"/>
  <c r="A735" i="2"/>
  <c r="B735" i="2" s="1"/>
  <c r="C735" i="2" s="1"/>
  <c r="D735" i="2" s="1"/>
  <c r="E735" i="2" s="1"/>
  <c r="A767" i="2"/>
  <c r="B767" i="2" s="1"/>
  <c r="C767" i="2" s="1"/>
  <c r="D767" i="2" s="1"/>
  <c r="E767" i="2" s="1"/>
  <c r="A728" i="2"/>
  <c r="B728" i="2" s="1"/>
  <c r="C728" i="2" s="1"/>
  <c r="D728" i="2" s="1"/>
  <c r="E728" i="2" s="1"/>
  <c r="A736" i="2"/>
  <c r="B736" i="2" s="1"/>
  <c r="C736" i="2" s="1"/>
  <c r="D736" i="2" s="1"/>
  <c r="E736" i="2" s="1"/>
  <c r="A737" i="2"/>
  <c r="B737" i="2" s="1"/>
  <c r="C737" i="2" s="1"/>
  <c r="D737" i="2" s="1"/>
  <c r="E737" i="2" s="1"/>
  <c r="A740" i="2"/>
  <c r="B740" i="2" s="1"/>
  <c r="C740" i="2" s="1"/>
  <c r="D740" i="2" s="1"/>
  <c r="E740" i="2" s="1"/>
  <c r="A685" i="2"/>
  <c r="B685" i="2" s="1"/>
  <c r="C685" i="2" s="1"/>
  <c r="D685" i="2" s="1"/>
  <c r="E685" i="2" s="1"/>
  <c r="A768" i="2"/>
  <c r="B768" i="2" s="1"/>
  <c r="C768" i="2" s="1"/>
  <c r="D768" i="2" s="1"/>
  <c r="E768" i="2" s="1"/>
  <c r="A769" i="2"/>
  <c r="B769" i="2" s="1"/>
  <c r="C769" i="2" s="1"/>
  <c r="D769" i="2" s="1"/>
  <c r="E769" i="2" s="1"/>
  <c r="A716" i="2"/>
  <c r="B716" i="2" s="1"/>
  <c r="C716" i="2" s="1"/>
  <c r="D716" i="2" s="1"/>
  <c r="E716" i="2" s="1"/>
  <c r="A717" i="2"/>
  <c r="B717" i="2" s="1"/>
  <c r="C717" i="2" s="1"/>
  <c r="D717" i="2" s="1"/>
  <c r="E717" i="2" s="1"/>
  <c r="A772" i="2"/>
  <c r="B772" i="2" s="1"/>
  <c r="C772" i="2" s="1"/>
  <c r="D772" i="2" s="1"/>
  <c r="E772" i="2" s="1"/>
  <c r="A764" i="2"/>
  <c r="B764" i="2" s="1"/>
  <c r="C764" i="2" s="1"/>
  <c r="D764" i="2" s="1"/>
  <c r="E764" i="2" s="1"/>
  <c r="A704" i="2"/>
  <c r="B704" i="2" s="1"/>
  <c r="C704" i="2" s="1"/>
  <c r="D704" i="2" s="1"/>
  <c r="E704" i="2" s="1"/>
  <c r="A705" i="2"/>
  <c r="B705" i="2" s="1"/>
  <c r="C705" i="2" s="1"/>
  <c r="D705" i="2" s="1"/>
  <c r="E705" i="2" s="1"/>
  <c r="A721" i="2"/>
  <c r="B721" i="2" s="1"/>
  <c r="C721" i="2" s="1"/>
  <c r="D721" i="2" s="1"/>
  <c r="E721" i="2" s="1"/>
  <c r="A713" i="2"/>
  <c r="B713" i="2" s="1"/>
  <c r="C713" i="2" s="1"/>
  <c r="D713" i="2" s="1"/>
  <c r="E713" i="2" s="1"/>
  <c r="A724" i="2"/>
  <c r="B724" i="2" s="1"/>
  <c r="C724" i="2" s="1"/>
  <c r="D724" i="2" s="1"/>
  <c r="E724" i="2" s="1"/>
  <c r="A725" i="2"/>
  <c r="B725" i="2" s="1"/>
  <c r="C725" i="2" s="1"/>
  <c r="D725" i="2" s="1"/>
  <c r="E725" i="2" s="1"/>
  <c r="A733" i="2"/>
  <c r="B733" i="2" s="1"/>
  <c r="C733" i="2" s="1"/>
  <c r="D733" i="2" s="1"/>
  <c r="E733" i="2" s="1"/>
  <c r="F774" i="2"/>
  <c r="G774" i="2" s="1"/>
  <c r="H774" i="2" s="1"/>
  <c r="J575" i="1" l="1"/>
  <c r="J571" i="1"/>
  <c r="J563" i="1"/>
  <c r="J574" i="1"/>
  <c r="J562" i="1"/>
  <c r="J578" i="1"/>
  <c r="J558" i="1"/>
  <c r="J572" i="1"/>
  <c r="J570" i="1"/>
  <c r="J441" i="1"/>
  <c r="J509" i="1"/>
  <c r="J579" i="1"/>
  <c r="J557" i="1"/>
  <c r="J495" i="1"/>
  <c r="J426" i="1"/>
  <c r="J393" i="1"/>
  <c r="J415" i="1"/>
  <c r="J416" i="1"/>
  <c r="J473" i="1"/>
  <c r="J440" i="1"/>
  <c r="J468" i="1"/>
  <c r="J447" i="1"/>
  <c r="J527" i="1"/>
  <c r="J481" i="1"/>
  <c r="J535" i="1"/>
  <c r="J538" i="1"/>
  <c r="J454" i="1"/>
  <c r="J471" i="1"/>
  <c r="J412" i="1"/>
  <c r="J550" i="1"/>
  <c r="J408" i="1"/>
  <c r="J418" i="1"/>
  <c r="J552" i="1"/>
  <c r="J395" i="1"/>
  <c r="J485" i="1"/>
  <c r="J417" i="1"/>
  <c r="J476" i="1"/>
  <c r="J515" i="1"/>
  <c r="J399" i="1"/>
  <c r="J460" i="1"/>
  <c r="J458" i="1"/>
  <c r="J435" i="1"/>
  <c r="J427" i="1"/>
  <c r="J436" i="1"/>
  <c r="J419" i="1"/>
  <c r="J469" i="1"/>
  <c r="J462" i="1"/>
  <c r="J442" i="1"/>
  <c r="J410" i="1"/>
  <c r="J448" i="1"/>
  <c r="J404" i="1"/>
  <c r="J531" i="1"/>
  <c r="J446" i="1"/>
  <c r="J463" i="1"/>
  <c r="J430" i="1"/>
  <c r="J503" i="1"/>
  <c r="J443" i="1"/>
  <c r="J431" i="1"/>
  <c r="J394" i="1"/>
  <c r="J546" i="1"/>
  <c r="J516" i="1"/>
  <c r="J478" i="1"/>
  <c r="J392" i="1"/>
  <c r="J472" i="1"/>
  <c r="J551" i="1"/>
  <c r="J397" i="1"/>
  <c r="J534" i="1"/>
  <c r="J452" i="1"/>
  <c r="J425" i="1"/>
  <c r="J439" i="1"/>
  <c r="J484" i="1"/>
  <c r="J514" i="1"/>
  <c r="J461" i="1"/>
  <c r="J547" i="1"/>
  <c r="J480" i="1"/>
  <c r="J456" i="1"/>
  <c r="J434" i="1"/>
  <c r="J411" i="1"/>
  <c r="J502" i="1"/>
  <c r="J542" i="1"/>
  <c r="J498" i="1"/>
  <c r="J483" i="1"/>
  <c r="J424" i="1"/>
  <c r="J475" i="1"/>
  <c r="J391" i="1"/>
  <c r="J421" i="1"/>
  <c r="J438" i="1"/>
  <c r="J523" i="1"/>
  <c r="J400" i="1"/>
  <c r="J506" i="1"/>
  <c r="J494" i="1"/>
  <c r="J453" i="1"/>
  <c r="J402" i="1"/>
  <c r="J432" i="1"/>
  <c r="J451" i="1"/>
  <c r="J407" i="1"/>
  <c r="J543" i="1"/>
  <c r="J437" i="1"/>
  <c r="J464" i="1"/>
  <c r="J489" i="1"/>
  <c r="J401" i="1"/>
  <c r="J449" i="1"/>
  <c r="J405" i="1"/>
  <c r="J490" i="1"/>
  <c r="J457" i="1"/>
  <c r="J433" i="1"/>
  <c r="J465" i="1"/>
  <c r="J553" i="1"/>
  <c r="J459" i="1"/>
  <c r="J521" i="1"/>
  <c r="J499" i="1"/>
  <c r="J413" i="1"/>
  <c r="J522" i="1"/>
  <c r="J390" i="1"/>
  <c r="J524" i="1"/>
  <c r="J423" i="1"/>
  <c r="J474" i="1"/>
  <c r="J467" i="1"/>
  <c r="J479" i="1"/>
  <c r="J500" i="1"/>
  <c r="A685" i="1"/>
  <c r="B685" i="1"/>
  <c r="C685" i="1"/>
  <c r="D685" i="1"/>
  <c r="A727" i="1"/>
  <c r="B727" i="1"/>
  <c r="C727" i="1"/>
  <c r="D727" i="1"/>
  <c r="A747" i="1"/>
  <c r="B747" i="1"/>
  <c r="C747" i="1"/>
  <c r="D747" i="1"/>
  <c r="A763" i="1"/>
  <c r="B763" i="1"/>
  <c r="C763" i="1"/>
  <c r="D763" i="1"/>
  <c r="D306" i="1"/>
  <c r="C306" i="1"/>
  <c r="A306" i="1"/>
  <c r="B306" i="1"/>
  <c r="H544" i="1"/>
  <c r="E544" i="1"/>
  <c r="F544" i="1"/>
  <c r="G544" i="1"/>
  <c r="A567" i="1"/>
  <c r="B567" i="1"/>
  <c r="C567" i="1"/>
  <c r="D567" i="1"/>
  <c r="H541" i="1"/>
  <c r="E541" i="1"/>
  <c r="F541" i="1"/>
  <c r="G541" i="1"/>
  <c r="H486" i="1"/>
  <c r="E486" i="1"/>
  <c r="F486" i="1"/>
  <c r="G486" i="1"/>
  <c r="D555" i="1"/>
  <c r="A555" i="1"/>
  <c r="B555" i="1"/>
  <c r="C555" i="1"/>
  <c r="E586" i="1"/>
  <c r="H586" i="1"/>
  <c r="F586" i="1"/>
  <c r="G586" i="1"/>
  <c r="H536" i="1"/>
  <c r="E536" i="1"/>
  <c r="F536" i="1"/>
  <c r="G536" i="1"/>
  <c r="E561" i="1"/>
  <c r="F561" i="1"/>
  <c r="G561" i="1"/>
  <c r="H561" i="1"/>
  <c r="E669" i="1"/>
  <c r="F669" i="1"/>
  <c r="G669" i="1"/>
  <c r="H669" i="1"/>
  <c r="H512" i="1"/>
  <c r="E512" i="1"/>
  <c r="F512" i="1"/>
  <c r="G512" i="1"/>
  <c r="E671" i="1"/>
  <c r="F671" i="1"/>
  <c r="G671" i="1"/>
  <c r="H671" i="1"/>
  <c r="H493" i="1"/>
  <c r="E493" i="1"/>
  <c r="F493" i="1"/>
  <c r="G493" i="1"/>
  <c r="A724" i="1"/>
  <c r="B724" i="1"/>
  <c r="C724" i="1"/>
  <c r="D724" i="1"/>
  <c r="A740" i="1"/>
  <c r="B740" i="1"/>
  <c r="C740" i="1"/>
  <c r="D740" i="1"/>
  <c r="A707" i="1"/>
  <c r="B707" i="1"/>
  <c r="C707" i="1"/>
  <c r="D707" i="1"/>
  <c r="A682" i="1"/>
  <c r="B682" i="1"/>
  <c r="C682" i="1"/>
  <c r="D682" i="1"/>
  <c r="A690" i="1"/>
  <c r="B690" i="1"/>
  <c r="C690" i="1"/>
  <c r="D690" i="1"/>
  <c r="D305" i="1"/>
  <c r="A305" i="1"/>
  <c r="B305" i="1"/>
  <c r="C305" i="1"/>
  <c r="E620" i="1"/>
  <c r="H620" i="1"/>
  <c r="F620" i="1"/>
  <c r="G620" i="1"/>
  <c r="E619" i="1"/>
  <c r="F619" i="1"/>
  <c r="G619" i="1"/>
  <c r="H619" i="1"/>
  <c r="D511" i="1"/>
  <c r="A511" i="1"/>
  <c r="B511" i="1"/>
  <c r="C511" i="1"/>
  <c r="D540" i="1"/>
  <c r="A540" i="1"/>
  <c r="B540" i="1"/>
  <c r="C540" i="1"/>
  <c r="H549" i="1"/>
  <c r="E549" i="1"/>
  <c r="F549" i="1"/>
  <c r="G549" i="1"/>
  <c r="H532" i="1"/>
  <c r="E532" i="1"/>
  <c r="F532" i="1"/>
  <c r="G532" i="1"/>
  <c r="E641" i="1"/>
  <c r="F641" i="1"/>
  <c r="G641" i="1"/>
  <c r="H641" i="1"/>
  <c r="H508" i="1"/>
  <c r="E508" i="1"/>
  <c r="F508" i="1"/>
  <c r="G508" i="1"/>
  <c r="A725" i="1"/>
  <c r="B725" i="1"/>
  <c r="C725" i="1"/>
  <c r="D725" i="1"/>
  <c r="A717" i="1"/>
  <c r="B717" i="1"/>
  <c r="C717" i="1"/>
  <c r="D717" i="1"/>
  <c r="A726" i="1"/>
  <c r="B726" i="1"/>
  <c r="C726" i="1"/>
  <c r="D726" i="1"/>
  <c r="A766" i="1"/>
  <c r="B766" i="1"/>
  <c r="C766" i="1"/>
  <c r="D766" i="1"/>
  <c r="A742" i="1"/>
  <c r="B742" i="1"/>
  <c r="C742" i="1"/>
  <c r="D742" i="1"/>
  <c r="A718" i="1"/>
  <c r="B718" i="1"/>
  <c r="C718" i="1"/>
  <c r="D718" i="1"/>
  <c r="E610" i="1"/>
  <c r="H610" i="1"/>
  <c r="F610" i="1"/>
  <c r="G610" i="1"/>
  <c r="E599" i="1"/>
  <c r="F599" i="1"/>
  <c r="G599" i="1"/>
  <c r="H599" i="1"/>
  <c r="E573" i="1"/>
  <c r="F573" i="1"/>
  <c r="G573" i="1"/>
  <c r="H573" i="1"/>
  <c r="E614" i="1"/>
  <c r="H614" i="1"/>
  <c r="F614" i="1"/>
  <c r="G614" i="1"/>
  <c r="H496" i="1"/>
  <c r="E496" i="1"/>
  <c r="F496" i="1"/>
  <c r="G496" i="1"/>
  <c r="D520" i="1"/>
  <c r="A520" i="1"/>
  <c r="B520" i="1"/>
  <c r="C520" i="1"/>
  <c r="D497" i="1"/>
  <c r="A497" i="1"/>
  <c r="B497" i="1"/>
  <c r="C497" i="1"/>
  <c r="E643" i="1"/>
  <c r="F643" i="1"/>
  <c r="G643" i="1"/>
  <c r="H643" i="1"/>
  <c r="H539" i="1"/>
  <c r="E539" i="1"/>
  <c r="F539" i="1"/>
  <c r="G539" i="1"/>
  <c r="E631" i="1"/>
  <c r="F631" i="1"/>
  <c r="G631" i="1"/>
  <c r="H631" i="1"/>
  <c r="H529" i="1"/>
  <c r="E529" i="1"/>
  <c r="F529" i="1"/>
  <c r="G529" i="1"/>
  <c r="A565" i="1"/>
  <c r="B565" i="1"/>
  <c r="C565" i="1"/>
  <c r="D565" i="1"/>
  <c r="E598" i="1"/>
  <c r="H598" i="1"/>
  <c r="F598" i="1"/>
  <c r="G598" i="1"/>
  <c r="H525" i="1"/>
  <c r="E525" i="1"/>
  <c r="F525" i="1"/>
  <c r="G525" i="1"/>
  <c r="E627" i="1"/>
  <c r="F627" i="1"/>
  <c r="G627" i="1"/>
  <c r="H627" i="1"/>
  <c r="E647" i="1"/>
  <c r="F647" i="1"/>
  <c r="G647" i="1"/>
  <c r="H647" i="1"/>
  <c r="E646" i="1"/>
  <c r="F646" i="1"/>
  <c r="G646" i="1"/>
  <c r="H646" i="1"/>
  <c r="E644" i="1"/>
  <c r="F644" i="1"/>
  <c r="G644" i="1"/>
  <c r="H644" i="1"/>
  <c r="E564" i="1"/>
  <c r="H564" i="1"/>
  <c r="F564" i="1"/>
  <c r="G564" i="1"/>
  <c r="D532" i="1"/>
  <c r="A532" i="1"/>
  <c r="B532" i="1"/>
  <c r="C532" i="1"/>
  <c r="D528" i="1"/>
  <c r="A528" i="1"/>
  <c r="B528" i="1"/>
  <c r="C528" i="1"/>
  <c r="E658" i="1"/>
  <c r="F658" i="1"/>
  <c r="G658" i="1"/>
  <c r="H658" i="1"/>
  <c r="H517" i="1"/>
  <c r="E517" i="1"/>
  <c r="F517" i="1"/>
  <c r="G517" i="1"/>
  <c r="E630" i="1"/>
  <c r="F630" i="1"/>
  <c r="G630" i="1"/>
  <c r="H630" i="1"/>
  <c r="E674" i="1"/>
  <c r="F674" i="1"/>
  <c r="G674" i="1"/>
  <c r="H674" i="1"/>
  <c r="A705" i="1"/>
  <c r="B705" i="1"/>
  <c r="C705" i="1"/>
  <c r="D705" i="1"/>
  <c r="A728" i="1"/>
  <c r="B728" i="1"/>
  <c r="C728" i="1"/>
  <c r="D728" i="1"/>
  <c r="A711" i="1"/>
  <c r="B711" i="1"/>
  <c r="C711" i="1"/>
  <c r="D711" i="1"/>
  <c r="A695" i="1"/>
  <c r="B695" i="1"/>
  <c r="C695" i="1"/>
  <c r="D695" i="1"/>
  <c r="A734" i="1"/>
  <c r="B734" i="1"/>
  <c r="C734" i="1"/>
  <c r="D734" i="1"/>
  <c r="E675" i="1"/>
  <c r="F675" i="1"/>
  <c r="G675" i="1"/>
  <c r="H675" i="1"/>
  <c r="E623" i="1"/>
  <c r="F623" i="1"/>
  <c r="G623" i="1"/>
  <c r="H623" i="1"/>
  <c r="H511" i="1"/>
  <c r="E511" i="1"/>
  <c r="F511" i="1"/>
  <c r="G511" i="1"/>
  <c r="E672" i="1"/>
  <c r="F672" i="1"/>
  <c r="G672" i="1"/>
  <c r="H672" i="1"/>
  <c r="E659" i="1"/>
  <c r="F659" i="1"/>
  <c r="G659" i="1"/>
  <c r="H659" i="1"/>
  <c r="E638" i="1"/>
  <c r="F638" i="1"/>
  <c r="G638" i="1"/>
  <c r="H638" i="1"/>
  <c r="H540" i="1"/>
  <c r="E540" i="1"/>
  <c r="F540" i="1"/>
  <c r="G540" i="1"/>
  <c r="A683" i="1"/>
  <c r="B683" i="1"/>
  <c r="C683" i="1"/>
  <c r="D683" i="1"/>
  <c r="H507" i="1"/>
  <c r="E507" i="1"/>
  <c r="F507" i="1"/>
  <c r="G507" i="1"/>
  <c r="D501" i="1"/>
  <c r="A501" i="1"/>
  <c r="B501" i="1"/>
  <c r="C501" i="1"/>
  <c r="H533" i="1"/>
  <c r="E533" i="1"/>
  <c r="F533" i="1"/>
  <c r="G533" i="1"/>
  <c r="E569" i="1"/>
  <c r="F569" i="1"/>
  <c r="G569" i="1"/>
  <c r="H569" i="1"/>
  <c r="A662" i="1"/>
  <c r="B662" i="1"/>
  <c r="C662" i="1"/>
  <c r="D662" i="1"/>
  <c r="E606" i="1"/>
  <c r="H606" i="1"/>
  <c r="F606" i="1"/>
  <c r="G606" i="1"/>
  <c r="A704" i="1"/>
  <c r="B704" i="1"/>
  <c r="C704" i="1"/>
  <c r="D704" i="1"/>
  <c r="A716" i="1"/>
  <c r="B716" i="1"/>
  <c r="C716" i="1"/>
  <c r="D716" i="1"/>
  <c r="A767" i="1"/>
  <c r="B767" i="1"/>
  <c r="C767" i="1"/>
  <c r="D767" i="1"/>
  <c r="A691" i="1"/>
  <c r="B691" i="1"/>
  <c r="C691" i="1"/>
  <c r="D691" i="1"/>
  <c r="A722" i="1"/>
  <c r="B722" i="1"/>
  <c r="C722" i="1"/>
  <c r="D722" i="1"/>
  <c r="A710" i="1"/>
  <c r="B710" i="1"/>
  <c r="C710" i="1"/>
  <c r="D710" i="1"/>
  <c r="A743" i="1"/>
  <c r="B743" i="1"/>
  <c r="C743" i="1"/>
  <c r="D743" i="1"/>
  <c r="A703" i="1"/>
  <c r="B703" i="1"/>
  <c r="C703" i="1"/>
  <c r="D703" i="1"/>
  <c r="A698" i="1"/>
  <c r="B698" i="1"/>
  <c r="C698" i="1"/>
  <c r="D698" i="1"/>
  <c r="A581" i="1"/>
  <c r="B581" i="1"/>
  <c r="C581" i="1"/>
  <c r="D581" i="1"/>
  <c r="H554" i="1"/>
  <c r="E554" i="1"/>
  <c r="F554" i="1"/>
  <c r="G554" i="1"/>
  <c r="E618" i="1"/>
  <c r="H618" i="1"/>
  <c r="F618" i="1"/>
  <c r="G618" i="1"/>
  <c r="E617" i="1"/>
  <c r="F617" i="1"/>
  <c r="G617" i="1"/>
  <c r="H617" i="1"/>
  <c r="A573" i="1"/>
  <c r="B573" i="1"/>
  <c r="C573" i="1"/>
  <c r="D573" i="1"/>
  <c r="H491" i="1"/>
  <c r="E491" i="1"/>
  <c r="F491" i="1"/>
  <c r="G491" i="1"/>
  <c r="E637" i="1"/>
  <c r="F637" i="1"/>
  <c r="G637" i="1"/>
  <c r="H637" i="1"/>
  <c r="E622" i="1"/>
  <c r="F622" i="1"/>
  <c r="G622" i="1"/>
  <c r="H622" i="1"/>
  <c r="E634" i="1"/>
  <c r="F634" i="1"/>
  <c r="G634" i="1"/>
  <c r="H634" i="1"/>
  <c r="E626" i="1"/>
  <c r="F626" i="1"/>
  <c r="G626" i="1"/>
  <c r="H626" i="1"/>
  <c r="E559" i="1"/>
  <c r="F559" i="1"/>
  <c r="G559" i="1"/>
  <c r="H559" i="1"/>
  <c r="E667" i="1"/>
  <c r="F667" i="1"/>
  <c r="G667" i="1"/>
  <c r="H667" i="1"/>
  <c r="E556" i="1"/>
  <c r="H556" i="1"/>
  <c r="F556" i="1"/>
  <c r="G556" i="1"/>
  <c r="E565" i="1"/>
  <c r="F565" i="1"/>
  <c r="G565" i="1"/>
  <c r="H565" i="1"/>
  <c r="E576" i="1"/>
  <c r="H576" i="1"/>
  <c r="F576" i="1"/>
  <c r="G576" i="1"/>
  <c r="H488" i="1"/>
  <c r="E488" i="1"/>
  <c r="F488" i="1"/>
  <c r="G488" i="1"/>
  <c r="A561" i="1"/>
  <c r="B561" i="1"/>
  <c r="C561" i="1"/>
  <c r="D561" i="1"/>
  <c r="H513" i="1"/>
  <c r="E513" i="1"/>
  <c r="F513" i="1"/>
  <c r="G513" i="1"/>
  <c r="H528" i="1"/>
  <c r="E528" i="1"/>
  <c r="F528" i="1"/>
  <c r="G528" i="1"/>
  <c r="E635" i="1"/>
  <c r="F635" i="1"/>
  <c r="G635" i="1"/>
  <c r="H635" i="1"/>
  <c r="E642" i="1"/>
  <c r="F642" i="1"/>
  <c r="G642" i="1"/>
  <c r="H642" i="1"/>
  <c r="A713" i="1"/>
  <c r="B713" i="1"/>
  <c r="C713" i="1"/>
  <c r="D713" i="1"/>
  <c r="A764" i="1"/>
  <c r="B764" i="1"/>
  <c r="C764" i="1"/>
  <c r="D764" i="1"/>
  <c r="A769" i="1"/>
  <c r="B769" i="1"/>
  <c r="C769" i="1"/>
  <c r="D769" i="1"/>
  <c r="A737" i="1"/>
  <c r="B737" i="1"/>
  <c r="C737" i="1"/>
  <c r="D737" i="1"/>
  <c r="A735" i="1"/>
  <c r="B735" i="1"/>
  <c r="C735" i="1"/>
  <c r="D735" i="1"/>
  <c r="A771" i="1"/>
  <c r="B771" i="1"/>
  <c r="C771" i="1"/>
  <c r="D771" i="1"/>
  <c r="A715" i="1"/>
  <c r="B715" i="1"/>
  <c r="C715" i="1"/>
  <c r="D715" i="1"/>
  <c r="A730" i="1"/>
  <c r="B730" i="1"/>
  <c r="C730" i="1"/>
  <c r="D730" i="1"/>
  <c r="A750" i="1"/>
  <c r="B750" i="1"/>
  <c r="C750" i="1"/>
  <c r="D750" i="1"/>
  <c r="A706" i="1"/>
  <c r="B706" i="1"/>
  <c r="C706" i="1"/>
  <c r="D706" i="1"/>
  <c r="A751" i="1"/>
  <c r="B751" i="1"/>
  <c r="C751" i="1"/>
  <c r="D751" i="1"/>
  <c r="A755" i="1"/>
  <c r="B755" i="1"/>
  <c r="C755" i="1"/>
  <c r="D755" i="1"/>
  <c r="A762" i="1"/>
  <c r="B762" i="1"/>
  <c r="C762" i="1"/>
  <c r="D762" i="1"/>
  <c r="A699" i="1"/>
  <c r="B699" i="1"/>
  <c r="C699" i="1"/>
  <c r="D699" i="1"/>
  <c r="D307" i="1"/>
  <c r="A307" i="1"/>
  <c r="B307" i="1"/>
  <c r="C307" i="1"/>
  <c r="E568" i="1"/>
  <c r="H568" i="1"/>
  <c r="F568" i="1"/>
  <c r="G568" i="1"/>
  <c r="E655" i="1"/>
  <c r="F655" i="1"/>
  <c r="G655" i="1"/>
  <c r="H655" i="1"/>
  <c r="E651" i="1"/>
  <c r="F651" i="1"/>
  <c r="G651" i="1"/>
  <c r="H651" i="1"/>
  <c r="E560" i="1"/>
  <c r="H560" i="1"/>
  <c r="F560" i="1"/>
  <c r="G560" i="1"/>
  <c r="E566" i="1"/>
  <c r="H566" i="1"/>
  <c r="F566" i="1"/>
  <c r="G566" i="1"/>
  <c r="E650" i="1"/>
  <c r="F650" i="1"/>
  <c r="G650" i="1"/>
  <c r="H650" i="1"/>
  <c r="D491" i="1"/>
  <c r="A491" i="1"/>
  <c r="B491" i="1"/>
  <c r="C491" i="1"/>
  <c r="H518" i="1"/>
  <c r="E518" i="1"/>
  <c r="F518" i="1"/>
  <c r="G518" i="1"/>
  <c r="E670" i="1"/>
  <c r="F670" i="1"/>
  <c r="G670" i="1"/>
  <c r="H670" i="1"/>
  <c r="E590" i="1"/>
  <c r="H590" i="1"/>
  <c r="F590" i="1"/>
  <c r="G590" i="1"/>
  <c r="A733" i="1"/>
  <c r="B733" i="1"/>
  <c r="C733" i="1"/>
  <c r="D733" i="1"/>
  <c r="A721" i="1"/>
  <c r="B721" i="1"/>
  <c r="C721" i="1"/>
  <c r="D721" i="1"/>
  <c r="A772" i="1"/>
  <c r="B772" i="1"/>
  <c r="C772" i="1"/>
  <c r="D772" i="1"/>
  <c r="A768" i="1"/>
  <c r="B768" i="1"/>
  <c r="C768" i="1"/>
  <c r="D768" i="1"/>
  <c r="A736" i="1"/>
  <c r="B736" i="1"/>
  <c r="C736" i="1"/>
  <c r="D736" i="1"/>
  <c r="A686" i="1"/>
  <c r="B686" i="1"/>
  <c r="C686" i="1"/>
  <c r="D686" i="1"/>
  <c r="A687" i="1"/>
  <c r="B687" i="1"/>
  <c r="C687" i="1"/>
  <c r="D687" i="1"/>
  <c r="A654" i="1"/>
  <c r="B654" i="1"/>
  <c r="C654" i="1"/>
  <c r="D654" i="1"/>
  <c r="A739" i="1"/>
  <c r="B739" i="1"/>
  <c r="C739" i="1"/>
  <c r="D739" i="1"/>
  <c r="A746" i="1"/>
  <c r="B746" i="1"/>
  <c r="C746" i="1"/>
  <c r="D746" i="1"/>
  <c r="A702" i="1"/>
  <c r="B702" i="1"/>
  <c r="C702" i="1"/>
  <c r="D702" i="1"/>
  <c r="A694" i="1"/>
  <c r="B694" i="1"/>
  <c r="C694" i="1"/>
  <c r="D694" i="1"/>
  <c r="A754" i="1"/>
  <c r="B754" i="1"/>
  <c r="C754" i="1"/>
  <c r="D754" i="1"/>
  <c r="A719" i="1"/>
  <c r="B719" i="1"/>
  <c r="C719" i="1"/>
  <c r="D719" i="1"/>
  <c r="A723" i="1"/>
  <c r="B723" i="1"/>
  <c r="C723" i="1"/>
  <c r="D723" i="1"/>
  <c r="D308" i="1"/>
  <c r="C308" i="1"/>
  <c r="A308" i="1"/>
  <c r="B308" i="1"/>
  <c r="E587" i="1"/>
  <c r="F587" i="1"/>
  <c r="G587" i="1"/>
  <c r="H587" i="1"/>
  <c r="H504" i="1"/>
  <c r="E504" i="1"/>
  <c r="F504" i="1"/>
  <c r="G504" i="1"/>
  <c r="E602" i="1"/>
  <c r="H602" i="1"/>
  <c r="F602" i="1"/>
  <c r="G602" i="1"/>
  <c r="H510" i="1"/>
  <c r="E510" i="1"/>
  <c r="F510" i="1"/>
  <c r="G510" i="1"/>
  <c r="E611" i="1"/>
  <c r="F611" i="1"/>
  <c r="G611" i="1"/>
  <c r="H611" i="1"/>
  <c r="H505" i="1"/>
  <c r="E505" i="1"/>
  <c r="F505" i="1"/>
  <c r="G505" i="1"/>
  <c r="E567" i="1"/>
  <c r="F567" i="1"/>
  <c r="G567" i="1"/>
  <c r="H567" i="1"/>
  <c r="D518" i="1"/>
  <c r="A518" i="1"/>
  <c r="B518" i="1"/>
  <c r="C518" i="1"/>
  <c r="E577" i="1"/>
  <c r="F577" i="1"/>
  <c r="G577" i="1"/>
  <c r="H577" i="1"/>
  <c r="H519" i="1"/>
  <c r="E519" i="1"/>
  <c r="F519" i="1"/>
  <c r="G519" i="1"/>
  <c r="H526" i="1"/>
  <c r="E526" i="1"/>
  <c r="F526" i="1"/>
  <c r="G526" i="1"/>
  <c r="E662" i="1"/>
  <c r="F662" i="1"/>
  <c r="G662" i="1"/>
  <c r="H662" i="1"/>
  <c r="E608" i="1"/>
  <c r="H608" i="1"/>
  <c r="F608" i="1"/>
  <c r="G608" i="1"/>
  <c r="E666" i="1"/>
  <c r="F666" i="1"/>
  <c r="G666" i="1"/>
  <c r="H666" i="1"/>
  <c r="H545" i="1"/>
  <c r="E545" i="1"/>
  <c r="F545" i="1"/>
  <c r="G545" i="1"/>
  <c r="H520" i="1"/>
  <c r="E520" i="1"/>
  <c r="F520" i="1"/>
  <c r="G520" i="1"/>
  <c r="E555" i="1"/>
  <c r="F555" i="1"/>
  <c r="G555" i="1"/>
  <c r="H555" i="1"/>
  <c r="E607" i="1"/>
  <c r="F607" i="1"/>
  <c r="G607" i="1"/>
  <c r="H607" i="1"/>
  <c r="E595" i="1"/>
  <c r="F595" i="1"/>
  <c r="G595" i="1"/>
  <c r="H595" i="1"/>
  <c r="E603" i="1"/>
  <c r="F603" i="1"/>
  <c r="G603" i="1"/>
  <c r="H603" i="1"/>
  <c r="H530" i="1"/>
  <c r="E530" i="1"/>
  <c r="F530" i="1"/>
  <c r="G530" i="1"/>
  <c r="E591" i="1"/>
  <c r="F591" i="1"/>
  <c r="G591" i="1"/>
  <c r="H591" i="1"/>
  <c r="H537" i="1"/>
  <c r="E537" i="1"/>
  <c r="F537" i="1"/>
  <c r="G537" i="1"/>
  <c r="H501" i="1"/>
  <c r="E501" i="1"/>
  <c r="F501" i="1"/>
  <c r="G501" i="1"/>
  <c r="H497" i="1"/>
  <c r="E497" i="1"/>
  <c r="F497" i="1"/>
  <c r="G497" i="1"/>
  <c r="E594" i="1"/>
  <c r="H594" i="1"/>
  <c r="F594" i="1"/>
  <c r="G594" i="1"/>
  <c r="H487" i="1"/>
  <c r="E487" i="1"/>
  <c r="F487" i="1"/>
  <c r="G487" i="1"/>
  <c r="E580" i="1"/>
  <c r="H580" i="1"/>
  <c r="F580" i="1"/>
  <c r="G580" i="1"/>
  <c r="E639" i="1"/>
  <c r="F639" i="1"/>
  <c r="G639" i="1"/>
  <c r="H639" i="1"/>
  <c r="H492" i="1"/>
  <c r="E492" i="1"/>
  <c r="F492" i="1"/>
  <c r="G492" i="1"/>
  <c r="H548" i="1"/>
  <c r="E548" i="1"/>
  <c r="F548" i="1"/>
  <c r="G548" i="1"/>
  <c r="I740" i="2"/>
  <c r="J740" i="2" s="1"/>
  <c r="I771" i="2"/>
  <c r="J771" i="2" s="1"/>
  <c r="A592" i="2"/>
  <c r="B592" i="2" s="1"/>
  <c r="C592" i="2" s="1"/>
  <c r="D592" i="2" s="1"/>
  <c r="E592" i="2" s="1"/>
  <c r="I592" i="2"/>
  <c r="J592" i="2" s="1"/>
  <c r="A697" i="2"/>
  <c r="B697" i="2" s="1"/>
  <c r="C697" i="2" s="1"/>
  <c r="D697" i="2" s="1"/>
  <c r="E697" i="2" s="1"/>
  <c r="I751" i="2"/>
  <c r="J751" i="2" s="1"/>
  <c r="I699" i="2"/>
  <c r="J699" i="2" s="1"/>
  <c r="I702" i="2"/>
  <c r="J702" i="2" s="1"/>
  <c r="I769" i="2"/>
  <c r="J769" i="2" s="1"/>
  <c r="A688" i="2"/>
  <c r="B688" i="2" s="1"/>
  <c r="C688" i="2" s="1"/>
  <c r="D688" i="2" s="1"/>
  <c r="E688" i="2" s="1"/>
  <c r="A765" i="2"/>
  <c r="B765" i="2" s="1"/>
  <c r="C765" i="2" s="1"/>
  <c r="D765" i="2" s="1"/>
  <c r="E765" i="2" s="1"/>
  <c r="I767" i="2"/>
  <c r="J767" i="2" s="1"/>
  <c r="I682" i="2"/>
  <c r="J682" i="2" s="1"/>
  <c r="I746" i="2"/>
  <c r="J746" i="2" s="1"/>
  <c r="I698" i="2"/>
  <c r="J698" i="2" s="1"/>
  <c r="I686" i="2"/>
  <c r="J686" i="2" s="1"/>
  <c r="A731" i="2"/>
  <c r="B731" i="2" s="1"/>
  <c r="C731" i="2" s="1"/>
  <c r="D731" i="2" s="1"/>
  <c r="E731" i="2" s="1"/>
  <c r="I731" i="2"/>
  <c r="J731" i="2" s="1"/>
  <c r="A714" i="2"/>
  <c r="B714" i="2" s="1"/>
  <c r="C714" i="2" s="1"/>
  <c r="D714" i="2" s="1"/>
  <c r="E714" i="2" s="1"/>
  <c r="I714" i="2"/>
  <c r="J714" i="2" s="1"/>
  <c r="I723" i="2"/>
  <c r="J723" i="2" s="1"/>
  <c r="I695" i="2"/>
  <c r="J695" i="2" s="1"/>
  <c r="I743" i="2"/>
  <c r="J743" i="2" s="1"/>
  <c r="I690" i="2"/>
  <c r="J690" i="2" s="1"/>
  <c r="A653" i="2"/>
  <c r="B653" i="2" s="1"/>
  <c r="C653" i="2" s="1"/>
  <c r="D653" i="2" s="1"/>
  <c r="E653" i="2" s="1"/>
  <c r="I653" i="2"/>
  <c r="J653" i="2" s="1"/>
  <c r="A664" i="2"/>
  <c r="B664" i="2" s="1"/>
  <c r="C664" i="2" s="1"/>
  <c r="D664" i="2" s="1"/>
  <c r="E664" i="2" s="1"/>
  <c r="I664" i="2"/>
  <c r="J664" i="2" s="1"/>
  <c r="A605" i="2"/>
  <c r="B605" i="2" s="1"/>
  <c r="C605" i="2" s="1"/>
  <c r="D605" i="2" s="1"/>
  <c r="E605" i="2" s="1"/>
  <c r="I605" i="2"/>
  <c r="J605" i="2" s="1"/>
  <c r="A632" i="2"/>
  <c r="B632" i="2" s="1"/>
  <c r="C632" i="2" s="1"/>
  <c r="D632" i="2" s="1"/>
  <c r="E632" i="2" s="1"/>
  <c r="I632" i="2"/>
  <c r="J632" i="2" s="1"/>
  <c r="A596" i="2"/>
  <c r="B596" i="2" s="1"/>
  <c r="C596" i="2" s="1"/>
  <c r="D596" i="2" s="1"/>
  <c r="E596" i="2" s="1"/>
  <c r="I596" i="2"/>
  <c r="J596" i="2" s="1"/>
  <c r="A628" i="2"/>
  <c r="B628" i="2" s="1"/>
  <c r="C628" i="2" s="1"/>
  <c r="D628" i="2" s="1"/>
  <c r="E628" i="2" s="1"/>
  <c r="I628" i="2"/>
  <c r="J628" i="2" s="1"/>
  <c r="A624" i="2"/>
  <c r="B624" i="2" s="1"/>
  <c r="C624" i="2" s="1"/>
  <c r="D624" i="2" s="1"/>
  <c r="E624" i="2" s="1"/>
  <c r="I624" i="2"/>
  <c r="J624" i="2" s="1"/>
  <c r="A665" i="2"/>
  <c r="B665" i="2" s="1"/>
  <c r="C665" i="2" s="1"/>
  <c r="D665" i="2" s="1"/>
  <c r="E665" i="2" s="1"/>
  <c r="I665" i="2"/>
  <c r="J665" i="2" s="1"/>
  <c r="A673" i="2"/>
  <c r="B673" i="2" s="1"/>
  <c r="C673" i="2" s="1"/>
  <c r="D673" i="2" s="1"/>
  <c r="E673" i="2" s="1"/>
  <c r="I673" i="2"/>
  <c r="J673" i="2" s="1"/>
  <c r="A636" i="2"/>
  <c r="B636" i="2" s="1"/>
  <c r="C636" i="2" s="1"/>
  <c r="D636" i="2" s="1"/>
  <c r="E636" i="2" s="1"/>
  <c r="I636" i="2"/>
  <c r="J636" i="2" s="1"/>
  <c r="I734" i="2"/>
  <c r="J734" i="2" s="1"/>
  <c r="I722" i="2"/>
  <c r="J722" i="2" s="1"/>
  <c r="I719" i="2"/>
  <c r="J719" i="2" s="1"/>
  <c r="I707" i="2"/>
  <c r="J707" i="2" s="1"/>
  <c r="I710" i="2"/>
  <c r="J710" i="2" s="1"/>
  <c r="I764" i="2"/>
  <c r="J764" i="2" s="1"/>
  <c r="I747" i="2"/>
  <c r="J747" i="2" s="1"/>
  <c r="I685" i="2"/>
  <c r="J685" i="2" s="1"/>
  <c r="I742" i="2"/>
  <c r="J742" i="2" s="1"/>
  <c r="I704" i="2"/>
  <c r="J704" i="2" s="1"/>
  <c r="A601" i="2"/>
  <c r="B601" i="2" s="1"/>
  <c r="C601" i="2" s="1"/>
  <c r="D601" i="2" s="1"/>
  <c r="E601" i="2" s="1"/>
  <c r="I601" i="2"/>
  <c r="J601" i="2" s="1"/>
  <c r="I736" i="2"/>
  <c r="J736" i="2" s="1"/>
  <c r="I726" i="2"/>
  <c r="J726" i="2" s="1"/>
  <c r="I706" i="2"/>
  <c r="J706" i="2" s="1"/>
  <c r="I705" i="2"/>
  <c r="J705" i="2" s="1"/>
  <c r="A677" i="2"/>
  <c r="B677" i="2" s="1"/>
  <c r="C677" i="2" s="1"/>
  <c r="D677" i="2" s="1"/>
  <c r="E677" i="2" s="1"/>
  <c r="I677" i="2"/>
  <c r="J677" i="2" s="1"/>
  <c r="A656" i="2"/>
  <c r="B656" i="2" s="1"/>
  <c r="C656" i="2" s="1"/>
  <c r="D656" i="2" s="1"/>
  <c r="E656" i="2" s="1"/>
  <c r="I656" i="2"/>
  <c r="J656" i="2" s="1"/>
  <c r="A633" i="2"/>
  <c r="B633" i="2" s="1"/>
  <c r="C633" i="2" s="1"/>
  <c r="D633" i="2" s="1"/>
  <c r="E633" i="2" s="1"/>
  <c r="I633" i="2"/>
  <c r="J633" i="2" s="1"/>
  <c r="A593" i="2"/>
  <c r="B593" i="2" s="1"/>
  <c r="C593" i="2" s="1"/>
  <c r="D593" i="2" s="1"/>
  <c r="E593" i="2" s="1"/>
  <c r="I593" i="2"/>
  <c r="J593" i="2" s="1"/>
  <c r="I654" i="2"/>
  <c r="J654" i="2" s="1"/>
  <c r="I754" i="2"/>
  <c r="J754" i="2" s="1"/>
  <c r="A597" i="2"/>
  <c r="B597" i="2" s="1"/>
  <c r="C597" i="2" s="1"/>
  <c r="D597" i="2" s="1"/>
  <c r="E597" i="2" s="1"/>
  <c r="I597" i="2"/>
  <c r="J597" i="2" s="1"/>
  <c r="A652" i="2"/>
  <c r="B652" i="2" s="1"/>
  <c r="C652" i="2" s="1"/>
  <c r="D652" i="2" s="1"/>
  <c r="E652" i="2" s="1"/>
  <c r="I652" i="2"/>
  <c r="J652" i="2" s="1"/>
  <c r="A582" i="2"/>
  <c r="B582" i="2" s="1"/>
  <c r="C582" i="2" s="1"/>
  <c r="D582" i="2" s="1"/>
  <c r="E582" i="2" s="1"/>
  <c r="I582" i="2"/>
  <c r="J582" i="2" s="1"/>
  <c r="A770" i="2"/>
  <c r="B770" i="2" s="1"/>
  <c r="C770" i="2" s="1"/>
  <c r="D770" i="2" s="1"/>
  <c r="E770" i="2" s="1"/>
  <c r="I770" i="2"/>
  <c r="J770" i="2" s="1"/>
  <c r="A625" i="2"/>
  <c r="B625" i="2" s="1"/>
  <c r="C625" i="2" s="1"/>
  <c r="D625" i="2" s="1"/>
  <c r="E625" i="2" s="1"/>
  <c r="I625" i="2"/>
  <c r="J625" i="2" s="1"/>
  <c r="A616" i="2"/>
  <c r="B616" i="2" s="1"/>
  <c r="C616" i="2" s="1"/>
  <c r="D616" i="2" s="1"/>
  <c r="E616" i="2" s="1"/>
  <c r="I616" i="2"/>
  <c r="J616" i="2" s="1"/>
  <c r="A629" i="2"/>
  <c r="B629" i="2" s="1"/>
  <c r="C629" i="2" s="1"/>
  <c r="D629" i="2" s="1"/>
  <c r="E629" i="2" s="1"/>
  <c r="I629" i="2"/>
  <c r="J629" i="2" s="1"/>
  <c r="A649" i="2"/>
  <c r="B649" i="2" s="1"/>
  <c r="C649" i="2" s="1"/>
  <c r="D649" i="2" s="1"/>
  <c r="E649" i="2" s="1"/>
  <c r="I649" i="2"/>
  <c r="J649" i="2" s="1"/>
  <c r="A663" i="2"/>
  <c r="B663" i="2" s="1"/>
  <c r="C663" i="2" s="1"/>
  <c r="D663" i="2" s="1"/>
  <c r="E663" i="2" s="1"/>
  <c r="I663" i="2"/>
  <c r="J663" i="2" s="1"/>
  <c r="A640" i="2"/>
  <c r="B640" i="2" s="1"/>
  <c r="C640" i="2" s="1"/>
  <c r="D640" i="2" s="1"/>
  <c r="E640" i="2" s="1"/>
  <c r="I640" i="2"/>
  <c r="J640" i="2" s="1"/>
  <c r="A648" i="2"/>
  <c r="B648" i="2" s="1"/>
  <c r="C648" i="2" s="1"/>
  <c r="D648" i="2" s="1"/>
  <c r="E648" i="2" s="1"/>
  <c r="I648" i="2"/>
  <c r="J648" i="2" s="1"/>
  <c r="A676" i="2"/>
  <c r="B676" i="2" s="1"/>
  <c r="C676" i="2" s="1"/>
  <c r="D676" i="2" s="1"/>
  <c r="E676" i="2" s="1"/>
  <c r="I676" i="2"/>
  <c r="J676" i="2" s="1"/>
  <c r="I739" i="2"/>
  <c r="J739" i="2" s="1"/>
  <c r="I713" i="2"/>
  <c r="J713" i="2" s="1"/>
  <c r="I728" i="2"/>
  <c r="J728" i="2" s="1"/>
  <c r="I687" i="2"/>
  <c r="J687" i="2" s="1"/>
  <c r="I762" i="2"/>
  <c r="J762" i="2" s="1"/>
  <c r="I715" i="2"/>
  <c r="J715" i="2" s="1"/>
  <c r="I768" i="2"/>
  <c r="J768" i="2" s="1"/>
  <c r="I711" i="2"/>
  <c r="J711" i="2" s="1"/>
  <c r="I727" i="2"/>
  <c r="J727" i="2" s="1"/>
  <c r="A589" i="2"/>
  <c r="B589" i="2" s="1"/>
  <c r="C589" i="2" s="1"/>
  <c r="D589" i="2" s="1"/>
  <c r="E589" i="2" s="1"/>
  <c r="I589" i="2"/>
  <c r="J589" i="2" s="1"/>
  <c r="I750" i="2"/>
  <c r="J750" i="2" s="1"/>
  <c r="I716" i="2"/>
  <c r="J716" i="2" s="1"/>
  <c r="I691" i="2"/>
  <c r="J691" i="2" s="1"/>
  <c r="I718" i="2"/>
  <c r="J718" i="2" s="1"/>
  <c r="A661" i="2"/>
  <c r="B661" i="2" s="1"/>
  <c r="C661" i="2" s="1"/>
  <c r="D661" i="2" s="1"/>
  <c r="E661" i="2" s="1"/>
  <c r="I661" i="2"/>
  <c r="J661" i="2" s="1"/>
  <c r="A600" i="2"/>
  <c r="B600" i="2" s="1"/>
  <c r="C600" i="2" s="1"/>
  <c r="D600" i="2" s="1"/>
  <c r="E600" i="2" s="1"/>
  <c r="I600" i="2"/>
  <c r="J600" i="2" s="1"/>
  <c r="A585" i="2"/>
  <c r="B585" i="2" s="1"/>
  <c r="C585" i="2" s="1"/>
  <c r="D585" i="2" s="1"/>
  <c r="E585" i="2" s="1"/>
  <c r="I585" i="2"/>
  <c r="J585" i="2" s="1"/>
  <c r="A621" i="2"/>
  <c r="B621" i="2" s="1"/>
  <c r="C621" i="2" s="1"/>
  <c r="D621" i="2" s="1"/>
  <c r="E621" i="2" s="1"/>
  <c r="I621" i="2"/>
  <c r="J621" i="2" s="1"/>
  <c r="A613" i="2"/>
  <c r="B613" i="2" s="1"/>
  <c r="C613" i="2" s="1"/>
  <c r="D613" i="2" s="1"/>
  <c r="E613" i="2" s="1"/>
  <c r="I613" i="2"/>
  <c r="J613" i="2" s="1"/>
  <c r="A612" i="2"/>
  <c r="B612" i="2" s="1"/>
  <c r="C612" i="2" s="1"/>
  <c r="D612" i="2" s="1"/>
  <c r="E612" i="2" s="1"/>
  <c r="I612" i="2"/>
  <c r="J612" i="2" s="1"/>
  <c r="A588" i="2"/>
  <c r="B588" i="2" s="1"/>
  <c r="C588" i="2" s="1"/>
  <c r="D588" i="2" s="1"/>
  <c r="E588" i="2" s="1"/>
  <c r="I588" i="2"/>
  <c r="J588" i="2" s="1"/>
  <c r="A583" i="2"/>
  <c r="B583" i="2" s="1"/>
  <c r="C583" i="2" s="1"/>
  <c r="D583" i="2" s="1"/>
  <c r="E583" i="2" s="1"/>
  <c r="I583" i="2"/>
  <c r="J583" i="2" s="1"/>
  <c r="A738" i="2"/>
  <c r="B738" i="2" s="1"/>
  <c r="C738" i="2" s="1"/>
  <c r="D738" i="2" s="1"/>
  <c r="E738" i="2" s="1"/>
  <c r="I738" i="2"/>
  <c r="J738" i="2" s="1"/>
  <c r="A615" i="2"/>
  <c r="B615" i="2" s="1"/>
  <c r="C615" i="2" s="1"/>
  <c r="D615" i="2" s="1"/>
  <c r="E615" i="2" s="1"/>
  <c r="I615" i="2"/>
  <c r="J615" i="2" s="1"/>
  <c r="A584" i="2"/>
  <c r="B584" i="2" s="1"/>
  <c r="C584" i="2" s="1"/>
  <c r="D584" i="2" s="1"/>
  <c r="E584" i="2" s="1"/>
  <c r="I584" i="2"/>
  <c r="J584" i="2" s="1"/>
  <c r="A657" i="2"/>
  <c r="B657" i="2" s="1"/>
  <c r="C657" i="2" s="1"/>
  <c r="D657" i="2" s="1"/>
  <c r="E657" i="2" s="1"/>
  <c r="I657" i="2"/>
  <c r="J657" i="2" s="1"/>
  <c r="A660" i="2"/>
  <c r="B660" i="2" s="1"/>
  <c r="C660" i="2" s="1"/>
  <c r="D660" i="2" s="1"/>
  <c r="E660" i="2" s="1"/>
  <c r="I660" i="2"/>
  <c r="J660" i="2" s="1"/>
  <c r="A668" i="2"/>
  <c r="B668" i="2" s="1"/>
  <c r="C668" i="2" s="1"/>
  <c r="D668" i="2" s="1"/>
  <c r="E668" i="2" s="1"/>
  <c r="I668" i="2"/>
  <c r="J668" i="2" s="1"/>
  <c r="A609" i="2"/>
  <c r="B609" i="2" s="1"/>
  <c r="C609" i="2" s="1"/>
  <c r="D609" i="2" s="1"/>
  <c r="E609" i="2" s="1"/>
  <c r="I609" i="2"/>
  <c r="J609" i="2" s="1"/>
  <c r="A645" i="2"/>
  <c r="B645" i="2" s="1"/>
  <c r="C645" i="2" s="1"/>
  <c r="D645" i="2" s="1"/>
  <c r="E645" i="2" s="1"/>
  <c r="I645" i="2"/>
  <c r="J645" i="2" s="1"/>
  <c r="A604" i="2"/>
  <c r="B604" i="2" s="1"/>
  <c r="C604" i="2" s="1"/>
  <c r="D604" i="2" s="1"/>
  <c r="E604" i="2" s="1"/>
  <c r="I604" i="2"/>
  <c r="J604" i="2" s="1"/>
  <c r="I730" i="2"/>
  <c r="J730" i="2" s="1"/>
  <c r="I772" i="2"/>
  <c r="J772" i="2" s="1"/>
  <c r="I725" i="2"/>
  <c r="J725" i="2" s="1"/>
  <c r="I735" i="2"/>
  <c r="J735" i="2" s="1"/>
  <c r="I721" i="2"/>
  <c r="J721" i="2" s="1"/>
  <c r="I717" i="2"/>
  <c r="J717" i="2" s="1"/>
  <c r="I703" i="2"/>
  <c r="J703" i="2" s="1"/>
  <c r="I683" i="2"/>
  <c r="J683" i="2" s="1"/>
  <c r="I733" i="2"/>
  <c r="J733" i="2" s="1"/>
  <c r="I737" i="2"/>
  <c r="J737" i="2" s="1"/>
  <c r="I766" i="2"/>
  <c r="J766" i="2" s="1"/>
  <c r="I694" i="2"/>
  <c r="J694" i="2" s="1"/>
  <c r="I755" i="2"/>
  <c r="J755" i="2" s="1"/>
  <c r="I763" i="2"/>
  <c r="J763" i="2" s="1"/>
  <c r="I724" i="2"/>
  <c r="J724" i="2" s="1"/>
  <c r="E6" i="1"/>
  <c r="G6" i="1"/>
  <c r="A758" i="2"/>
  <c r="B758" i="2" s="1"/>
  <c r="C758" i="2" s="1"/>
  <c r="D758" i="2" s="1"/>
  <c r="E758" i="2" s="1"/>
  <c r="J675" i="1" l="1"/>
  <c r="J513" i="1"/>
  <c r="J488" i="1"/>
  <c r="J525" i="1"/>
  <c r="J539" i="1"/>
  <c r="J508" i="1"/>
  <c r="J549" i="1"/>
  <c r="J305" i="1"/>
  <c r="J512" i="1"/>
  <c r="J486" i="1"/>
  <c r="J650" i="1"/>
  <c r="J637" i="1"/>
  <c r="J569" i="1"/>
  <c r="J659" i="1"/>
  <c r="J541" i="1"/>
  <c r="J672" i="1"/>
  <c r="J658" i="1"/>
  <c r="J644" i="1"/>
  <c r="J544" i="1"/>
  <c r="J647" i="1"/>
  <c r="J631" i="1"/>
  <c r="J643" i="1"/>
  <c r="J599" i="1"/>
  <c r="J641" i="1"/>
  <c r="J619" i="1"/>
  <c r="J618" i="1"/>
  <c r="J606" i="1"/>
  <c r="J614" i="1"/>
  <c r="J586" i="1"/>
  <c r="J306" i="1"/>
  <c r="J639" i="1"/>
  <c r="J603" i="1"/>
  <c r="J595" i="1"/>
  <c r="J670" i="1"/>
  <c r="J651" i="1"/>
  <c r="J308" i="1"/>
  <c r="J655" i="1"/>
  <c r="J642" i="1"/>
  <c r="J667" i="1"/>
  <c r="J559" i="1"/>
  <c r="J626" i="1"/>
  <c r="J540" i="1"/>
  <c r="J556" i="1"/>
  <c r="J634" i="1"/>
  <c r="J622" i="1"/>
  <c r="J573" i="1"/>
  <c r="J617" i="1"/>
  <c r="J581" i="1"/>
  <c r="J666" i="1"/>
  <c r="J611" i="1"/>
  <c r="J638" i="1"/>
  <c r="J623" i="1"/>
  <c r="J674" i="1"/>
  <c r="J630" i="1"/>
  <c r="J646" i="1"/>
  <c r="J627" i="1"/>
  <c r="J671" i="1"/>
  <c r="J577" i="1"/>
  <c r="J587" i="1"/>
  <c r="J548" i="1"/>
  <c r="J492" i="1"/>
  <c r="J537" i="1"/>
  <c r="J545" i="1"/>
  <c r="J519" i="1"/>
  <c r="J505" i="1"/>
  <c r="J504" i="1"/>
  <c r="J491" i="1"/>
  <c r="J307" i="1"/>
  <c r="J554" i="1"/>
  <c r="J533" i="1"/>
  <c r="J507" i="1"/>
  <c r="J517" i="1"/>
  <c r="J529" i="1"/>
  <c r="J496" i="1"/>
  <c r="J493" i="1"/>
  <c r="J536" i="1"/>
  <c r="J564" i="1"/>
  <c r="J565" i="1"/>
  <c r="J620" i="1"/>
  <c r="J669" i="1"/>
  <c r="J594" i="1"/>
  <c r="J602" i="1"/>
  <c r="J590" i="1"/>
  <c r="J566" i="1"/>
  <c r="J560" i="1"/>
  <c r="J568" i="1"/>
  <c r="J576" i="1"/>
  <c r="J598" i="1"/>
  <c r="J610" i="1"/>
  <c r="J580" i="1"/>
  <c r="J591" i="1"/>
  <c r="J607" i="1"/>
  <c r="J635" i="1"/>
  <c r="J497" i="1"/>
  <c r="J511" i="1"/>
  <c r="J487" i="1"/>
  <c r="J530" i="1"/>
  <c r="J526" i="1"/>
  <c r="J510" i="1"/>
  <c r="J608" i="1"/>
  <c r="E683" i="1"/>
  <c r="F683" i="1"/>
  <c r="G683" i="1"/>
  <c r="H683" i="1"/>
  <c r="E660" i="1"/>
  <c r="F660" i="1"/>
  <c r="G660" i="1"/>
  <c r="H660" i="1"/>
  <c r="E613" i="1"/>
  <c r="F613" i="1"/>
  <c r="G613" i="1"/>
  <c r="H613" i="1"/>
  <c r="E727" i="1"/>
  <c r="F727" i="1"/>
  <c r="G727" i="1"/>
  <c r="H727" i="1"/>
  <c r="E762" i="1"/>
  <c r="F762" i="1"/>
  <c r="G762" i="1"/>
  <c r="H762" i="1"/>
  <c r="A629" i="1"/>
  <c r="B629" i="1"/>
  <c r="C629" i="1"/>
  <c r="D629" i="1"/>
  <c r="A597" i="1"/>
  <c r="B597" i="1"/>
  <c r="C597" i="1"/>
  <c r="D597" i="1"/>
  <c r="E706" i="1"/>
  <c r="F706" i="1"/>
  <c r="H706" i="1"/>
  <c r="G706" i="1"/>
  <c r="A636" i="1"/>
  <c r="B636" i="1"/>
  <c r="C636" i="1"/>
  <c r="D636" i="1"/>
  <c r="A632" i="1"/>
  <c r="B632" i="1"/>
  <c r="C632" i="1"/>
  <c r="D632" i="1"/>
  <c r="A714" i="1"/>
  <c r="B714" i="1"/>
  <c r="C714" i="1"/>
  <c r="D714" i="1"/>
  <c r="E698" i="1"/>
  <c r="F698" i="1"/>
  <c r="G698" i="1"/>
  <c r="H698" i="1"/>
  <c r="E699" i="1"/>
  <c r="F699" i="1"/>
  <c r="H699" i="1"/>
  <c r="G699" i="1"/>
  <c r="E703" i="1"/>
  <c r="F703" i="1"/>
  <c r="G703" i="1"/>
  <c r="H703" i="1"/>
  <c r="A609" i="1"/>
  <c r="B609" i="1"/>
  <c r="C609" i="1"/>
  <c r="D609" i="1"/>
  <c r="A584" i="1"/>
  <c r="C584" i="1"/>
  <c r="D584" i="1"/>
  <c r="B584" i="1"/>
  <c r="A613" i="1"/>
  <c r="B613" i="1"/>
  <c r="C613" i="1"/>
  <c r="D613" i="1"/>
  <c r="E750" i="1"/>
  <c r="F750" i="1"/>
  <c r="G750" i="1"/>
  <c r="H750" i="1"/>
  <c r="E676" i="1"/>
  <c r="F676" i="1"/>
  <c r="G676" i="1"/>
  <c r="H676" i="1"/>
  <c r="E616" i="1"/>
  <c r="H616" i="1"/>
  <c r="F616" i="1"/>
  <c r="G616" i="1"/>
  <c r="E633" i="1"/>
  <c r="F633" i="1"/>
  <c r="G633" i="1"/>
  <c r="H633" i="1"/>
  <c r="E704" i="1"/>
  <c r="F704" i="1"/>
  <c r="H704" i="1"/>
  <c r="G704" i="1"/>
  <c r="E673" i="1"/>
  <c r="F673" i="1"/>
  <c r="G673" i="1"/>
  <c r="H673" i="1"/>
  <c r="E605" i="1"/>
  <c r="F605" i="1"/>
  <c r="G605" i="1"/>
  <c r="H605" i="1"/>
  <c r="A688" i="1"/>
  <c r="B688" i="1"/>
  <c r="C688" i="1"/>
  <c r="D688" i="1"/>
  <c r="E751" i="1"/>
  <c r="F751" i="1"/>
  <c r="G751" i="1"/>
  <c r="H751" i="1"/>
  <c r="E771" i="1"/>
  <c r="F771" i="1"/>
  <c r="G771" i="1"/>
  <c r="H771" i="1"/>
  <c r="A758" i="1"/>
  <c r="B758" i="1"/>
  <c r="C758" i="1"/>
  <c r="D758" i="1"/>
  <c r="E763" i="1"/>
  <c r="F763" i="1"/>
  <c r="H763" i="1"/>
  <c r="G763" i="1"/>
  <c r="E717" i="1"/>
  <c r="F717" i="1"/>
  <c r="G717" i="1"/>
  <c r="H717" i="1"/>
  <c r="E645" i="1"/>
  <c r="F645" i="1"/>
  <c r="G645" i="1"/>
  <c r="H645" i="1"/>
  <c r="E668" i="1"/>
  <c r="F668" i="1"/>
  <c r="G668" i="1"/>
  <c r="H668" i="1"/>
  <c r="E615" i="1"/>
  <c r="F615" i="1"/>
  <c r="G615" i="1"/>
  <c r="H615" i="1"/>
  <c r="E583" i="1"/>
  <c r="F583" i="1"/>
  <c r="G583" i="1"/>
  <c r="H583" i="1"/>
  <c r="E621" i="1"/>
  <c r="F621" i="1"/>
  <c r="G621" i="1"/>
  <c r="H621" i="1"/>
  <c r="E600" i="1"/>
  <c r="H600" i="1"/>
  <c r="F600" i="1"/>
  <c r="G600" i="1"/>
  <c r="E589" i="1"/>
  <c r="F589" i="1"/>
  <c r="G589" i="1"/>
  <c r="H589" i="1"/>
  <c r="E768" i="1"/>
  <c r="F768" i="1"/>
  <c r="H768" i="1"/>
  <c r="G768" i="1"/>
  <c r="A676" i="1"/>
  <c r="B676" i="1"/>
  <c r="C676" i="1"/>
  <c r="D676" i="1"/>
  <c r="A649" i="1"/>
  <c r="B649" i="1"/>
  <c r="C649" i="1"/>
  <c r="D649" i="1"/>
  <c r="A770" i="1"/>
  <c r="B770" i="1"/>
  <c r="C770" i="1"/>
  <c r="D770" i="1"/>
  <c r="E654" i="1"/>
  <c r="F654" i="1"/>
  <c r="G654" i="1"/>
  <c r="H654" i="1"/>
  <c r="A633" i="1"/>
  <c r="B633" i="1"/>
  <c r="C633" i="1"/>
  <c r="D633" i="1"/>
  <c r="E736" i="1"/>
  <c r="F736" i="1"/>
  <c r="H736" i="1"/>
  <c r="G736" i="1"/>
  <c r="E742" i="1"/>
  <c r="F742" i="1"/>
  <c r="G742" i="1"/>
  <c r="H742" i="1"/>
  <c r="E710" i="1"/>
  <c r="F710" i="1"/>
  <c r="G710" i="1"/>
  <c r="H710" i="1"/>
  <c r="E734" i="1"/>
  <c r="F734" i="1"/>
  <c r="G734" i="1"/>
  <c r="H734" i="1"/>
  <c r="A624" i="1"/>
  <c r="B624" i="1"/>
  <c r="C624" i="1"/>
  <c r="D624" i="1"/>
  <c r="E755" i="1"/>
  <c r="F755" i="1"/>
  <c r="G755" i="1"/>
  <c r="H755" i="1"/>
  <c r="E733" i="1"/>
  <c r="F733" i="1"/>
  <c r="G733" i="1"/>
  <c r="H733" i="1"/>
  <c r="E721" i="1"/>
  <c r="F721" i="1"/>
  <c r="G721" i="1"/>
  <c r="H721" i="1"/>
  <c r="E730" i="1"/>
  <c r="F730" i="1"/>
  <c r="H730" i="1"/>
  <c r="G730" i="1"/>
  <c r="A645" i="1"/>
  <c r="B645" i="1"/>
  <c r="C645" i="1"/>
  <c r="D645" i="1"/>
  <c r="A668" i="1"/>
  <c r="B668" i="1"/>
  <c r="C668" i="1"/>
  <c r="D668" i="1"/>
  <c r="A657" i="1"/>
  <c r="B657" i="1"/>
  <c r="C657" i="1"/>
  <c r="D657" i="1"/>
  <c r="A615" i="1"/>
  <c r="B615" i="1"/>
  <c r="C615" i="1"/>
  <c r="D615" i="1"/>
  <c r="A583" i="1"/>
  <c r="B583" i="1"/>
  <c r="C583" i="1"/>
  <c r="D583" i="1"/>
  <c r="A612" i="1"/>
  <c r="C612" i="1"/>
  <c r="D612" i="1"/>
  <c r="B612" i="1"/>
  <c r="A621" i="1"/>
  <c r="B621" i="1"/>
  <c r="C621" i="1"/>
  <c r="D621" i="1"/>
  <c r="A600" i="1"/>
  <c r="C600" i="1"/>
  <c r="D600" i="1"/>
  <c r="B600" i="1"/>
  <c r="E691" i="1"/>
  <c r="F691" i="1"/>
  <c r="G691" i="1"/>
  <c r="H691" i="1"/>
  <c r="A589" i="1"/>
  <c r="B589" i="1"/>
  <c r="C589" i="1"/>
  <c r="D589" i="1"/>
  <c r="E715" i="1"/>
  <c r="F715" i="1"/>
  <c r="G715" i="1"/>
  <c r="H715" i="1"/>
  <c r="E713" i="1"/>
  <c r="F713" i="1"/>
  <c r="G713" i="1"/>
  <c r="H713" i="1"/>
  <c r="E648" i="1"/>
  <c r="F648" i="1"/>
  <c r="G648" i="1"/>
  <c r="H648" i="1"/>
  <c r="E663" i="1"/>
  <c r="F663" i="1"/>
  <c r="G663" i="1"/>
  <c r="H663" i="1"/>
  <c r="E629" i="1"/>
  <c r="F629" i="1"/>
  <c r="G629" i="1"/>
  <c r="H629" i="1"/>
  <c r="E625" i="1"/>
  <c r="F625" i="1"/>
  <c r="G625" i="1"/>
  <c r="H625" i="1"/>
  <c r="E582" i="1"/>
  <c r="H582" i="1"/>
  <c r="F582" i="1"/>
  <c r="G582" i="1"/>
  <c r="E597" i="1"/>
  <c r="F597" i="1"/>
  <c r="G597" i="1"/>
  <c r="H597" i="1"/>
  <c r="E593" i="1"/>
  <c r="F593" i="1"/>
  <c r="G593" i="1"/>
  <c r="H593" i="1"/>
  <c r="E656" i="1"/>
  <c r="F656" i="1"/>
  <c r="G656" i="1"/>
  <c r="H656" i="1"/>
  <c r="E705" i="1"/>
  <c r="F705" i="1"/>
  <c r="G705" i="1"/>
  <c r="H705" i="1"/>
  <c r="E601" i="1"/>
  <c r="F601" i="1"/>
  <c r="G601" i="1"/>
  <c r="H601" i="1"/>
  <c r="E685" i="1"/>
  <c r="F685" i="1"/>
  <c r="G685" i="1"/>
  <c r="H685" i="1"/>
  <c r="E707" i="1"/>
  <c r="F707" i="1"/>
  <c r="G707" i="1"/>
  <c r="H707" i="1"/>
  <c r="E636" i="1"/>
  <c r="F636" i="1"/>
  <c r="G636" i="1"/>
  <c r="H636" i="1"/>
  <c r="E665" i="1"/>
  <c r="F665" i="1"/>
  <c r="G665" i="1"/>
  <c r="H665" i="1"/>
  <c r="E628" i="1"/>
  <c r="F628" i="1"/>
  <c r="G628" i="1"/>
  <c r="H628" i="1"/>
  <c r="E632" i="1"/>
  <c r="F632" i="1"/>
  <c r="G632" i="1"/>
  <c r="H632" i="1"/>
  <c r="E664" i="1"/>
  <c r="F664" i="1"/>
  <c r="G664" i="1"/>
  <c r="H664" i="1"/>
  <c r="E690" i="1"/>
  <c r="F690" i="1"/>
  <c r="G690" i="1"/>
  <c r="H690" i="1"/>
  <c r="E714" i="1"/>
  <c r="F714" i="1"/>
  <c r="H714" i="1"/>
  <c r="G714" i="1"/>
  <c r="E686" i="1"/>
  <c r="F686" i="1"/>
  <c r="H686" i="1"/>
  <c r="G686" i="1"/>
  <c r="E767" i="1"/>
  <c r="F767" i="1"/>
  <c r="G767" i="1"/>
  <c r="H767" i="1"/>
  <c r="E702" i="1"/>
  <c r="F702" i="1"/>
  <c r="H702" i="1"/>
  <c r="G702" i="1"/>
  <c r="E592" i="1"/>
  <c r="H592" i="1"/>
  <c r="F592" i="1"/>
  <c r="G592" i="1"/>
  <c r="E694" i="1"/>
  <c r="F694" i="1"/>
  <c r="H694" i="1"/>
  <c r="G694" i="1"/>
  <c r="E609" i="1"/>
  <c r="F609" i="1"/>
  <c r="G609" i="1"/>
  <c r="H609" i="1"/>
  <c r="E588" i="1"/>
  <c r="H588" i="1"/>
  <c r="F588" i="1"/>
  <c r="G588" i="1"/>
  <c r="E661" i="1"/>
  <c r="F661" i="1"/>
  <c r="G661" i="1"/>
  <c r="H661" i="1"/>
  <c r="E739" i="1"/>
  <c r="F739" i="1"/>
  <c r="G739" i="1"/>
  <c r="H739" i="1"/>
  <c r="A625" i="1"/>
  <c r="B625" i="1"/>
  <c r="C625" i="1"/>
  <c r="D625" i="1"/>
  <c r="A656" i="1"/>
  <c r="B656" i="1"/>
  <c r="C656" i="1"/>
  <c r="D656" i="1"/>
  <c r="E747" i="1"/>
  <c r="F747" i="1"/>
  <c r="G747" i="1"/>
  <c r="H747" i="1"/>
  <c r="A628" i="1"/>
  <c r="B628" i="1"/>
  <c r="C628" i="1"/>
  <c r="D628" i="1"/>
  <c r="A765" i="1"/>
  <c r="B765" i="1"/>
  <c r="C765" i="1"/>
  <c r="D765" i="1"/>
  <c r="E735" i="1"/>
  <c r="F735" i="1"/>
  <c r="G735" i="1"/>
  <c r="H735" i="1"/>
  <c r="E584" i="1"/>
  <c r="H584" i="1"/>
  <c r="F584" i="1"/>
  <c r="G584" i="1"/>
  <c r="E585" i="1"/>
  <c r="F585" i="1"/>
  <c r="G585" i="1"/>
  <c r="H585" i="1"/>
  <c r="A648" i="1"/>
  <c r="B648" i="1"/>
  <c r="C648" i="1"/>
  <c r="D648" i="1"/>
  <c r="A582" i="1"/>
  <c r="C582" i="1"/>
  <c r="D582" i="1"/>
  <c r="B582" i="1"/>
  <c r="A601" i="1"/>
  <c r="B601" i="1"/>
  <c r="C601" i="1"/>
  <c r="D601" i="1"/>
  <c r="A665" i="1"/>
  <c r="B665" i="1"/>
  <c r="C665" i="1"/>
  <c r="D665" i="1"/>
  <c r="A664" i="1"/>
  <c r="B664" i="1"/>
  <c r="C664" i="1"/>
  <c r="D664" i="1"/>
  <c r="E743" i="1"/>
  <c r="F743" i="1"/>
  <c r="G743" i="1"/>
  <c r="H743" i="1"/>
  <c r="A592" i="1"/>
  <c r="C592" i="1"/>
  <c r="D592" i="1"/>
  <c r="B592" i="1"/>
  <c r="E766" i="1"/>
  <c r="F766" i="1"/>
  <c r="H766" i="1"/>
  <c r="G766" i="1"/>
  <c r="A604" i="1"/>
  <c r="C604" i="1"/>
  <c r="D604" i="1"/>
  <c r="B604" i="1"/>
  <c r="A738" i="1"/>
  <c r="B738" i="1"/>
  <c r="C738" i="1"/>
  <c r="D738" i="1"/>
  <c r="A661" i="1"/>
  <c r="B661" i="1"/>
  <c r="C661" i="1"/>
  <c r="D661" i="1"/>
  <c r="E687" i="1"/>
  <c r="F687" i="1"/>
  <c r="G687" i="1"/>
  <c r="H687" i="1"/>
  <c r="E649" i="1"/>
  <c r="F649" i="1"/>
  <c r="G649" i="1"/>
  <c r="H649" i="1"/>
  <c r="E754" i="1"/>
  <c r="F754" i="1"/>
  <c r="G754" i="1"/>
  <c r="H754" i="1"/>
  <c r="E726" i="1"/>
  <c r="F726" i="1"/>
  <c r="G726" i="1"/>
  <c r="H726" i="1"/>
  <c r="E722" i="1"/>
  <c r="F722" i="1"/>
  <c r="G722" i="1"/>
  <c r="H722" i="1"/>
  <c r="E596" i="1"/>
  <c r="H596" i="1"/>
  <c r="F596" i="1"/>
  <c r="G596" i="1"/>
  <c r="E695" i="1"/>
  <c r="F695" i="1"/>
  <c r="G695" i="1"/>
  <c r="H695" i="1"/>
  <c r="E746" i="1"/>
  <c r="F746" i="1"/>
  <c r="H746" i="1"/>
  <c r="G746" i="1"/>
  <c r="E604" i="1"/>
  <c r="H604" i="1"/>
  <c r="F604" i="1"/>
  <c r="G604" i="1"/>
  <c r="E738" i="1"/>
  <c r="F738" i="1"/>
  <c r="H738" i="1"/>
  <c r="G738" i="1"/>
  <c r="E716" i="1"/>
  <c r="F716" i="1"/>
  <c r="H716" i="1"/>
  <c r="G716" i="1"/>
  <c r="A663" i="1"/>
  <c r="B663" i="1"/>
  <c r="C663" i="1"/>
  <c r="D663" i="1"/>
  <c r="A593" i="1"/>
  <c r="B593" i="1"/>
  <c r="C593" i="1"/>
  <c r="D593" i="1"/>
  <c r="E719" i="1"/>
  <c r="F719" i="1"/>
  <c r="G719" i="1"/>
  <c r="H719" i="1"/>
  <c r="E724" i="1"/>
  <c r="F724" i="1"/>
  <c r="G724" i="1"/>
  <c r="H724" i="1"/>
  <c r="E725" i="1"/>
  <c r="F725" i="1"/>
  <c r="H725" i="1"/>
  <c r="G725" i="1"/>
  <c r="A660" i="1"/>
  <c r="B660" i="1"/>
  <c r="C660" i="1"/>
  <c r="D660" i="1"/>
  <c r="A588" i="1"/>
  <c r="C588" i="1"/>
  <c r="D588" i="1"/>
  <c r="B588" i="1"/>
  <c r="A585" i="1"/>
  <c r="B585" i="1"/>
  <c r="C585" i="1"/>
  <c r="D585" i="1"/>
  <c r="E711" i="1"/>
  <c r="F711" i="1"/>
  <c r="H711" i="1"/>
  <c r="G711" i="1"/>
  <c r="E640" i="1"/>
  <c r="F640" i="1"/>
  <c r="G640" i="1"/>
  <c r="H640" i="1"/>
  <c r="E770" i="1"/>
  <c r="F770" i="1"/>
  <c r="H770" i="1"/>
  <c r="G770" i="1"/>
  <c r="E652" i="1"/>
  <c r="F652" i="1"/>
  <c r="G652" i="1"/>
  <c r="H652" i="1"/>
  <c r="E677" i="1"/>
  <c r="F677" i="1"/>
  <c r="G677" i="1"/>
  <c r="H677" i="1"/>
  <c r="E764" i="1"/>
  <c r="F764" i="1"/>
  <c r="G764" i="1"/>
  <c r="H764" i="1"/>
  <c r="E624" i="1"/>
  <c r="F624" i="1"/>
  <c r="G624" i="1"/>
  <c r="H624" i="1"/>
  <c r="E653" i="1"/>
  <c r="F653" i="1"/>
  <c r="G653" i="1"/>
  <c r="H653" i="1"/>
  <c r="E731" i="1"/>
  <c r="F731" i="1"/>
  <c r="G731" i="1"/>
  <c r="H731" i="1"/>
  <c r="E737" i="1"/>
  <c r="F737" i="1"/>
  <c r="G737" i="1"/>
  <c r="H737" i="1"/>
  <c r="E772" i="1"/>
  <c r="F772" i="1"/>
  <c r="G772" i="1"/>
  <c r="H772" i="1"/>
  <c r="E657" i="1"/>
  <c r="F657" i="1"/>
  <c r="G657" i="1"/>
  <c r="H657" i="1"/>
  <c r="E612" i="1"/>
  <c r="H612" i="1"/>
  <c r="F612" i="1"/>
  <c r="G612" i="1"/>
  <c r="E718" i="1"/>
  <c r="F718" i="1"/>
  <c r="G718" i="1"/>
  <c r="H718" i="1"/>
  <c r="E728" i="1"/>
  <c r="F728" i="1"/>
  <c r="H728" i="1"/>
  <c r="G728" i="1"/>
  <c r="A640" i="1"/>
  <c r="B640" i="1"/>
  <c r="C640" i="1"/>
  <c r="D640" i="1"/>
  <c r="A616" i="1"/>
  <c r="C616" i="1"/>
  <c r="D616" i="1"/>
  <c r="B616" i="1"/>
  <c r="A652" i="1"/>
  <c r="B652" i="1"/>
  <c r="C652" i="1"/>
  <c r="D652" i="1"/>
  <c r="A677" i="1"/>
  <c r="B677" i="1"/>
  <c r="C677" i="1"/>
  <c r="D677" i="1"/>
  <c r="A673" i="1"/>
  <c r="B673" i="1"/>
  <c r="C673" i="1"/>
  <c r="D673" i="1"/>
  <c r="A596" i="1"/>
  <c r="C596" i="1"/>
  <c r="D596" i="1"/>
  <c r="B596" i="1"/>
  <c r="A605" i="1"/>
  <c r="B605" i="1"/>
  <c r="C605" i="1"/>
  <c r="D605" i="1"/>
  <c r="A653" i="1"/>
  <c r="B653" i="1"/>
  <c r="C653" i="1"/>
  <c r="D653" i="1"/>
  <c r="E723" i="1"/>
  <c r="F723" i="1"/>
  <c r="H723" i="1"/>
  <c r="G723" i="1"/>
  <c r="A731" i="1"/>
  <c r="B731" i="1"/>
  <c r="C731" i="1"/>
  <c r="D731" i="1"/>
  <c r="E682" i="1"/>
  <c r="F682" i="1"/>
  <c r="G682" i="1"/>
  <c r="H682" i="1"/>
  <c r="E769" i="1"/>
  <c r="F769" i="1"/>
  <c r="G769" i="1"/>
  <c r="H769" i="1"/>
  <c r="A697" i="1"/>
  <c r="B697" i="1"/>
  <c r="C697" i="1"/>
  <c r="D697" i="1"/>
  <c r="E740" i="1"/>
  <c r="F740" i="1"/>
  <c r="G740" i="1"/>
  <c r="H740" i="1"/>
  <c r="J520" i="1"/>
  <c r="J561" i="1"/>
  <c r="J518" i="1"/>
  <c r="J501" i="1"/>
  <c r="J528" i="1"/>
  <c r="J567" i="1"/>
  <c r="J662" i="1"/>
  <c r="J555" i="1"/>
  <c r="J532" i="1"/>
  <c r="I765" i="2"/>
  <c r="J765" i="2" s="1"/>
  <c r="I697" i="2"/>
  <c r="J697" i="2" s="1"/>
  <c r="I688" i="2"/>
  <c r="J688" i="2" s="1"/>
  <c r="A741" i="2"/>
  <c r="B741" i="2" s="1"/>
  <c r="C741" i="2" s="1"/>
  <c r="D741" i="2" s="1"/>
  <c r="E741" i="2" s="1"/>
  <c r="I741" i="2"/>
  <c r="J741" i="2" s="1"/>
  <c r="A709" i="2"/>
  <c r="B709" i="2" s="1"/>
  <c r="C709" i="2" s="1"/>
  <c r="D709" i="2" s="1"/>
  <c r="E709" i="2" s="1"/>
  <c r="I709" i="2"/>
  <c r="J709" i="2" s="1"/>
  <c r="A681" i="2"/>
  <c r="B681" i="2" s="1"/>
  <c r="C681" i="2" s="1"/>
  <c r="D681" i="2" s="1"/>
  <c r="E681" i="2" s="1"/>
  <c r="I681" i="2"/>
  <c r="J681" i="2" s="1"/>
  <c r="A752" i="2"/>
  <c r="B752" i="2" s="1"/>
  <c r="C752" i="2" s="1"/>
  <c r="D752" i="2" s="1"/>
  <c r="E752" i="2" s="1"/>
  <c r="I752" i="2"/>
  <c r="J752" i="2" s="1"/>
  <c r="A684" i="2"/>
  <c r="B684" i="2" s="1"/>
  <c r="C684" i="2" s="1"/>
  <c r="D684" i="2" s="1"/>
  <c r="E684" i="2" s="1"/>
  <c r="I684" i="2"/>
  <c r="J684" i="2" s="1"/>
  <c r="A749" i="2"/>
  <c r="B749" i="2" s="1"/>
  <c r="C749" i="2" s="1"/>
  <c r="D749" i="2" s="1"/>
  <c r="E749" i="2" s="1"/>
  <c r="I749" i="2"/>
  <c r="J749" i="2" s="1"/>
  <c r="A693" i="2"/>
  <c r="B693" i="2" s="1"/>
  <c r="C693" i="2" s="1"/>
  <c r="D693" i="2" s="1"/>
  <c r="E693" i="2" s="1"/>
  <c r="I693" i="2"/>
  <c r="J693" i="2" s="1"/>
  <c r="A759" i="2"/>
  <c r="B759" i="2" s="1"/>
  <c r="C759" i="2" s="1"/>
  <c r="D759" i="2" s="1"/>
  <c r="E759" i="2" s="1"/>
  <c r="I759" i="2"/>
  <c r="J759" i="2" s="1"/>
  <c r="A760" i="2"/>
  <c r="B760" i="2" s="1"/>
  <c r="C760" i="2" s="1"/>
  <c r="D760" i="2" s="1"/>
  <c r="E760" i="2" s="1"/>
  <c r="I760" i="2"/>
  <c r="J760" i="2" s="1"/>
  <c r="A689" i="2"/>
  <c r="B689" i="2" s="1"/>
  <c r="C689" i="2" s="1"/>
  <c r="D689" i="2" s="1"/>
  <c r="E689" i="2" s="1"/>
  <c r="I689" i="2"/>
  <c r="J689" i="2" s="1"/>
  <c r="A744" i="2"/>
  <c r="B744" i="2" s="1"/>
  <c r="C744" i="2" s="1"/>
  <c r="D744" i="2" s="1"/>
  <c r="E744" i="2" s="1"/>
  <c r="I744" i="2"/>
  <c r="J744" i="2" s="1"/>
  <c r="A692" i="2"/>
  <c r="B692" i="2" s="1"/>
  <c r="C692" i="2" s="1"/>
  <c r="D692" i="2" s="1"/>
  <c r="E692" i="2" s="1"/>
  <c r="I692" i="2"/>
  <c r="J692" i="2" s="1"/>
  <c r="A761" i="2"/>
  <c r="B761" i="2" s="1"/>
  <c r="C761" i="2" s="1"/>
  <c r="D761" i="2" s="1"/>
  <c r="E761" i="2" s="1"/>
  <c r="I761" i="2"/>
  <c r="J761" i="2" s="1"/>
  <c r="A773" i="2"/>
  <c r="B773" i="2" s="1"/>
  <c r="C773" i="2" s="1"/>
  <c r="D773" i="2" s="1"/>
  <c r="E773" i="2" s="1"/>
  <c r="I773" i="2"/>
  <c r="J773" i="2" s="1"/>
  <c r="A679" i="2"/>
  <c r="B679" i="2" s="1"/>
  <c r="C679" i="2" s="1"/>
  <c r="D679" i="2" s="1"/>
  <c r="E679" i="2" s="1"/>
  <c r="I679" i="2"/>
  <c r="J679" i="2" s="1"/>
  <c r="A757" i="2"/>
  <c r="B757" i="2" s="1"/>
  <c r="C757" i="2" s="1"/>
  <c r="D757" i="2" s="1"/>
  <c r="E757" i="2" s="1"/>
  <c r="I757" i="2"/>
  <c r="J757" i="2" s="1"/>
  <c r="A678" i="2"/>
  <c r="B678" i="2" s="1"/>
  <c r="C678" i="2" s="1"/>
  <c r="D678" i="2" s="1"/>
  <c r="E678" i="2" s="1"/>
  <c r="I678" i="2"/>
  <c r="J678" i="2" s="1"/>
  <c r="A712" i="2"/>
  <c r="B712" i="2" s="1"/>
  <c r="C712" i="2" s="1"/>
  <c r="D712" i="2" s="1"/>
  <c r="E712" i="2" s="1"/>
  <c r="I712" i="2"/>
  <c r="J712" i="2" s="1"/>
  <c r="A753" i="2"/>
  <c r="B753" i="2" s="1"/>
  <c r="C753" i="2" s="1"/>
  <c r="D753" i="2" s="1"/>
  <c r="E753" i="2" s="1"/>
  <c r="I753" i="2"/>
  <c r="J753" i="2" s="1"/>
  <c r="A708" i="2"/>
  <c r="B708" i="2" s="1"/>
  <c r="C708" i="2" s="1"/>
  <c r="D708" i="2" s="1"/>
  <c r="E708" i="2" s="1"/>
  <c r="I708" i="2"/>
  <c r="J708" i="2" s="1"/>
  <c r="A756" i="2"/>
  <c r="B756" i="2" s="1"/>
  <c r="C756" i="2" s="1"/>
  <c r="D756" i="2" s="1"/>
  <c r="E756" i="2" s="1"/>
  <c r="I756" i="2"/>
  <c r="J756" i="2" s="1"/>
  <c r="A696" i="2"/>
  <c r="B696" i="2" s="1"/>
  <c r="C696" i="2" s="1"/>
  <c r="D696" i="2" s="1"/>
  <c r="E696" i="2" s="1"/>
  <c r="I696" i="2"/>
  <c r="J696" i="2" s="1"/>
  <c r="A729" i="2"/>
  <c r="B729" i="2" s="1"/>
  <c r="C729" i="2" s="1"/>
  <c r="D729" i="2" s="1"/>
  <c r="E729" i="2" s="1"/>
  <c r="I729" i="2"/>
  <c r="J729" i="2" s="1"/>
  <c r="I758" i="2"/>
  <c r="J758" i="2" s="1"/>
  <c r="A680" i="2"/>
  <c r="B680" i="2" s="1"/>
  <c r="C680" i="2" s="1"/>
  <c r="D680" i="2" s="1"/>
  <c r="E680" i="2" s="1"/>
  <c r="I680" i="2"/>
  <c r="J680" i="2" s="1"/>
  <c r="A748" i="2"/>
  <c r="B748" i="2" s="1"/>
  <c r="C748" i="2" s="1"/>
  <c r="D748" i="2" s="1"/>
  <c r="E748" i="2" s="1"/>
  <c r="I748" i="2"/>
  <c r="J748" i="2" s="1"/>
  <c r="A701" i="2"/>
  <c r="B701" i="2" s="1"/>
  <c r="C701" i="2" s="1"/>
  <c r="D701" i="2" s="1"/>
  <c r="E701" i="2" s="1"/>
  <c r="I701" i="2"/>
  <c r="J701" i="2" s="1"/>
  <c r="A732" i="2"/>
  <c r="B732" i="2" s="1"/>
  <c r="C732" i="2" s="1"/>
  <c r="D732" i="2" s="1"/>
  <c r="E732" i="2" s="1"/>
  <c r="I732" i="2"/>
  <c r="J732" i="2" s="1"/>
  <c r="A745" i="2"/>
  <c r="B745" i="2" s="1"/>
  <c r="C745" i="2" s="1"/>
  <c r="D745" i="2" s="1"/>
  <c r="E745" i="2" s="1"/>
  <c r="I745" i="2"/>
  <c r="J745" i="2" s="1"/>
  <c r="A700" i="2"/>
  <c r="B700" i="2" s="1"/>
  <c r="C700" i="2" s="1"/>
  <c r="D700" i="2" s="1"/>
  <c r="E700" i="2" s="1"/>
  <c r="I700" i="2"/>
  <c r="J700" i="2" s="1"/>
  <c r="A720" i="2"/>
  <c r="B720" i="2" s="1"/>
  <c r="C720" i="2" s="1"/>
  <c r="D720" i="2" s="1"/>
  <c r="E720" i="2" s="1"/>
  <c r="I720" i="2"/>
  <c r="J720" i="2" s="1"/>
  <c r="J755" i="1" l="1"/>
  <c r="J699" i="1"/>
  <c r="J740" i="1"/>
  <c r="J769" i="1"/>
  <c r="J682" i="1"/>
  <c r="J731" i="1"/>
  <c r="J723" i="1"/>
  <c r="J653" i="1"/>
  <c r="J605" i="1"/>
  <c r="J673" i="1"/>
  <c r="J677" i="1"/>
  <c r="J652" i="1"/>
  <c r="J728" i="1"/>
  <c r="J718" i="1"/>
  <c r="J657" i="1"/>
  <c r="J772" i="1"/>
  <c r="J737" i="1"/>
  <c r="J764" i="1"/>
  <c r="J770" i="1"/>
  <c r="J711" i="1"/>
  <c r="J660" i="1"/>
  <c r="J725" i="1"/>
  <c r="J724" i="1"/>
  <c r="J719" i="1"/>
  <c r="J663" i="1"/>
  <c r="J716" i="1"/>
  <c r="J584" i="1"/>
  <c r="J746" i="1"/>
  <c r="J695" i="1"/>
  <c r="J722" i="1"/>
  <c r="J726" i="1"/>
  <c r="J754" i="1"/>
  <c r="J687" i="1"/>
  <c r="J661" i="1"/>
  <c r="J766" i="1"/>
  <c r="J743" i="1"/>
  <c r="J664" i="1"/>
  <c r="J735" i="1"/>
  <c r="J747" i="1"/>
  <c r="J739" i="1"/>
  <c r="J609" i="1"/>
  <c r="J694" i="1"/>
  <c r="J702" i="1"/>
  <c r="J767" i="1"/>
  <c r="J686" i="1"/>
  <c r="J690" i="1"/>
  <c r="J707" i="1"/>
  <c r="J685" i="1"/>
  <c r="J705" i="1"/>
  <c r="J713" i="1"/>
  <c r="J715" i="1"/>
  <c r="J589" i="1"/>
  <c r="J691" i="1"/>
  <c r="J621" i="1"/>
  <c r="J583" i="1"/>
  <c r="J615" i="1"/>
  <c r="J668" i="1"/>
  <c r="J730" i="1"/>
  <c r="J721" i="1"/>
  <c r="J733" i="1"/>
  <c r="J734" i="1"/>
  <c r="J710" i="1"/>
  <c r="J742" i="1"/>
  <c r="J736" i="1"/>
  <c r="J633" i="1"/>
  <c r="J654" i="1"/>
  <c r="J676" i="1"/>
  <c r="J768" i="1"/>
  <c r="J717" i="1"/>
  <c r="J763" i="1"/>
  <c r="J771" i="1"/>
  <c r="J751" i="1"/>
  <c r="J704" i="1"/>
  <c r="J750" i="1"/>
  <c r="J613" i="1"/>
  <c r="J703" i="1"/>
  <c r="J698" i="1"/>
  <c r="J706" i="1"/>
  <c r="J762" i="1"/>
  <c r="J727" i="1"/>
  <c r="J683" i="1"/>
  <c r="J612" i="1"/>
  <c r="J738" i="1"/>
  <c r="J604" i="1"/>
  <c r="J596" i="1"/>
  <c r="J588" i="1"/>
  <c r="J600" i="1"/>
  <c r="J616" i="1"/>
  <c r="J624" i="1"/>
  <c r="J649" i="1"/>
  <c r="A701" i="1"/>
  <c r="B701" i="1"/>
  <c r="C701" i="1"/>
  <c r="D701" i="1"/>
  <c r="E696" i="1"/>
  <c r="F696" i="1"/>
  <c r="H696" i="1"/>
  <c r="G696" i="1"/>
  <c r="E757" i="1"/>
  <c r="F757" i="1"/>
  <c r="G757" i="1"/>
  <c r="H757" i="1"/>
  <c r="E692" i="1"/>
  <c r="F692" i="1"/>
  <c r="H692" i="1"/>
  <c r="G692" i="1"/>
  <c r="E759" i="1"/>
  <c r="F759" i="1"/>
  <c r="G759" i="1"/>
  <c r="H759" i="1"/>
  <c r="E709" i="1"/>
  <c r="F709" i="1"/>
  <c r="H709" i="1"/>
  <c r="G709" i="1"/>
  <c r="E700" i="1"/>
  <c r="F700" i="1"/>
  <c r="G700" i="1"/>
  <c r="H700" i="1"/>
  <c r="E748" i="1"/>
  <c r="F748" i="1"/>
  <c r="G748" i="1"/>
  <c r="H748" i="1"/>
  <c r="E758" i="1"/>
  <c r="F758" i="1"/>
  <c r="H758" i="1"/>
  <c r="G758" i="1"/>
  <c r="A708" i="1"/>
  <c r="B708" i="1"/>
  <c r="C708" i="1"/>
  <c r="D708" i="1"/>
  <c r="A773" i="1"/>
  <c r="B773" i="1"/>
  <c r="C773" i="1"/>
  <c r="D773" i="1"/>
  <c r="A689" i="1"/>
  <c r="B689" i="1"/>
  <c r="C689" i="1"/>
  <c r="D689" i="1"/>
  <c r="A749" i="1"/>
  <c r="B749" i="1"/>
  <c r="C749" i="1"/>
  <c r="D749" i="1"/>
  <c r="A709" i="1"/>
  <c r="B709" i="1"/>
  <c r="C709" i="1"/>
  <c r="D709" i="1"/>
  <c r="E697" i="1"/>
  <c r="F697" i="1"/>
  <c r="G697" i="1"/>
  <c r="H697" i="1"/>
  <c r="A700" i="1"/>
  <c r="B700" i="1"/>
  <c r="C700" i="1"/>
  <c r="D700" i="1"/>
  <c r="A732" i="1"/>
  <c r="B732" i="1"/>
  <c r="C732" i="1"/>
  <c r="D732" i="1"/>
  <c r="A748" i="1"/>
  <c r="B748" i="1"/>
  <c r="C748" i="1"/>
  <c r="D748" i="1"/>
  <c r="E729" i="1"/>
  <c r="F729" i="1"/>
  <c r="G729" i="1"/>
  <c r="H729" i="1"/>
  <c r="E756" i="1"/>
  <c r="F756" i="1"/>
  <c r="G756" i="1"/>
  <c r="H756" i="1"/>
  <c r="E753" i="1"/>
  <c r="F753" i="1"/>
  <c r="G753" i="1"/>
  <c r="H753" i="1"/>
  <c r="E678" i="1"/>
  <c r="F678" i="1"/>
  <c r="G678" i="1"/>
  <c r="H678" i="1"/>
  <c r="E679" i="1"/>
  <c r="F679" i="1"/>
  <c r="G679" i="1"/>
  <c r="H679" i="1"/>
  <c r="E761" i="1"/>
  <c r="F761" i="1"/>
  <c r="H761" i="1"/>
  <c r="G761" i="1"/>
  <c r="E744" i="1"/>
  <c r="F744" i="1"/>
  <c r="H744" i="1"/>
  <c r="G744" i="1"/>
  <c r="E760" i="1"/>
  <c r="F760" i="1"/>
  <c r="G760" i="1"/>
  <c r="H760" i="1"/>
  <c r="E693" i="1"/>
  <c r="F693" i="1"/>
  <c r="G693" i="1"/>
  <c r="H693" i="1"/>
  <c r="E684" i="1"/>
  <c r="F684" i="1"/>
  <c r="H684" i="1"/>
  <c r="G684" i="1"/>
  <c r="E681" i="1"/>
  <c r="F681" i="1"/>
  <c r="G681" i="1"/>
  <c r="H681" i="1"/>
  <c r="E741" i="1"/>
  <c r="F741" i="1"/>
  <c r="H741" i="1"/>
  <c r="G741" i="1"/>
  <c r="E765" i="1"/>
  <c r="F765" i="1"/>
  <c r="G765" i="1"/>
  <c r="H765" i="1"/>
  <c r="A680" i="1"/>
  <c r="B680" i="1"/>
  <c r="C680" i="1"/>
  <c r="D680" i="1"/>
  <c r="E708" i="1"/>
  <c r="F708" i="1"/>
  <c r="G708" i="1"/>
  <c r="H708" i="1"/>
  <c r="E773" i="1"/>
  <c r="F773" i="1"/>
  <c r="H773" i="1"/>
  <c r="G773" i="1"/>
  <c r="E689" i="1"/>
  <c r="F689" i="1"/>
  <c r="H689" i="1"/>
  <c r="G689" i="1"/>
  <c r="E752" i="1"/>
  <c r="F752" i="1"/>
  <c r="H752" i="1"/>
  <c r="G752" i="1"/>
  <c r="E732" i="1"/>
  <c r="F732" i="1"/>
  <c r="H732" i="1"/>
  <c r="G732" i="1"/>
  <c r="A696" i="1"/>
  <c r="B696" i="1"/>
  <c r="C696" i="1"/>
  <c r="D696" i="1"/>
  <c r="A712" i="1"/>
  <c r="B712" i="1"/>
  <c r="C712" i="1"/>
  <c r="D712" i="1"/>
  <c r="A757" i="1"/>
  <c r="B757" i="1"/>
  <c r="C757" i="1"/>
  <c r="D757" i="1"/>
  <c r="A692" i="1"/>
  <c r="B692" i="1"/>
  <c r="C692" i="1"/>
  <c r="D692" i="1"/>
  <c r="A759" i="1"/>
  <c r="B759" i="1"/>
  <c r="C759" i="1"/>
  <c r="D759" i="1"/>
  <c r="A752" i="1"/>
  <c r="B752" i="1"/>
  <c r="C752" i="1"/>
  <c r="D752" i="1"/>
  <c r="E720" i="1"/>
  <c r="F720" i="1"/>
  <c r="H720" i="1"/>
  <c r="G720" i="1"/>
  <c r="E745" i="1"/>
  <c r="F745" i="1"/>
  <c r="G745" i="1"/>
  <c r="H745" i="1"/>
  <c r="E701" i="1"/>
  <c r="F701" i="1"/>
  <c r="G701" i="1"/>
  <c r="H701" i="1"/>
  <c r="E680" i="1"/>
  <c r="F680" i="1"/>
  <c r="G680" i="1"/>
  <c r="H680" i="1"/>
  <c r="A729" i="1"/>
  <c r="B729" i="1"/>
  <c r="C729" i="1"/>
  <c r="D729" i="1"/>
  <c r="A756" i="1"/>
  <c r="B756" i="1"/>
  <c r="C756" i="1"/>
  <c r="D756" i="1"/>
  <c r="A753" i="1"/>
  <c r="B753" i="1"/>
  <c r="C753" i="1"/>
  <c r="D753" i="1"/>
  <c r="A678" i="1"/>
  <c r="B678" i="1"/>
  <c r="C678" i="1"/>
  <c r="D678" i="1"/>
  <c r="A679" i="1"/>
  <c r="B679" i="1"/>
  <c r="C679" i="1"/>
  <c r="D679" i="1"/>
  <c r="A761" i="1"/>
  <c r="B761" i="1"/>
  <c r="C761" i="1"/>
  <c r="D761" i="1"/>
  <c r="A744" i="1"/>
  <c r="B744" i="1"/>
  <c r="C744" i="1"/>
  <c r="D744" i="1"/>
  <c r="A760" i="1"/>
  <c r="B760" i="1"/>
  <c r="C760" i="1"/>
  <c r="D760" i="1"/>
  <c r="A693" i="1"/>
  <c r="B693" i="1"/>
  <c r="C693" i="1"/>
  <c r="D693" i="1"/>
  <c r="A684" i="1"/>
  <c r="B684" i="1"/>
  <c r="C684" i="1"/>
  <c r="D684" i="1"/>
  <c r="A681" i="1"/>
  <c r="B681" i="1"/>
  <c r="C681" i="1"/>
  <c r="D681" i="1"/>
  <c r="A741" i="1"/>
  <c r="B741" i="1"/>
  <c r="C741" i="1"/>
  <c r="D741" i="1"/>
  <c r="A745" i="1"/>
  <c r="B745" i="1"/>
  <c r="C745" i="1"/>
  <c r="D745" i="1"/>
  <c r="E712" i="1"/>
  <c r="F712" i="1"/>
  <c r="G712" i="1"/>
  <c r="H712" i="1"/>
  <c r="E749" i="1"/>
  <c r="F749" i="1"/>
  <c r="H749" i="1"/>
  <c r="G749" i="1"/>
  <c r="E688" i="1"/>
  <c r="F688" i="1"/>
  <c r="G688" i="1"/>
  <c r="H688" i="1"/>
  <c r="A720" i="1"/>
  <c r="B720" i="1"/>
  <c r="C720" i="1"/>
  <c r="D720" i="1"/>
  <c r="J665" i="1"/>
  <c r="J632" i="1"/>
  <c r="J593" i="1"/>
  <c r="J645" i="1"/>
  <c r="J714" i="1"/>
  <c r="J625" i="1"/>
  <c r="J597" i="1"/>
  <c r="J601" i="1"/>
  <c r="J648" i="1"/>
  <c r="J585" i="1"/>
  <c r="J628" i="1"/>
  <c r="J640" i="1"/>
  <c r="J636" i="1"/>
  <c r="J629" i="1"/>
  <c r="J582" i="1"/>
  <c r="J592" i="1"/>
  <c r="J656" i="1"/>
  <c r="A774" i="2"/>
  <c r="B774" i="2" s="1"/>
  <c r="C774" i="2" s="1"/>
  <c r="D774" i="2" s="1"/>
  <c r="E774" i="2" s="1"/>
  <c r="I774" i="2"/>
  <c r="J774" i="2" s="1"/>
  <c r="A6" i="1"/>
  <c r="J6" i="1" s="1"/>
  <c r="J696" i="1" l="1"/>
  <c r="J720" i="1"/>
  <c r="J688" i="1"/>
  <c r="J741" i="1"/>
  <c r="J681" i="1"/>
  <c r="J760" i="1"/>
  <c r="J744" i="1"/>
  <c r="J759" i="1"/>
  <c r="J765" i="1"/>
  <c r="J748" i="1"/>
  <c r="J700" i="1"/>
  <c r="J697" i="1"/>
  <c r="J758" i="1"/>
  <c r="J680" i="1"/>
  <c r="J684" i="1"/>
  <c r="J693" i="1"/>
  <c r="J761" i="1"/>
  <c r="J679" i="1"/>
  <c r="J753" i="1"/>
  <c r="J712" i="1"/>
  <c r="J732" i="1"/>
  <c r="J689" i="1"/>
  <c r="J773" i="1"/>
  <c r="E774" i="1"/>
  <c r="F774" i="1"/>
  <c r="G774" i="1"/>
  <c r="H774" i="1"/>
  <c r="A774" i="1"/>
  <c r="B774" i="1"/>
  <c r="C774" i="1"/>
  <c r="D774" i="1"/>
  <c r="J756" i="1"/>
  <c r="J709" i="1"/>
  <c r="J692" i="1"/>
  <c r="J708" i="1"/>
  <c r="J701" i="1"/>
  <c r="J752" i="1"/>
  <c r="J745" i="1"/>
  <c r="J729" i="1"/>
  <c r="J749" i="1"/>
  <c r="J757" i="1"/>
  <c r="J678" i="1"/>
  <c r="J774" i="1" l="1"/>
</calcChain>
</file>

<file path=xl/sharedStrings.xml><?xml version="1.0" encoding="utf-8"?>
<sst xmlns="http://schemas.openxmlformats.org/spreadsheetml/2006/main" count="56" uniqueCount="34">
  <si>
    <t>YouWant?</t>
  </si>
  <si>
    <t>E96, Select=1</t>
  </si>
  <si>
    <t>E48, Select=2</t>
  </si>
  <si>
    <t>E24, Select=3</t>
  </si>
  <si>
    <t>E12, Select=4</t>
  </si>
  <si>
    <t>E6, Select=5</t>
  </si>
  <si>
    <t>CalcVal</t>
  </si>
  <si>
    <t>ResVal</t>
  </si>
  <si>
    <t>Error</t>
  </si>
  <si>
    <t>Value</t>
  </si>
  <si>
    <t>Index</t>
  </si>
  <si>
    <t>Visible%</t>
  </si>
  <si>
    <t>Adore%</t>
  </si>
  <si>
    <t>Uniquity</t>
  </si>
  <si>
    <t>R(par)</t>
  </si>
  <si>
    <t>R(ser)</t>
  </si>
  <si>
    <t>Select 1=E96, 2=E48,… 5=E6</t>
  </si>
  <si>
    <t>EXP((LN(10)/r)/2)</t>
  </si>
  <si>
    <t>Filter</t>
  </si>
  <si>
    <t>VA</t>
  </si>
  <si>
    <t>R1</t>
  </si>
  <si>
    <t>VOUT</t>
  </si>
  <si>
    <t>R2</t>
  </si>
  <si>
    <t>VB</t>
  </si>
  <si>
    <t>VIL</t>
  </si>
  <si>
    <t>VIH</t>
  </si>
  <si>
    <t>Ratio</t>
  </si>
  <si>
    <t>ADC RES</t>
  </si>
  <si>
    <t>ADC +VREF</t>
  </si>
  <si>
    <t>ADC -VREF</t>
  </si>
  <si>
    <t>ADC VALUE</t>
  </si>
  <si>
    <t>RATIO</t>
  </si>
  <si>
    <t>VOU</t>
  </si>
  <si>
    <t>https://www.diyaudio.com/community/threads/excel-spreadsheet-finds-all-possible-series-and-parallel-resistor-solutions.304153/#post5008855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</si>
</sst>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24"/>
      <color theme="7" tint="0.59999389629810485"/>
      <name val="Calibri"/>
      <family val="2"/>
      <scheme val="minor"/>
    </font>
    <font>
      <sz val="12"/>
      <color theme="7" tint="0.5999938962981048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7" tint="0.79998168889431442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auto="1"/>
      </bottom>
      <diagonal/>
    </border>
    <border>
      <left style="hair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</cellStyleXfs>
  <cellXfs count="106">
    <xf numFmtId="0" fontId="0" fillId="0" borderId="0" xfId="0"/>
    <xf numFmtId="0" fontId="4" fillId="5" borderId="4" xfId="0" applyFont="1" applyFill="1" applyBorder="1" applyAlignment="1">
      <alignment horizontal="right" indent="1"/>
    </xf>
    <xf numFmtId="164" fontId="5" fillId="5" borderId="4" xfId="0" applyNumberFormat="1" applyFont="1" applyFill="1" applyBorder="1" applyAlignment="1">
      <alignment horizontal="right" indent="1"/>
    </xf>
    <xf numFmtId="2" fontId="5" fillId="5" borderId="4" xfId="3" applyNumberFormat="1" applyFont="1" applyFill="1" applyBorder="1" applyAlignment="1">
      <alignment horizontal="right" indent="1"/>
    </xf>
    <xf numFmtId="0" fontId="5" fillId="5" borderId="6" xfId="0" applyFont="1" applyFill="1" applyBorder="1" applyAlignment="1">
      <alignment horizontal="right" indent="2"/>
    </xf>
    <xf numFmtId="164" fontId="5" fillId="5" borderId="4" xfId="2" applyNumberFormat="1" applyFont="1" applyFill="1" applyBorder="1" applyAlignment="1">
      <alignment horizontal="right" indent="1"/>
    </xf>
    <xf numFmtId="0" fontId="5" fillId="5" borderId="4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6" fillId="0" borderId="5" xfId="0" applyFont="1" applyBorder="1" applyAlignment="1">
      <alignment horizontal="left" indent="1"/>
    </xf>
    <xf numFmtId="0" fontId="7" fillId="0" borderId="5" xfId="0" applyFont="1" applyBorder="1" applyAlignment="1">
      <alignment horizontal="left" indent="1"/>
    </xf>
    <xf numFmtId="2" fontId="7" fillId="0" borderId="5" xfId="0" applyNumberFormat="1" applyFont="1" applyBorder="1" applyAlignment="1">
      <alignment horizontal="left" indent="1"/>
    </xf>
    <xf numFmtId="0" fontId="7" fillId="0" borderId="7" xfId="0" applyFont="1" applyBorder="1" applyAlignment="1">
      <alignment horizontal="left" indent="2"/>
    </xf>
    <xf numFmtId="0" fontId="8" fillId="0" borderId="5" xfId="0" applyFont="1" applyBorder="1" applyAlignment="1">
      <alignment horizontal="left" indent="1"/>
    </xf>
    <xf numFmtId="0" fontId="8" fillId="0" borderId="0" xfId="0" applyFont="1" applyAlignment="1">
      <alignment horizontal="left" indent="1"/>
    </xf>
    <xf numFmtId="2" fontId="8" fillId="0" borderId="5" xfId="0" applyNumberFormat="1" applyFont="1" applyBorder="1" applyAlignment="1">
      <alignment horizontal="left" indent="1"/>
    </xf>
    <xf numFmtId="0" fontId="8" fillId="0" borderId="7" xfId="0" applyFont="1" applyBorder="1" applyAlignment="1">
      <alignment horizontal="left" indent="2"/>
    </xf>
    <xf numFmtId="0" fontId="0" fillId="0" borderId="0" xfId="0" applyAlignment="1">
      <alignment horizontal="left" indent="1"/>
    </xf>
    <xf numFmtId="0" fontId="9" fillId="6" borderId="3" xfId="0" applyFont="1" applyFill="1" applyBorder="1" applyAlignment="1">
      <alignment horizontal="right" indent="1"/>
    </xf>
    <xf numFmtId="2" fontId="9" fillId="6" borderId="5" xfId="0" applyNumberFormat="1" applyFont="1" applyFill="1" applyBorder="1" applyAlignment="1">
      <alignment horizontal="right" indent="1"/>
    </xf>
    <xf numFmtId="0" fontId="9" fillId="6" borderId="8" xfId="0" applyFont="1" applyFill="1" applyBorder="1" applyAlignment="1">
      <alignment horizontal="right" indent="2"/>
    </xf>
    <xf numFmtId="0" fontId="9" fillId="6" borderId="0" xfId="0" applyFont="1" applyFill="1" applyAlignment="1">
      <alignment horizontal="left" indent="1"/>
    </xf>
    <xf numFmtId="2" fontId="9" fillId="6" borderId="5" xfId="0" applyNumberFormat="1" applyFont="1" applyFill="1" applyBorder="1" applyAlignment="1">
      <alignment horizontal="left" indent="1"/>
    </xf>
    <xf numFmtId="0" fontId="9" fillId="6" borderId="7" xfId="0" applyFont="1" applyFill="1" applyBorder="1" applyAlignment="1">
      <alignment horizontal="left" indent="2"/>
    </xf>
    <xf numFmtId="0" fontId="2" fillId="2" borderId="1" xfId="1" applyAlignment="1">
      <alignment horizontal="right" indent="1"/>
    </xf>
    <xf numFmtId="2" fontId="2" fillId="2" borderId="1" xfId="1" applyNumberFormat="1" applyAlignment="1">
      <alignment horizontal="right" indent="1"/>
    </xf>
    <xf numFmtId="0" fontId="2" fillId="2" borderId="9" xfId="1" applyBorder="1" applyAlignment="1">
      <alignment horizontal="right" indent="2"/>
    </xf>
    <xf numFmtId="0" fontId="2" fillId="2" borderId="1" xfId="1" applyAlignment="1">
      <alignment horizontal="left" indent="1"/>
    </xf>
    <xf numFmtId="2" fontId="2" fillId="2" borderId="1" xfId="1" applyNumberFormat="1" applyAlignment="1">
      <alignment horizontal="left" indent="1"/>
    </xf>
    <xf numFmtId="0" fontId="2" fillId="2" borderId="9" xfId="1" applyBorder="1" applyAlignment="1">
      <alignment horizontal="left" indent="2"/>
    </xf>
    <xf numFmtId="0" fontId="8" fillId="0" borderId="4" xfId="0" applyFont="1" applyBorder="1" applyAlignment="1">
      <alignment horizontal="right" indent="1"/>
    </xf>
    <xf numFmtId="2" fontId="8" fillId="0" borderId="4" xfId="0" applyNumberFormat="1" applyFont="1" applyBorder="1" applyAlignment="1">
      <alignment horizontal="right" indent="1"/>
    </xf>
    <xf numFmtId="0" fontId="8" fillId="0" borderId="6" xfId="0" applyFont="1" applyBorder="1" applyAlignment="1">
      <alignment horizontal="right" indent="2"/>
    </xf>
    <xf numFmtId="0" fontId="8" fillId="0" borderId="10" xfId="0" applyFont="1" applyBorder="1" applyAlignment="1">
      <alignment horizontal="right" indent="1"/>
    </xf>
    <xf numFmtId="0" fontId="8" fillId="0" borderId="7" xfId="0" applyFont="1" applyBorder="1" applyAlignment="1">
      <alignment horizontal="right" indent="2"/>
    </xf>
    <xf numFmtId="0" fontId="8" fillId="0" borderId="5" xfId="0" applyFont="1" applyBorder="1" applyAlignment="1">
      <alignment horizontal="right" indent="1"/>
    </xf>
    <xf numFmtId="0" fontId="8" fillId="0" borderId="3" xfId="0" applyFont="1" applyBorder="1" applyAlignment="1">
      <alignment horizontal="right" indent="1"/>
    </xf>
    <xf numFmtId="164" fontId="8" fillId="0" borderId="3" xfId="0" applyNumberFormat="1" applyFont="1" applyBorder="1" applyAlignment="1">
      <alignment horizontal="right" indent="1"/>
    </xf>
    <xf numFmtId="2" fontId="8" fillId="4" borderId="3" xfId="3" applyNumberFormat="1" applyFont="1" applyBorder="1" applyAlignment="1">
      <alignment horizontal="right" indent="1"/>
    </xf>
    <xf numFmtId="0" fontId="8" fillId="0" borderId="8" xfId="0" applyFont="1" applyBorder="1" applyAlignment="1">
      <alignment horizontal="right" indent="2"/>
    </xf>
    <xf numFmtId="164" fontId="10" fillId="3" borderId="3" xfId="2" applyNumberFormat="1" applyFont="1" applyBorder="1" applyAlignment="1">
      <alignment horizontal="right" indent="1"/>
    </xf>
    <xf numFmtId="164" fontId="11" fillId="3" borderId="5" xfId="2" applyNumberFormat="1" applyFont="1" applyBorder="1" applyAlignment="1">
      <alignment horizontal="right" indent="1"/>
    </xf>
    <xf numFmtId="2" fontId="11" fillId="4" borderId="5" xfId="3" applyNumberFormat="1" applyFont="1" applyBorder="1" applyAlignment="1">
      <alignment horizontal="right" indent="1"/>
    </xf>
    <xf numFmtId="0" fontId="0" fillId="7" borderId="10" xfId="0" applyFill="1" applyBorder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right"/>
    </xf>
    <xf numFmtId="0" fontId="0" fillId="7" borderId="0" xfId="0" applyFill="1"/>
    <xf numFmtId="0" fontId="0" fillId="8" borderId="0" xfId="0" applyFill="1"/>
    <xf numFmtId="0" fontId="0" fillId="7" borderId="10" xfId="0" applyFill="1" applyBorder="1"/>
    <xf numFmtId="0" fontId="0" fillId="8" borderId="10" xfId="0" applyFill="1" applyBorder="1"/>
    <xf numFmtId="0" fontId="0" fillId="10" borderId="0" xfId="0" applyFill="1"/>
    <xf numFmtId="0" fontId="12" fillId="9" borderId="0" xfId="0" applyFont="1" applyFill="1"/>
    <xf numFmtId="0" fontId="12" fillId="9" borderId="10" xfId="0" applyFont="1" applyFill="1" applyBorder="1"/>
    <xf numFmtId="0" fontId="0" fillId="10" borderId="10" xfId="0" applyFill="1" applyBorder="1"/>
    <xf numFmtId="0" fontId="0" fillId="8" borderId="10" xfId="0" applyFill="1" applyBorder="1" applyAlignment="1">
      <alignment horizontal="right"/>
    </xf>
    <xf numFmtId="164" fontId="8" fillId="0" borderId="5" xfId="0" applyNumberFormat="1" applyFont="1" applyBorder="1" applyAlignment="1">
      <alignment horizontal="right" indent="1"/>
    </xf>
    <xf numFmtId="2" fontId="8" fillId="4" borderId="5" xfId="3" applyNumberFormat="1" applyFont="1" applyBorder="1" applyAlignment="1">
      <alignment horizontal="right" indent="1"/>
    </xf>
    <xf numFmtId="164" fontId="10" fillId="3" borderId="5" xfId="2" applyNumberFormat="1" applyFont="1" applyBorder="1" applyAlignment="1">
      <alignment horizontal="right" indent="1"/>
    </xf>
    <xf numFmtId="164" fontId="11" fillId="3" borderId="11" xfId="2" applyNumberFormat="1" applyFont="1" applyBorder="1" applyAlignment="1">
      <alignment horizontal="right" indent="1"/>
    </xf>
    <xf numFmtId="2" fontId="11" fillId="4" borderId="11" xfId="3" applyNumberFormat="1" applyFont="1" applyBorder="1" applyAlignment="1">
      <alignment horizontal="right" indent="1"/>
    </xf>
    <xf numFmtId="0" fontId="8" fillId="0" borderId="12" xfId="0" applyFont="1" applyBorder="1" applyAlignment="1">
      <alignment horizontal="right" indent="2"/>
    </xf>
    <xf numFmtId="0" fontId="0" fillId="0" borderId="10" xfId="0" applyBorder="1" applyAlignment="1">
      <alignment horizontal="right" indent="1"/>
    </xf>
    <xf numFmtId="0" fontId="2" fillId="11" borderId="1" xfId="1" applyFill="1" applyAlignment="1">
      <alignment horizontal="right" indent="1"/>
    </xf>
    <xf numFmtId="0" fontId="9" fillId="6" borderId="5" xfId="0" applyFont="1" applyFill="1" applyBorder="1" applyAlignment="1">
      <alignment horizontal="right" indent="1"/>
    </xf>
    <xf numFmtId="0" fontId="0" fillId="12" borderId="13" xfId="0" applyFill="1" applyBorder="1"/>
    <xf numFmtId="0" fontId="0" fillId="12" borderId="14" xfId="0" applyFill="1" applyBorder="1"/>
    <xf numFmtId="0" fontId="0" fillId="12" borderId="15" xfId="0" applyFill="1" applyBorder="1"/>
    <xf numFmtId="0" fontId="0" fillId="13" borderId="16" xfId="0" applyFill="1" applyBorder="1"/>
    <xf numFmtId="0" fontId="0" fillId="13" borderId="17" xfId="0" applyFill="1" applyBorder="1"/>
    <xf numFmtId="0" fontId="14" fillId="14" borderId="18" xfId="0" applyFont="1" applyFill="1" applyBorder="1"/>
    <xf numFmtId="0" fontId="0" fillId="15" borderId="16" xfId="0" applyFill="1" applyBorder="1"/>
    <xf numFmtId="0" fontId="0" fillId="15" borderId="17" xfId="0" applyFill="1" applyBorder="1"/>
    <xf numFmtId="0" fontId="0" fillId="13" borderId="19" xfId="0" applyFill="1" applyBorder="1"/>
    <xf numFmtId="0" fontId="13" fillId="16" borderId="19" xfId="0" applyFont="1" applyFill="1" applyBorder="1"/>
    <xf numFmtId="0" fontId="0" fillId="7" borderId="19" xfId="0" applyFill="1" applyBorder="1"/>
    <xf numFmtId="0" fontId="0" fillId="0" borderId="17" xfId="0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14" fillId="14" borderId="26" xfId="0" applyFont="1" applyFill="1" applyBorder="1"/>
    <xf numFmtId="0" fontId="0" fillId="13" borderId="24" xfId="0" applyFill="1" applyBorder="1"/>
    <xf numFmtId="0" fontId="0" fillId="13" borderId="27" xfId="0" applyFill="1" applyBorder="1"/>
    <xf numFmtId="0" fontId="13" fillId="16" borderId="27" xfId="0" applyFont="1" applyFill="1" applyBorder="1"/>
    <xf numFmtId="0" fontId="0" fillId="7" borderId="27" xfId="0" applyFill="1" applyBorder="1"/>
    <xf numFmtId="0" fontId="0" fillId="17" borderId="28" xfId="0" applyFill="1" applyBorder="1"/>
    <xf numFmtId="0" fontId="0" fillId="17" borderId="29" xfId="0" applyFill="1" applyBorder="1"/>
    <xf numFmtId="0" fontId="0" fillId="17" borderId="30" xfId="0" applyFill="1" applyBorder="1"/>
    <xf numFmtId="0" fontId="0" fillId="0" borderId="31" xfId="0" applyBorder="1"/>
    <xf numFmtId="0" fontId="0" fillId="0" borderId="28" xfId="0" applyBorder="1"/>
    <xf numFmtId="0" fontId="0" fillId="0" borderId="30" xfId="0" applyBorder="1"/>
    <xf numFmtId="0" fontId="14" fillId="14" borderId="31" xfId="0" applyFont="1" applyFill="1" applyBorder="1"/>
    <xf numFmtId="0" fontId="0" fillId="13" borderId="28" xfId="0" applyFill="1" applyBorder="1"/>
    <xf numFmtId="0" fontId="0" fillId="13" borderId="29" xfId="0" applyFill="1" applyBorder="1"/>
    <xf numFmtId="0" fontId="13" fillId="16" borderId="29" xfId="0" applyFont="1" applyFill="1" applyBorder="1"/>
    <xf numFmtId="0" fontId="0" fillId="7" borderId="29" xfId="0" applyFill="1" applyBorder="1"/>
    <xf numFmtId="0" fontId="0" fillId="13" borderId="32" xfId="0" applyFill="1" applyBorder="1"/>
    <xf numFmtId="0" fontId="0" fillId="13" borderId="33" xfId="0" applyFill="1" applyBorder="1"/>
    <xf numFmtId="0" fontId="13" fillId="16" borderId="33" xfId="0" applyFont="1" applyFill="1" applyBorder="1"/>
    <xf numFmtId="0" fontId="0" fillId="7" borderId="33" xfId="0" applyFill="1" applyBorder="1"/>
    <xf numFmtId="0" fontId="0" fillId="0" borderId="34" xfId="0" applyBorder="1"/>
    <xf numFmtId="0" fontId="0" fillId="17" borderId="32" xfId="0" applyFill="1" applyBorder="1"/>
    <xf numFmtId="0" fontId="0" fillId="17" borderId="33" xfId="0" applyFill="1" applyBorder="1"/>
    <xf numFmtId="0" fontId="0" fillId="17" borderId="34" xfId="0" applyFill="1" applyBorder="1"/>
    <xf numFmtId="0" fontId="0" fillId="0" borderId="35" xfId="0" applyBorder="1"/>
  </cellXfs>
  <cellStyles count="4">
    <cellStyle name="Calculation" xfId="2" builtinId="22"/>
    <cellStyle name="Input" xfId="1" builtinId="20"/>
    <cellStyle name="Normal" xfId="0" builtinId="0"/>
    <cellStyle name="Note" xfId="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v>vout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FromRatioCalculator!$P$10:$P$32</c:f>
              <c:numCache>
                <c:formatCode>General</c:formatCode>
                <c:ptCount val="23"/>
                <c:pt idx="0">
                  <c:v>5.6</c:v>
                </c:pt>
                <c:pt idx="1">
                  <c:v>5.5</c:v>
                </c:pt>
                <c:pt idx="2">
                  <c:v>5.4</c:v>
                </c:pt>
                <c:pt idx="3">
                  <c:v>5.3</c:v>
                </c:pt>
                <c:pt idx="4">
                  <c:v>5.2</c:v>
                </c:pt>
                <c:pt idx="5">
                  <c:v>5.0999999999999996</c:v>
                </c:pt>
                <c:pt idx="6">
                  <c:v>5</c:v>
                </c:pt>
                <c:pt idx="7">
                  <c:v>4.9000000000000004</c:v>
                </c:pt>
                <c:pt idx="8">
                  <c:v>4.8</c:v>
                </c:pt>
                <c:pt idx="9">
                  <c:v>4.7</c:v>
                </c:pt>
                <c:pt idx="10">
                  <c:v>4.5999999999999996</c:v>
                </c:pt>
                <c:pt idx="11">
                  <c:v>4.5</c:v>
                </c:pt>
                <c:pt idx="12">
                  <c:v>4.4000000000000004</c:v>
                </c:pt>
                <c:pt idx="13">
                  <c:v>4.3</c:v>
                </c:pt>
                <c:pt idx="14">
                  <c:v>4.2</c:v>
                </c:pt>
                <c:pt idx="15">
                  <c:v>4.1000000000000103</c:v>
                </c:pt>
                <c:pt idx="16">
                  <c:v>4.0000000000000098</c:v>
                </c:pt>
                <c:pt idx="17">
                  <c:v>3.9000000000000101</c:v>
                </c:pt>
                <c:pt idx="18">
                  <c:v>3.80000000000001</c:v>
                </c:pt>
                <c:pt idx="19">
                  <c:v>3.7000000000000099</c:v>
                </c:pt>
                <c:pt idx="20">
                  <c:v>3.6000000000000099</c:v>
                </c:pt>
                <c:pt idx="21">
                  <c:v>3.5000000000000102</c:v>
                </c:pt>
                <c:pt idx="22">
                  <c:v>3.4000000000000101</c:v>
                </c:pt>
              </c:numCache>
            </c:numRef>
          </c:cat>
          <c:val>
            <c:numRef>
              <c:f>FromRatioCalculator!$U$10:$U$32</c:f>
              <c:numCache>
                <c:formatCode>General</c:formatCode>
                <c:ptCount val="23"/>
                <c:pt idx="0">
                  <c:v>3.024</c:v>
                </c:pt>
                <c:pt idx="1">
                  <c:v>2.97</c:v>
                </c:pt>
                <c:pt idx="2">
                  <c:v>2.9160000000000004</c:v>
                </c:pt>
                <c:pt idx="3">
                  <c:v>2.8620000000000001</c:v>
                </c:pt>
                <c:pt idx="4">
                  <c:v>2.8080000000000003</c:v>
                </c:pt>
                <c:pt idx="5">
                  <c:v>2.754</c:v>
                </c:pt>
                <c:pt idx="6">
                  <c:v>2.7</c:v>
                </c:pt>
                <c:pt idx="7">
                  <c:v>2.6460000000000004</c:v>
                </c:pt>
                <c:pt idx="8">
                  <c:v>2.5920000000000001</c:v>
                </c:pt>
                <c:pt idx="9">
                  <c:v>2.5380000000000003</c:v>
                </c:pt>
                <c:pt idx="10">
                  <c:v>2.484</c:v>
                </c:pt>
                <c:pt idx="11">
                  <c:v>2.4300000000000002</c:v>
                </c:pt>
                <c:pt idx="12">
                  <c:v>3.8940000000000001</c:v>
                </c:pt>
                <c:pt idx="13">
                  <c:v>3.84</c:v>
                </c:pt>
                <c:pt idx="14">
                  <c:v>3.7630000000000003</c:v>
                </c:pt>
                <c:pt idx="15">
                  <c:v>3.6860000000000062</c:v>
                </c:pt>
                <c:pt idx="16">
                  <c:v>3.6090000000000053</c:v>
                </c:pt>
                <c:pt idx="17">
                  <c:v>3.5320000000000058</c:v>
                </c:pt>
                <c:pt idx="18">
                  <c:v>3.4250000000000052</c:v>
                </c:pt>
                <c:pt idx="19">
                  <c:v>3.350000000000005</c:v>
                </c:pt>
                <c:pt idx="20">
                  <c:v>3.2750000000000048</c:v>
                </c:pt>
                <c:pt idx="21">
                  <c:v>3.2000000000000051</c:v>
                </c:pt>
                <c:pt idx="22">
                  <c:v>3.1250000000000053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C3-4EEC-B96D-6E3336E7E958}"/>
            </c:ext>
          </c:extLst>
        </c:ser>
        <c:ser>
          <c:idx val="6"/>
          <c:order val="6"/>
          <c:tx>
            <c:v>vil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FromRatioCalculator!$P$10:$P$32</c:f>
              <c:numCache>
                <c:formatCode>General</c:formatCode>
                <c:ptCount val="23"/>
                <c:pt idx="0">
                  <c:v>5.6</c:v>
                </c:pt>
                <c:pt idx="1">
                  <c:v>5.5</c:v>
                </c:pt>
                <c:pt idx="2">
                  <c:v>5.4</c:v>
                </c:pt>
                <c:pt idx="3">
                  <c:v>5.3</c:v>
                </c:pt>
                <c:pt idx="4">
                  <c:v>5.2</c:v>
                </c:pt>
                <c:pt idx="5">
                  <c:v>5.0999999999999996</c:v>
                </c:pt>
                <c:pt idx="6">
                  <c:v>5</c:v>
                </c:pt>
                <c:pt idx="7">
                  <c:v>4.9000000000000004</c:v>
                </c:pt>
                <c:pt idx="8">
                  <c:v>4.8</c:v>
                </c:pt>
                <c:pt idx="9">
                  <c:v>4.7</c:v>
                </c:pt>
                <c:pt idx="10">
                  <c:v>4.5999999999999996</c:v>
                </c:pt>
                <c:pt idx="11">
                  <c:v>4.5</c:v>
                </c:pt>
                <c:pt idx="12">
                  <c:v>4.4000000000000004</c:v>
                </c:pt>
                <c:pt idx="13">
                  <c:v>4.3</c:v>
                </c:pt>
                <c:pt idx="14">
                  <c:v>4.2</c:v>
                </c:pt>
                <c:pt idx="15">
                  <c:v>4.1000000000000103</c:v>
                </c:pt>
                <c:pt idx="16">
                  <c:v>4.0000000000000098</c:v>
                </c:pt>
                <c:pt idx="17">
                  <c:v>3.9000000000000101</c:v>
                </c:pt>
                <c:pt idx="18">
                  <c:v>3.80000000000001</c:v>
                </c:pt>
                <c:pt idx="19">
                  <c:v>3.7000000000000099</c:v>
                </c:pt>
                <c:pt idx="20">
                  <c:v>3.6000000000000099</c:v>
                </c:pt>
                <c:pt idx="21">
                  <c:v>3.5000000000000102</c:v>
                </c:pt>
                <c:pt idx="22">
                  <c:v>3.4000000000000101</c:v>
                </c:pt>
              </c:numCache>
            </c:numRef>
          </c:cat>
          <c:val>
            <c:numRef>
              <c:f>FromRatioCalculator!$V$10:$V$32</c:f>
              <c:numCache>
                <c:formatCode>General</c:formatCode>
                <c:ptCount val="2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C3-4EEC-B96D-6E3336E7E958}"/>
            </c:ext>
          </c:extLst>
        </c:ser>
        <c:ser>
          <c:idx val="7"/>
          <c:order val="7"/>
          <c:tx>
            <c:v>vih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FromRatioCalculator!$P$10:$P$32</c:f>
              <c:numCache>
                <c:formatCode>General</c:formatCode>
                <c:ptCount val="23"/>
                <c:pt idx="0">
                  <c:v>5.6</c:v>
                </c:pt>
                <c:pt idx="1">
                  <c:v>5.5</c:v>
                </c:pt>
                <c:pt idx="2">
                  <c:v>5.4</c:v>
                </c:pt>
                <c:pt idx="3">
                  <c:v>5.3</c:v>
                </c:pt>
                <c:pt idx="4">
                  <c:v>5.2</c:v>
                </c:pt>
                <c:pt idx="5">
                  <c:v>5.0999999999999996</c:v>
                </c:pt>
                <c:pt idx="6">
                  <c:v>5</c:v>
                </c:pt>
                <c:pt idx="7">
                  <c:v>4.9000000000000004</c:v>
                </c:pt>
                <c:pt idx="8">
                  <c:v>4.8</c:v>
                </c:pt>
                <c:pt idx="9">
                  <c:v>4.7</c:v>
                </c:pt>
                <c:pt idx="10">
                  <c:v>4.5999999999999996</c:v>
                </c:pt>
                <c:pt idx="11">
                  <c:v>4.5</c:v>
                </c:pt>
                <c:pt idx="12">
                  <c:v>4.4000000000000004</c:v>
                </c:pt>
                <c:pt idx="13">
                  <c:v>4.3</c:v>
                </c:pt>
                <c:pt idx="14">
                  <c:v>4.2</c:v>
                </c:pt>
                <c:pt idx="15">
                  <c:v>4.1000000000000103</c:v>
                </c:pt>
                <c:pt idx="16">
                  <c:v>4.0000000000000098</c:v>
                </c:pt>
                <c:pt idx="17">
                  <c:v>3.9000000000000101</c:v>
                </c:pt>
                <c:pt idx="18">
                  <c:v>3.80000000000001</c:v>
                </c:pt>
                <c:pt idx="19">
                  <c:v>3.7000000000000099</c:v>
                </c:pt>
                <c:pt idx="20">
                  <c:v>3.6000000000000099</c:v>
                </c:pt>
                <c:pt idx="21">
                  <c:v>3.5000000000000102</c:v>
                </c:pt>
                <c:pt idx="22">
                  <c:v>3.4000000000000101</c:v>
                </c:pt>
              </c:numCache>
            </c:numRef>
          </c:cat>
          <c:val>
            <c:numRef>
              <c:f>FromRatioCalculator!$W$10:$W$32</c:f>
              <c:numCache>
                <c:formatCode>General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C3-4EEC-B96D-6E3336E7E958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FromRatioCalculator!$X$10:$X$32</c:f>
              <c:numCache>
                <c:formatCode>General</c:formatCode>
                <c:ptCount val="23"/>
                <c:pt idx="0">
                  <c:v>3.08</c:v>
                </c:pt>
                <c:pt idx="1">
                  <c:v>3.0250000000000004</c:v>
                </c:pt>
                <c:pt idx="2">
                  <c:v>2.9700000000000006</c:v>
                </c:pt>
                <c:pt idx="3">
                  <c:v>2.915</c:v>
                </c:pt>
                <c:pt idx="4">
                  <c:v>2.8600000000000003</c:v>
                </c:pt>
                <c:pt idx="5">
                  <c:v>2.8050000000000002</c:v>
                </c:pt>
                <c:pt idx="6">
                  <c:v>2.75</c:v>
                </c:pt>
                <c:pt idx="7">
                  <c:v>2.6950000000000003</c:v>
                </c:pt>
                <c:pt idx="8">
                  <c:v>2.64</c:v>
                </c:pt>
                <c:pt idx="9">
                  <c:v>2.5850000000000004</c:v>
                </c:pt>
                <c:pt idx="10">
                  <c:v>2.5299999999999998</c:v>
                </c:pt>
                <c:pt idx="11">
                  <c:v>2.4750000000000001</c:v>
                </c:pt>
                <c:pt idx="12">
                  <c:v>2.4200000000000004</c:v>
                </c:pt>
                <c:pt idx="13">
                  <c:v>2.3650000000000002</c:v>
                </c:pt>
                <c:pt idx="14">
                  <c:v>2.3100000000000005</c:v>
                </c:pt>
                <c:pt idx="15">
                  <c:v>2.2550000000000057</c:v>
                </c:pt>
                <c:pt idx="16">
                  <c:v>2.2000000000000055</c:v>
                </c:pt>
                <c:pt idx="17">
                  <c:v>2.1450000000000058</c:v>
                </c:pt>
                <c:pt idx="18">
                  <c:v>2.0900000000000056</c:v>
                </c:pt>
                <c:pt idx="19">
                  <c:v>2.0350000000000055</c:v>
                </c:pt>
                <c:pt idx="20">
                  <c:v>1.9800000000000055</c:v>
                </c:pt>
                <c:pt idx="21">
                  <c:v>1.9250000000000058</c:v>
                </c:pt>
                <c:pt idx="22">
                  <c:v>1.8700000000000057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C3-4EEC-B96D-6E3336E7E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4808368"/>
        <c:axId val="12748170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va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FromRatioCalculator!$P$10:$P$32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5.6</c:v>
                      </c:pt>
                      <c:pt idx="1">
                        <c:v>5.5</c:v>
                      </c:pt>
                      <c:pt idx="2">
                        <c:v>5.4</c:v>
                      </c:pt>
                      <c:pt idx="3">
                        <c:v>5.3</c:v>
                      </c:pt>
                      <c:pt idx="4">
                        <c:v>5.2</c:v>
                      </c:pt>
                      <c:pt idx="5">
                        <c:v>5.0999999999999996</c:v>
                      </c:pt>
                      <c:pt idx="6">
                        <c:v>5</c:v>
                      </c:pt>
                      <c:pt idx="7">
                        <c:v>4.9000000000000004</c:v>
                      </c:pt>
                      <c:pt idx="8">
                        <c:v>4.8</c:v>
                      </c:pt>
                      <c:pt idx="9">
                        <c:v>4.7</c:v>
                      </c:pt>
                      <c:pt idx="10">
                        <c:v>4.5999999999999996</c:v>
                      </c:pt>
                      <c:pt idx="11">
                        <c:v>4.5</c:v>
                      </c:pt>
                      <c:pt idx="12">
                        <c:v>4.4000000000000004</c:v>
                      </c:pt>
                      <c:pt idx="13">
                        <c:v>4.3</c:v>
                      </c:pt>
                      <c:pt idx="14">
                        <c:v>4.2</c:v>
                      </c:pt>
                      <c:pt idx="15">
                        <c:v>4.1000000000000103</c:v>
                      </c:pt>
                      <c:pt idx="16">
                        <c:v>4.0000000000000098</c:v>
                      </c:pt>
                      <c:pt idx="17">
                        <c:v>3.9000000000000101</c:v>
                      </c:pt>
                      <c:pt idx="18">
                        <c:v>3.80000000000001</c:v>
                      </c:pt>
                      <c:pt idx="19">
                        <c:v>3.7000000000000099</c:v>
                      </c:pt>
                      <c:pt idx="20">
                        <c:v>3.6000000000000099</c:v>
                      </c:pt>
                      <c:pt idx="21">
                        <c:v>3.5000000000000102</c:v>
                      </c:pt>
                      <c:pt idx="22">
                        <c:v>3.4000000000000101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FromRatioCalculator!$P$10:$P$32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5.6</c:v>
                      </c:pt>
                      <c:pt idx="1">
                        <c:v>5.5</c:v>
                      </c:pt>
                      <c:pt idx="2">
                        <c:v>5.4</c:v>
                      </c:pt>
                      <c:pt idx="3">
                        <c:v>5.3</c:v>
                      </c:pt>
                      <c:pt idx="4">
                        <c:v>5.2</c:v>
                      </c:pt>
                      <c:pt idx="5">
                        <c:v>5.0999999999999996</c:v>
                      </c:pt>
                      <c:pt idx="6">
                        <c:v>5</c:v>
                      </c:pt>
                      <c:pt idx="7">
                        <c:v>4.9000000000000004</c:v>
                      </c:pt>
                      <c:pt idx="8">
                        <c:v>4.8</c:v>
                      </c:pt>
                      <c:pt idx="9">
                        <c:v>4.7</c:v>
                      </c:pt>
                      <c:pt idx="10">
                        <c:v>4.5999999999999996</c:v>
                      </c:pt>
                      <c:pt idx="11">
                        <c:v>4.5</c:v>
                      </c:pt>
                      <c:pt idx="12">
                        <c:v>4.4000000000000004</c:v>
                      </c:pt>
                      <c:pt idx="13">
                        <c:v>4.3</c:v>
                      </c:pt>
                      <c:pt idx="14">
                        <c:v>4.2</c:v>
                      </c:pt>
                      <c:pt idx="15">
                        <c:v>4.1000000000000103</c:v>
                      </c:pt>
                      <c:pt idx="16">
                        <c:v>4.0000000000000098</c:v>
                      </c:pt>
                      <c:pt idx="17">
                        <c:v>3.9000000000000101</c:v>
                      </c:pt>
                      <c:pt idx="18">
                        <c:v>3.80000000000001</c:v>
                      </c:pt>
                      <c:pt idx="19">
                        <c:v>3.7000000000000099</c:v>
                      </c:pt>
                      <c:pt idx="20">
                        <c:v>3.6000000000000099</c:v>
                      </c:pt>
                      <c:pt idx="21">
                        <c:v>3.5000000000000102</c:v>
                      </c:pt>
                      <c:pt idx="22">
                        <c:v>3.4000000000000101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9C3-4EEC-B96D-6E3336E7E9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v>vb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FromRatioCalculator!$P$10:$P$32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5.6</c:v>
                      </c:pt>
                      <c:pt idx="1">
                        <c:v>5.5</c:v>
                      </c:pt>
                      <c:pt idx="2">
                        <c:v>5.4</c:v>
                      </c:pt>
                      <c:pt idx="3">
                        <c:v>5.3</c:v>
                      </c:pt>
                      <c:pt idx="4">
                        <c:v>5.2</c:v>
                      </c:pt>
                      <c:pt idx="5">
                        <c:v>5.0999999999999996</c:v>
                      </c:pt>
                      <c:pt idx="6">
                        <c:v>5</c:v>
                      </c:pt>
                      <c:pt idx="7">
                        <c:v>4.9000000000000004</c:v>
                      </c:pt>
                      <c:pt idx="8">
                        <c:v>4.8</c:v>
                      </c:pt>
                      <c:pt idx="9">
                        <c:v>4.7</c:v>
                      </c:pt>
                      <c:pt idx="10">
                        <c:v>4.5999999999999996</c:v>
                      </c:pt>
                      <c:pt idx="11">
                        <c:v>4.5</c:v>
                      </c:pt>
                      <c:pt idx="12">
                        <c:v>4.4000000000000004</c:v>
                      </c:pt>
                      <c:pt idx="13">
                        <c:v>4.3</c:v>
                      </c:pt>
                      <c:pt idx="14">
                        <c:v>4.2</c:v>
                      </c:pt>
                      <c:pt idx="15">
                        <c:v>4.1000000000000103</c:v>
                      </c:pt>
                      <c:pt idx="16">
                        <c:v>4.0000000000000098</c:v>
                      </c:pt>
                      <c:pt idx="17">
                        <c:v>3.9000000000000101</c:v>
                      </c:pt>
                      <c:pt idx="18">
                        <c:v>3.80000000000001</c:v>
                      </c:pt>
                      <c:pt idx="19">
                        <c:v>3.7000000000000099</c:v>
                      </c:pt>
                      <c:pt idx="20">
                        <c:v>3.6000000000000099</c:v>
                      </c:pt>
                      <c:pt idx="21">
                        <c:v>3.5000000000000102</c:v>
                      </c:pt>
                      <c:pt idx="22">
                        <c:v>3.4000000000000101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FromRatioCalculator!$Q$10:$Q$32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3.3</c:v>
                      </c:pt>
                      <c:pt idx="13">
                        <c:v>3.3</c:v>
                      </c:pt>
                      <c:pt idx="14">
                        <c:v>3.25</c:v>
                      </c:pt>
                      <c:pt idx="15">
                        <c:v>3.2</c:v>
                      </c:pt>
                      <c:pt idx="16">
                        <c:v>3.15</c:v>
                      </c:pt>
                      <c:pt idx="17">
                        <c:v>3.1</c:v>
                      </c:pt>
                      <c:pt idx="18">
                        <c:v>3.05</c:v>
                      </c:pt>
                      <c:pt idx="19">
                        <c:v>3</c:v>
                      </c:pt>
                      <c:pt idx="20">
                        <c:v>2.95</c:v>
                      </c:pt>
                      <c:pt idx="21">
                        <c:v>2.9</c:v>
                      </c:pt>
                      <c:pt idx="22">
                        <c:v>2.85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9C3-4EEC-B96D-6E3336E7E95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ratio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FromRatioCalculator!$P$10:$P$32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5.6</c:v>
                      </c:pt>
                      <c:pt idx="1">
                        <c:v>5.5</c:v>
                      </c:pt>
                      <c:pt idx="2">
                        <c:v>5.4</c:v>
                      </c:pt>
                      <c:pt idx="3">
                        <c:v>5.3</c:v>
                      </c:pt>
                      <c:pt idx="4">
                        <c:v>5.2</c:v>
                      </c:pt>
                      <c:pt idx="5">
                        <c:v>5.0999999999999996</c:v>
                      </c:pt>
                      <c:pt idx="6">
                        <c:v>5</c:v>
                      </c:pt>
                      <c:pt idx="7">
                        <c:v>4.9000000000000004</c:v>
                      </c:pt>
                      <c:pt idx="8">
                        <c:v>4.8</c:v>
                      </c:pt>
                      <c:pt idx="9">
                        <c:v>4.7</c:v>
                      </c:pt>
                      <c:pt idx="10">
                        <c:v>4.5999999999999996</c:v>
                      </c:pt>
                      <c:pt idx="11">
                        <c:v>4.5</c:v>
                      </c:pt>
                      <c:pt idx="12">
                        <c:v>4.4000000000000004</c:v>
                      </c:pt>
                      <c:pt idx="13">
                        <c:v>4.3</c:v>
                      </c:pt>
                      <c:pt idx="14">
                        <c:v>4.2</c:v>
                      </c:pt>
                      <c:pt idx="15">
                        <c:v>4.1000000000000103</c:v>
                      </c:pt>
                      <c:pt idx="16">
                        <c:v>4.0000000000000098</c:v>
                      </c:pt>
                      <c:pt idx="17">
                        <c:v>3.9000000000000101</c:v>
                      </c:pt>
                      <c:pt idx="18">
                        <c:v>3.80000000000001</c:v>
                      </c:pt>
                      <c:pt idx="19">
                        <c:v>3.7000000000000099</c:v>
                      </c:pt>
                      <c:pt idx="20">
                        <c:v>3.6000000000000099</c:v>
                      </c:pt>
                      <c:pt idx="21">
                        <c:v>3.5000000000000102</c:v>
                      </c:pt>
                      <c:pt idx="22">
                        <c:v>3.4000000000000101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FromRatioCalculator!$R$10:$R$32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0.54</c:v>
                      </c:pt>
                      <c:pt idx="1">
                        <c:v>0.54</c:v>
                      </c:pt>
                      <c:pt idx="2">
                        <c:v>0.54</c:v>
                      </c:pt>
                      <c:pt idx="3">
                        <c:v>0.54</c:v>
                      </c:pt>
                      <c:pt idx="4">
                        <c:v>0.54</c:v>
                      </c:pt>
                      <c:pt idx="5">
                        <c:v>0.54</c:v>
                      </c:pt>
                      <c:pt idx="6">
                        <c:v>0.54</c:v>
                      </c:pt>
                      <c:pt idx="7">
                        <c:v>0.54</c:v>
                      </c:pt>
                      <c:pt idx="8">
                        <c:v>0.54</c:v>
                      </c:pt>
                      <c:pt idx="9">
                        <c:v>0.54</c:v>
                      </c:pt>
                      <c:pt idx="10">
                        <c:v>0.54</c:v>
                      </c:pt>
                      <c:pt idx="11">
                        <c:v>0.54</c:v>
                      </c:pt>
                      <c:pt idx="12">
                        <c:v>0.54</c:v>
                      </c:pt>
                      <c:pt idx="13">
                        <c:v>0.54</c:v>
                      </c:pt>
                      <c:pt idx="14">
                        <c:v>0.54</c:v>
                      </c:pt>
                      <c:pt idx="15">
                        <c:v>0.54</c:v>
                      </c:pt>
                      <c:pt idx="16">
                        <c:v>0.54</c:v>
                      </c:pt>
                      <c:pt idx="17">
                        <c:v>0.54</c:v>
                      </c:pt>
                      <c:pt idx="18">
                        <c:v>0.5</c:v>
                      </c:pt>
                      <c:pt idx="19">
                        <c:v>0.5</c:v>
                      </c:pt>
                      <c:pt idx="20">
                        <c:v>0.5</c:v>
                      </c:pt>
                      <c:pt idx="21">
                        <c:v>0.5</c:v>
                      </c:pt>
                      <c:pt idx="22">
                        <c:v>0.5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C3-4EEC-B96D-6E3336E7E958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FromRatioCalculator!$P$10:$P$32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5.6</c:v>
                      </c:pt>
                      <c:pt idx="1">
                        <c:v>5.5</c:v>
                      </c:pt>
                      <c:pt idx="2">
                        <c:v>5.4</c:v>
                      </c:pt>
                      <c:pt idx="3">
                        <c:v>5.3</c:v>
                      </c:pt>
                      <c:pt idx="4">
                        <c:v>5.2</c:v>
                      </c:pt>
                      <c:pt idx="5">
                        <c:v>5.0999999999999996</c:v>
                      </c:pt>
                      <c:pt idx="6">
                        <c:v>5</c:v>
                      </c:pt>
                      <c:pt idx="7">
                        <c:v>4.9000000000000004</c:v>
                      </c:pt>
                      <c:pt idx="8">
                        <c:v>4.8</c:v>
                      </c:pt>
                      <c:pt idx="9">
                        <c:v>4.7</c:v>
                      </c:pt>
                      <c:pt idx="10">
                        <c:v>4.5999999999999996</c:v>
                      </c:pt>
                      <c:pt idx="11">
                        <c:v>4.5</c:v>
                      </c:pt>
                      <c:pt idx="12">
                        <c:v>4.4000000000000004</c:v>
                      </c:pt>
                      <c:pt idx="13">
                        <c:v>4.3</c:v>
                      </c:pt>
                      <c:pt idx="14">
                        <c:v>4.2</c:v>
                      </c:pt>
                      <c:pt idx="15">
                        <c:v>4.1000000000000103</c:v>
                      </c:pt>
                      <c:pt idx="16">
                        <c:v>4.0000000000000098</c:v>
                      </c:pt>
                      <c:pt idx="17">
                        <c:v>3.9000000000000101</c:v>
                      </c:pt>
                      <c:pt idx="18">
                        <c:v>3.80000000000001</c:v>
                      </c:pt>
                      <c:pt idx="19">
                        <c:v>3.7000000000000099</c:v>
                      </c:pt>
                      <c:pt idx="20">
                        <c:v>3.6000000000000099</c:v>
                      </c:pt>
                      <c:pt idx="21">
                        <c:v>3.5000000000000102</c:v>
                      </c:pt>
                      <c:pt idx="22">
                        <c:v>3.4000000000000101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FromRatioCalculator!$S$10:$S$32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C3-4EEC-B96D-6E3336E7E958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FromRatioCalculator!$P$10:$P$32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5.6</c:v>
                      </c:pt>
                      <c:pt idx="1">
                        <c:v>5.5</c:v>
                      </c:pt>
                      <c:pt idx="2">
                        <c:v>5.4</c:v>
                      </c:pt>
                      <c:pt idx="3">
                        <c:v>5.3</c:v>
                      </c:pt>
                      <c:pt idx="4">
                        <c:v>5.2</c:v>
                      </c:pt>
                      <c:pt idx="5">
                        <c:v>5.0999999999999996</c:v>
                      </c:pt>
                      <c:pt idx="6">
                        <c:v>5</c:v>
                      </c:pt>
                      <c:pt idx="7">
                        <c:v>4.9000000000000004</c:v>
                      </c:pt>
                      <c:pt idx="8">
                        <c:v>4.8</c:v>
                      </c:pt>
                      <c:pt idx="9">
                        <c:v>4.7</c:v>
                      </c:pt>
                      <c:pt idx="10">
                        <c:v>4.5999999999999996</c:v>
                      </c:pt>
                      <c:pt idx="11">
                        <c:v>4.5</c:v>
                      </c:pt>
                      <c:pt idx="12">
                        <c:v>4.4000000000000004</c:v>
                      </c:pt>
                      <c:pt idx="13">
                        <c:v>4.3</c:v>
                      </c:pt>
                      <c:pt idx="14">
                        <c:v>4.2</c:v>
                      </c:pt>
                      <c:pt idx="15">
                        <c:v>4.1000000000000103</c:v>
                      </c:pt>
                      <c:pt idx="16">
                        <c:v>4.0000000000000098</c:v>
                      </c:pt>
                      <c:pt idx="17">
                        <c:v>3.9000000000000101</c:v>
                      </c:pt>
                      <c:pt idx="18">
                        <c:v>3.80000000000001</c:v>
                      </c:pt>
                      <c:pt idx="19">
                        <c:v>3.7000000000000099</c:v>
                      </c:pt>
                      <c:pt idx="20">
                        <c:v>3.6000000000000099</c:v>
                      </c:pt>
                      <c:pt idx="21">
                        <c:v>3.5000000000000102</c:v>
                      </c:pt>
                      <c:pt idx="22">
                        <c:v>3.4000000000000101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FromRatioCalculator!$T$10:$T$32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11739.13043478261</c:v>
                      </c:pt>
                      <c:pt idx="1">
                        <c:v>11739.13043478261</c:v>
                      </c:pt>
                      <c:pt idx="2">
                        <c:v>11739.13043478261</c:v>
                      </c:pt>
                      <c:pt idx="3">
                        <c:v>11739.13043478261</c:v>
                      </c:pt>
                      <c:pt idx="4">
                        <c:v>11739.13043478261</c:v>
                      </c:pt>
                      <c:pt idx="5">
                        <c:v>11739.13043478261</c:v>
                      </c:pt>
                      <c:pt idx="6">
                        <c:v>11739.13043478261</c:v>
                      </c:pt>
                      <c:pt idx="7">
                        <c:v>11739.13043478261</c:v>
                      </c:pt>
                      <c:pt idx="8">
                        <c:v>11739.13043478261</c:v>
                      </c:pt>
                      <c:pt idx="9">
                        <c:v>11739.13043478261</c:v>
                      </c:pt>
                      <c:pt idx="10">
                        <c:v>11739.13043478261</c:v>
                      </c:pt>
                      <c:pt idx="11">
                        <c:v>11739.13043478261</c:v>
                      </c:pt>
                      <c:pt idx="12">
                        <c:v>11739.13043478261</c:v>
                      </c:pt>
                      <c:pt idx="13">
                        <c:v>11739.13043478261</c:v>
                      </c:pt>
                      <c:pt idx="14">
                        <c:v>11739.13043478261</c:v>
                      </c:pt>
                      <c:pt idx="15">
                        <c:v>11739.13043478261</c:v>
                      </c:pt>
                      <c:pt idx="16">
                        <c:v>11739.13043478261</c:v>
                      </c:pt>
                      <c:pt idx="17">
                        <c:v>11739.13043478261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C3-4EEC-B96D-6E3336E7E958}"/>
                  </c:ext>
                </c:extLst>
              </c15:ser>
            </c15:filteredLineSeries>
          </c:ext>
        </c:extLst>
      </c:lineChart>
      <c:catAx>
        <c:axId val="127480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817008"/>
        <c:crosses val="autoZero"/>
        <c:auto val="1"/>
        <c:lblAlgn val="ctr"/>
        <c:lblOffset val="100"/>
        <c:noMultiLvlLbl val="0"/>
      </c:catAx>
      <c:valAx>
        <c:axId val="127481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80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457200</xdr:colOff>
      <xdr:row>46</xdr:row>
      <xdr:rowOff>180976</xdr:rowOff>
    </xdr:from>
    <xdr:to>
      <xdr:col>54</xdr:col>
      <xdr:colOff>552450</xdr:colOff>
      <xdr:row>78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754A26-FD69-4619-81E3-CD7004644F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Adrian.%20Projects\ResistorCalculator\FdWs%20E96,%20E48%20and%20E24%20Resistor%20Table%20and%20Calculator;%20V41\VoltageDividers.xlsm" TargetMode="External"/><Relationship Id="rId1" Type="http://schemas.openxmlformats.org/officeDocument/2006/relationships/externalLinkPath" Target="/Adrian.%20Projects/ResistorCalculator/FdWs%20E96,%20E48%20and%20E24%20Resistor%20Table%20and%20Calculator;%20V41/VoltageDivid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mRatioCalculator"/>
    </sheetNames>
    <sheetDataSet>
      <sheetData sheetId="0">
        <row r="10">
          <cell r="P10">
            <v>5.6</v>
          </cell>
          <cell r="Q10">
            <v>0</v>
          </cell>
          <cell r="R10">
            <v>0.54</v>
          </cell>
          <cell r="S10">
            <v>10000</v>
          </cell>
          <cell r="T10">
            <v>11739.13043478261</v>
          </cell>
          <cell r="U10">
            <v>3.024</v>
          </cell>
          <cell r="V10">
            <v>0.9</v>
          </cell>
          <cell r="W10">
            <v>2</v>
          </cell>
          <cell r="X10">
            <v>3.08</v>
          </cell>
        </row>
        <row r="11">
          <cell r="P11">
            <v>5.5</v>
          </cell>
          <cell r="Q11">
            <v>0</v>
          </cell>
          <cell r="R11">
            <v>0.54</v>
          </cell>
          <cell r="S11">
            <v>10000</v>
          </cell>
          <cell r="T11">
            <v>11739.13043478261</v>
          </cell>
          <cell r="U11">
            <v>2.97</v>
          </cell>
          <cell r="V11">
            <v>0.9</v>
          </cell>
          <cell r="W11">
            <v>2</v>
          </cell>
          <cell r="X11">
            <v>3.0250000000000004</v>
          </cell>
        </row>
        <row r="12">
          <cell r="P12">
            <v>5.4</v>
          </cell>
          <cell r="Q12">
            <v>0</v>
          </cell>
          <cell r="R12">
            <v>0.54</v>
          </cell>
          <cell r="S12">
            <v>10000</v>
          </cell>
          <cell r="T12">
            <v>11739.13043478261</v>
          </cell>
          <cell r="U12">
            <v>2.9160000000000004</v>
          </cell>
          <cell r="V12">
            <v>0.9</v>
          </cell>
          <cell r="W12">
            <v>2</v>
          </cell>
          <cell r="X12">
            <v>2.9700000000000006</v>
          </cell>
        </row>
        <row r="13">
          <cell r="P13">
            <v>5.3</v>
          </cell>
          <cell r="Q13">
            <v>0</v>
          </cell>
          <cell r="R13">
            <v>0.54</v>
          </cell>
          <cell r="S13">
            <v>10000</v>
          </cell>
          <cell r="T13">
            <v>11739.13043478261</v>
          </cell>
          <cell r="U13">
            <v>2.8620000000000001</v>
          </cell>
          <cell r="V13">
            <v>0.9</v>
          </cell>
          <cell r="W13">
            <v>2</v>
          </cell>
          <cell r="X13">
            <v>2.915</v>
          </cell>
        </row>
        <row r="14">
          <cell r="P14">
            <v>5.2</v>
          </cell>
          <cell r="Q14">
            <v>0</v>
          </cell>
          <cell r="R14">
            <v>0.54</v>
          </cell>
          <cell r="S14">
            <v>10000</v>
          </cell>
          <cell r="T14">
            <v>11739.13043478261</v>
          </cell>
          <cell r="U14">
            <v>2.8080000000000003</v>
          </cell>
          <cell r="V14">
            <v>0.9</v>
          </cell>
          <cell r="W14">
            <v>2</v>
          </cell>
          <cell r="X14">
            <v>2.8600000000000003</v>
          </cell>
        </row>
        <row r="15">
          <cell r="P15">
            <v>5.0999999999999996</v>
          </cell>
          <cell r="Q15">
            <v>0</v>
          </cell>
          <cell r="R15">
            <v>0.54</v>
          </cell>
          <cell r="S15">
            <v>10000</v>
          </cell>
          <cell r="T15">
            <v>11739.13043478261</v>
          </cell>
          <cell r="U15">
            <v>2.754</v>
          </cell>
          <cell r="V15">
            <v>0.9</v>
          </cell>
          <cell r="W15">
            <v>2</v>
          </cell>
          <cell r="X15">
            <v>2.8050000000000002</v>
          </cell>
        </row>
        <row r="16">
          <cell r="P16">
            <v>5</v>
          </cell>
          <cell r="Q16">
            <v>0</v>
          </cell>
          <cell r="R16">
            <v>0.54</v>
          </cell>
          <cell r="S16">
            <v>10000</v>
          </cell>
          <cell r="T16">
            <v>11739.13043478261</v>
          </cell>
          <cell r="U16">
            <v>2.7</v>
          </cell>
          <cell r="V16">
            <v>0.9</v>
          </cell>
          <cell r="W16">
            <v>2</v>
          </cell>
          <cell r="X16">
            <v>2.75</v>
          </cell>
        </row>
        <row r="17">
          <cell r="P17">
            <v>4.9000000000000004</v>
          </cell>
          <cell r="Q17">
            <v>0</v>
          </cell>
          <cell r="R17">
            <v>0.54</v>
          </cell>
          <cell r="S17">
            <v>10000</v>
          </cell>
          <cell r="T17">
            <v>11739.13043478261</v>
          </cell>
          <cell r="U17">
            <v>2.6460000000000004</v>
          </cell>
          <cell r="V17">
            <v>0.9</v>
          </cell>
          <cell r="W17">
            <v>2</v>
          </cell>
          <cell r="X17">
            <v>2.6950000000000003</v>
          </cell>
        </row>
        <row r="18">
          <cell r="P18">
            <v>4.8</v>
          </cell>
          <cell r="Q18">
            <v>0</v>
          </cell>
          <cell r="R18">
            <v>0.54</v>
          </cell>
          <cell r="S18">
            <v>10000</v>
          </cell>
          <cell r="T18">
            <v>11739.13043478261</v>
          </cell>
          <cell r="U18">
            <v>2.5920000000000001</v>
          </cell>
          <cell r="V18">
            <v>0.9</v>
          </cell>
          <cell r="W18">
            <v>2</v>
          </cell>
          <cell r="X18">
            <v>2.64</v>
          </cell>
        </row>
        <row r="19">
          <cell r="P19">
            <v>4.7</v>
          </cell>
          <cell r="Q19">
            <v>0</v>
          </cell>
          <cell r="R19">
            <v>0.54</v>
          </cell>
          <cell r="S19">
            <v>10000</v>
          </cell>
          <cell r="T19">
            <v>11739.13043478261</v>
          </cell>
          <cell r="U19">
            <v>2.5380000000000003</v>
          </cell>
          <cell r="V19">
            <v>0.9</v>
          </cell>
          <cell r="W19">
            <v>2</v>
          </cell>
          <cell r="X19">
            <v>2.5850000000000004</v>
          </cell>
        </row>
        <row r="20">
          <cell r="P20">
            <v>4.5999999999999996</v>
          </cell>
          <cell r="Q20">
            <v>0</v>
          </cell>
          <cell r="R20">
            <v>0.54</v>
          </cell>
          <cell r="S20">
            <v>10000</v>
          </cell>
          <cell r="T20">
            <v>11739.13043478261</v>
          </cell>
          <cell r="U20">
            <v>2.484</v>
          </cell>
          <cell r="V20">
            <v>0.9</v>
          </cell>
          <cell r="W20">
            <v>2</v>
          </cell>
          <cell r="X20">
            <v>2.5299999999999998</v>
          </cell>
        </row>
        <row r="21">
          <cell r="P21">
            <v>4.5</v>
          </cell>
          <cell r="Q21">
            <v>0</v>
          </cell>
          <cell r="R21">
            <v>0.54</v>
          </cell>
          <cell r="S21">
            <v>10000</v>
          </cell>
          <cell r="T21">
            <v>11739.13043478261</v>
          </cell>
          <cell r="U21">
            <v>2.4300000000000002</v>
          </cell>
          <cell r="V21">
            <v>0.9</v>
          </cell>
          <cell r="W21">
            <v>2</v>
          </cell>
          <cell r="X21">
            <v>2.4750000000000001</v>
          </cell>
        </row>
        <row r="22">
          <cell r="P22">
            <v>4.4000000000000004</v>
          </cell>
          <cell r="Q22">
            <v>3.3</v>
          </cell>
          <cell r="R22">
            <v>0.54</v>
          </cell>
          <cell r="S22">
            <v>10000</v>
          </cell>
          <cell r="T22">
            <v>11739.13043478261</v>
          </cell>
          <cell r="U22">
            <v>3.8940000000000001</v>
          </cell>
          <cell r="V22">
            <v>0.9</v>
          </cell>
          <cell r="W22">
            <v>2</v>
          </cell>
          <cell r="X22">
            <v>2.4200000000000004</v>
          </cell>
        </row>
        <row r="23">
          <cell r="P23">
            <v>4.3</v>
          </cell>
          <cell r="Q23">
            <v>3.3</v>
          </cell>
          <cell r="R23">
            <v>0.54</v>
          </cell>
          <cell r="S23">
            <v>10000</v>
          </cell>
          <cell r="T23">
            <v>11739.13043478261</v>
          </cell>
          <cell r="U23">
            <v>3.84</v>
          </cell>
          <cell r="V23">
            <v>0.9</v>
          </cell>
          <cell r="W23">
            <v>2</v>
          </cell>
          <cell r="X23">
            <v>2.3650000000000002</v>
          </cell>
        </row>
        <row r="24">
          <cell r="P24">
            <v>4.2</v>
          </cell>
          <cell r="Q24">
            <v>3.25</v>
          </cell>
          <cell r="R24">
            <v>0.54</v>
          </cell>
          <cell r="S24">
            <v>10000</v>
          </cell>
          <cell r="T24">
            <v>11739.13043478261</v>
          </cell>
          <cell r="U24">
            <v>3.7630000000000003</v>
          </cell>
          <cell r="V24">
            <v>0.9</v>
          </cell>
          <cell r="W24">
            <v>2</v>
          </cell>
          <cell r="X24">
            <v>2.3100000000000005</v>
          </cell>
        </row>
        <row r="25">
          <cell r="P25">
            <v>4.1000000000000103</v>
          </cell>
          <cell r="Q25">
            <v>3.2</v>
          </cell>
          <cell r="R25">
            <v>0.54</v>
          </cell>
          <cell r="S25">
            <v>10000</v>
          </cell>
          <cell r="T25">
            <v>11739.13043478261</v>
          </cell>
          <cell r="U25">
            <v>3.6860000000000062</v>
          </cell>
          <cell r="V25">
            <v>0.9</v>
          </cell>
          <cell r="W25">
            <v>2</v>
          </cell>
          <cell r="X25">
            <v>2.2550000000000057</v>
          </cell>
        </row>
        <row r="26">
          <cell r="P26">
            <v>4.0000000000000098</v>
          </cell>
          <cell r="Q26">
            <v>3.15</v>
          </cell>
          <cell r="R26">
            <v>0.54</v>
          </cell>
          <cell r="S26">
            <v>10000</v>
          </cell>
          <cell r="T26">
            <v>11739.13043478261</v>
          </cell>
          <cell r="U26">
            <v>3.6090000000000053</v>
          </cell>
          <cell r="V26">
            <v>0.9</v>
          </cell>
          <cell r="W26">
            <v>2</v>
          </cell>
          <cell r="X26">
            <v>2.2000000000000055</v>
          </cell>
        </row>
        <row r="27">
          <cell r="P27">
            <v>3.9000000000000101</v>
          </cell>
          <cell r="Q27">
            <v>3.1</v>
          </cell>
          <cell r="R27">
            <v>0.54</v>
          </cell>
          <cell r="S27">
            <v>10000</v>
          </cell>
          <cell r="T27">
            <v>11739.13043478261</v>
          </cell>
          <cell r="U27">
            <v>3.5320000000000058</v>
          </cell>
          <cell r="V27">
            <v>0.9</v>
          </cell>
          <cell r="W27">
            <v>2</v>
          </cell>
          <cell r="X27">
            <v>2.1450000000000058</v>
          </cell>
        </row>
        <row r="28">
          <cell r="P28">
            <v>3.80000000000001</v>
          </cell>
          <cell r="Q28">
            <v>3.05</v>
          </cell>
          <cell r="R28">
            <v>0.5</v>
          </cell>
          <cell r="S28">
            <v>10000</v>
          </cell>
          <cell r="T28">
            <v>10000</v>
          </cell>
          <cell r="U28">
            <v>3.4250000000000052</v>
          </cell>
          <cell r="V28">
            <v>0.9</v>
          </cell>
          <cell r="W28">
            <v>2</v>
          </cell>
          <cell r="X28">
            <v>2.0900000000000056</v>
          </cell>
        </row>
        <row r="29">
          <cell r="P29">
            <v>3.7000000000000099</v>
          </cell>
          <cell r="Q29">
            <v>3</v>
          </cell>
          <cell r="R29">
            <v>0.5</v>
          </cell>
          <cell r="S29">
            <v>10000</v>
          </cell>
          <cell r="T29">
            <v>10000</v>
          </cell>
          <cell r="U29">
            <v>3.350000000000005</v>
          </cell>
          <cell r="V29">
            <v>0.9</v>
          </cell>
          <cell r="W29">
            <v>2</v>
          </cell>
          <cell r="X29">
            <v>2.0350000000000055</v>
          </cell>
        </row>
        <row r="30">
          <cell r="P30">
            <v>3.6000000000000099</v>
          </cell>
          <cell r="Q30">
            <v>2.95</v>
          </cell>
          <cell r="R30">
            <v>0.5</v>
          </cell>
          <cell r="S30">
            <v>10000</v>
          </cell>
          <cell r="T30">
            <v>10000</v>
          </cell>
          <cell r="U30">
            <v>3.2750000000000048</v>
          </cell>
          <cell r="V30">
            <v>0.9</v>
          </cell>
          <cell r="W30">
            <v>2</v>
          </cell>
          <cell r="X30">
            <v>1.9800000000000055</v>
          </cell>
        </row>
        <row r="31">
          <cell r="P31">
            <v>3.5000000000000102</v>
          </cell>
          <cell r="Q31">
            <v>2.9</v>
          </cell>
          <cell r="R31">
            <v>0.5</v>
          </cell>
          <cell r="S31">
            <v>10000</v>
          </cell>
          <cell r="T31">
            <v>10000</v>
          </cell>
          <cell r="U31">
            <v>3.2000000000000051</v>
          </cell>
          <cell r="V31">
            <v>0.9</v>
          </cell>
          <cell r="W31">
            <v>2</v>
          </cell>
          <cell r="X31">
            <v>1.9250000000000058</v>
          </cell>
        </row>
        <row r="32">
          <cell r="P32">
            <v>3.4000000000000101</v>
          </cell>
          <cell r="Q32">
            <v>2.85</v>
          </cell>
          <cell r="R32">
            <v>0.5</v>
          </cell>
          <cell r="S32">
            <v>10000</v>
          </cell>
          <cell r="T32">
            <v>10000</v>
          </cell>
          <cell r="U32">
            <v>3.1250000000000053</v>
          </cell>
          <cell r="V32">
            <v>0.9</v>
          </cell>
          <cell r="W32">
            <v>2</v>
          </cell>
          <cell r="X32">
            <v>1.8700000000000057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FC775"/>
  <sheetViews>
    <sheetView workbookViewId="0">
      <pane ySplit="1" topLeftCell="A2" activePane="bottomLeft" state="frozen"/>
      <selection activeCell="F1" sqref="F1"/>
      <selection pane="bottomLeft" activeCell="A5" sqref="A5"/>
    </sheetView>
  </sheetViews>
  <sheetFormatPr defaultColWidth="0" defaultRowHeight="15.75" zeroHeight="1" x14ac:dyDescent="0.25"/>
  <cols>
    <col min="1" max="1" width="16.42578125" style="36" customWidth="1"/>
    <col min="2" max="2" width="31.7109375" style="36" customWidth="1"/>
    <col min="3" max="3" width="15.28515625" style="37" customWidth="1"/>
    <col min="4" max="4" width="17.140625" style="38" customWidth="1"/>
    <col min="5" max="5" width="19.140625" style="36" customWidth="1"/>
    <col min="6" max="6" width="30.5703125" style="39" customWidth="1"/>
    <col min="7" max="7" width="16.140625" style="37" customWidth="1"/>
    <col min="8" max="8" width="17.7109375" style="38" customWidth="1"/>
    <col min="9" max="9" width="14.42578125" style="35" bestFit="1" customWidth="1"/>
    <col min="10" max="10" width="31.85546875" style="7" hidden="1" customWidth="1"/>
    <col min="11" max="11" width="28.140625" hidden="1"/>
    <col min="12" max="21" width="9.140625" style="35" hidden="1"/>
    <col min="22" max="16382" width="0" style="35" hidden="1"/>
    <col min="16383" max="16383" width="4.85546875" style="35" hidden="1" customWidth="1"/>
    <col min="16384" max="16384" width="10.42578125" style="35" hidden="1" customWidth="1"/>
  </cols>
  <sheetData>
    <row r="1" spans="1:10" s="6" customFormat="1" ht="32.25" thickBot="1" x14ac:dyDescent="0.55000000000000004">
      <c r="A1" s="2" t="s">
        <v>14</v>
      </c>
      <c r="B1" s="2" t="str">
        <f>INDEX(Calc!$L$1:$P$1,$B$4)</f>
        <v>E24, Select=3</v>
      </c>
      <c r="C1" s="3" t="str">
        <f>CONCATENATE("Error&lt;=",TEXT(C4,"0.0"),"%")</f>
        <v>Error&lt;=1.0%</v>
      </c>
      <c r="D1" s="4" t="str">
        <f>CONCATENATE("Error&lt;=",TEXT(D4,"0.0"),"%")</f>
        <v>Error&lt;=0.2%</v>
      </c>
      <c r="E1" s="2" t="s">
        <v>15</v>
      </c>
      <c r="F1" s="5" t="str">
        <f>INDEX(Calc!$L$1:$P$1,$B$4)</f>
        <v>E24, Select=3</v>
      </c>
      <c r="G1" s="3" t="str">
        <f>CONCATENATE("Error&lt;=",TEXT(C4,"0.0"),"%")</f>
        <v>Error&lt;=1.0%</v>
      </c>
      <c r="H1" s="4" t="str">
        <f>CONCATENATE("Error&lt;=",TEXT(D4,"0.0"),"%")</f>
        <v>Error&lt;=0.2%</v>
      </c>
      <c r="I1" s="1">
        <f>A4</f>
        <v>40</v>
      </c>
      <c r="J1" s="7" t="s">
        <v>13</v>
      </c>
    </row>
    <row r="2" spans="1:10" s="12" customFormat="1" ht="16.5" thickTop="1" x14ac:dyDescent="0.25">
      <c r="A2" s="8"/>
      <c r="B2" s="9"/>
      <c r="C2" s="10"/>
      <c r="D2" s="11"/>
      <c r="F2" s="13"/>
      <c r="G2" s="14"/>
      <c r="H2" s="15"/>
      <c r="J2" s="16"/>
    </row>
    <row r="3" spans="1:10" s="12" customFormat="1" x14ac:dyDescent="0.25">
      <c r="A3" s="17" t="s">
        <v>0</v>
      </c>
      <c r="B3" s="17" t="s">
        <v>16</v>
      </c>
      <c r="C3" s="18" t="s">
        <v>11</v>
      </c>
      <c r="D3" s="19" t="s">
        <v>12</v>
      </c>
      <c r="E3" s="62" t="s">
        <v>18</v>
      </c>
      <c r="F3" s="20"/>
      <c r="G3" s="21"/>
      <c r="H3" s="22"/>
      <c r="J3" s="16"/>
    </row>
    <row r="4" spans="1:10" s="12" customFormat="1" x14ac:dyDescent="0.25">
      <c r="A4" s="61">
        <v>40</v>
      </c>
      <c r="B4" s="23">
        <v>3</v>
      </c>
      <c r="C4" s="24">
        <v>1</v>
      </c>
      <c r="D4" s="25">
        <v>0.2</v>
      </c>
      <c r="E4" s="23" t="b">
        <v>1</v>
      </c>
      <c r="F4" s="26"/>
      <c r="G4" s="27"/>
      <c r="H4" s="28"/>
      <c r="J4" s="16"/>
    </row>
    <row r="5" spans="1:10" s="29" customFormat="1" ht="16.5" thickBot="1" x14ac:dyDescent="0.3">
      <c r="C5" s="30"/>
      <c r="D5" s="31"/>
      <c r="F5" s="32"/>
      <c r="G5" s="30"/>
      <c r="H5" s="31"/>
      <c r="J5" s="7"/>
    </row>
    <row r="6" spans="1:10" s="34" customFormat="1" ht="16.5" hidden="1" thickTop="1" x14ac:dyDescent="0.25">
      <c r="A6" s="40" t="str">
        <f>IFERROR(IF(Calc!E6&lt;=$C$4,Calc!D6,""),"")</f>
        <v/>
      </c>
      <c r="B6" s="40" t="str">
        <f>IFERROR(IF(Calc!E6&lt;=$C$4,CONCATENATE(TEXT(Calc!C6,"#0.000#")," || ",TEXT(INDEX(Calc!L6:P6,$B$4),"#0.000#")),""),"")</f>
        <v/>
      </c>
      <c r="C6" s="41" t="str">
        <f>IFERROR(IF(Calc!E6&lt;=$C$4,Calc!E6,""),"")</f>
        <v/>
      </c>
      <c r="D6" s="33" t="str">
        <f>IFERROR(IF(Calc!E6&lt;=$D$4,"Nice",""),"")</f>
        <v/>
      </c>
      <c r="E6" s="40" t="str">
        <f>IFERROR(IF(Calc!J6&lt;=$C$4,Calc!I6,""),"")</f>
        <v/>
      </c>
      <c r="F6" s="40" t="str">
        <f>IFERROR(IF(Calc!J6&lt;=$C$4,CONCATENATE(TEXT(Calc!H6,"#0.000#")," + ",TEXT(INDEX(Calc!L6:P6,$B$4),"#0.000#")),""),"")</f>
        <v/>
      </c>
      <c r="G6" s="41" t="str">
        <f>IFERROR(IF(Calc!J6&lt;=$C$4,Calc!J6,""),"")</f>
        <v/>
      </c>
      <c r="H6" s="33" t="str">
        <f>IFERROR(IF(Calc!J6&lt;=$D$4,"Nice",""),"")</f>
        <v/>
      </c>
      <c r="J6" s="7" t="str">
        <f>CONCATENATE("[",TEXT(Show!A6,"#.0#"),":",TEXT(Show!B6,"#.0#"),"][",TEXT(Show!E6,"#.0#"),":",TEXT(Show!F6,"#.0#"),"]")</f>
        <v>[:][:]</v>
      </c>
    </row>
    <row r="7" spans="1:10" ht="16.5" hidden="1" thickTop="1" x14ac:dyDescent="0.25">
      <c r="A7" s="40" t="str">
        <f>IFERROR(IF(Calc!E7&lt;=$C$4,Calc!D7,""),"")</f>
        <v/>
      </c>
      <c r="B7" s="40" t="str">
        <f>IFERROR(IF(Calc!E7&lt;=$C$4,CONCATENATE(TEXT(Calc!C7,"#0.000#")," || ",TEXT(INDEX(Calc!L7:P7,$B$4),"#0.000#")),""),"")</f>
        <v/>
      </c>
      <c r="C7" s="41" t="str">
        <f>IFERROR(IF(Calc!E7&lt;=$C$4,Calc!E7,""),"")</f>
        <v/>
      </c>
      <c r="D7" s="33" t="str">
        <f>IFERROR(IF(Calc!E7&lt;=$D$4,"Nice",""),"")</f>
        <v/>
      </c>
      <c r="E7" s="40" t="str">
        <f>IFERROR(IF(Calc!J7&lt;=$C$4,Calc!I7,""),"")</f>
        <v/>
      </c>
      <c r="F7" s="40" t="str">
        <f>IFERROR(IF(Calc!J7&lt;=$C$4,CONCATENATE(TEXT(Calc!H7,"#0.000#")," + ",TEXT(INDEX(Calc!L7:P7,$B$4),"#0.000#")),""),"")</f>
        <v/>
      </c>
      <c r="G7" s="41" t="str">
        <f>IFERROR(IF(Calc!J7&lt;=$C$4,Calc!J7,""),"")</f>
        <v/>
      </c>
      <c r="H7" s="33" t="str">
        <f>IFERROR(IF(Calc!J7&lt;=$D$4,"Nice",""),"")</f>
        <v/>
      </c>
      <c r="J7" s="7" t="str">
        <f>CONCATENATE("[",TEXT(Show!A7,"#.0#"),":",TEXT(Show!B7,"#.0#"),"][",TEXT(Show!E7,"#.0#"),":",TEXT(Show!F7,"#.0#"),"]")</f>
        <v>[:][:]</v>
      </c>
    </row>
    <row r="8" spans="1:10" ht="16.5" hidden="1" thickTop="1" x14ac:dyDescent="0.25">
      <c r="A8" s="40" t="str">
        <f>IFERROR(IF(Calc!E8&lt;=$C$4,Calc!D8,""),"")</f>
        <v/>
      </c>
      <c r="B8" s="40" t="str">
        <f>IFERROR(IF(Calc!E8&lt;=$C$4,CONCATENATE(TEXT(Calc!C8,"#0.000#")," || ",TEXT(INDEX(Calc!L8:P8,$B$4),"#0.000#")),""),"")</f>
        <v/>
      </c>
      <c r="C8" s="41" t="str">
        <f>IFERROR(IF(Calc!E8&lt;=$C$4,Calc!E8,""),"")</f>
        <v/>
      </c>
      <c r="D8" s="33" t="str">
        <f>IFERROR(IF(Calc!E8&lt;=$D$4,"Nice",""),"")</f>
        <v/>
      </c>
      <c r="E8" s="40" t="str">
        <f>IFERROR(IF(Calc!J8&lt;=$C$4,Calc!I8,""),"")</f>
        <v/>
      </c>
      <c r="F8" s="40" t="str">
        <f>IFERROR(IF(Calc!J8&lt;=$C$4,CONCATENATE(TEXT(Calc!H8,"#0.000#")," + ",TEXT(INDEX(Calc!L8:P8,$B$4),"#0.000#")),""),"")</f>
        <v/>
      </c>
      <c r="G8" s="41" t="str">
        <f>IFERROR(IF(Calc!J8&lt;=$C$4,Calc!J8,""),"")</f>
        <v/>
      </c>
      <c r="H8" s="33" t="str">
        <f>IFERROR(IF(Calc!J8&lt;=$D$4,"Nice",""),"")</f>
        <v/>
      </c>
      <c r="J8" s="7" t="str">
        <f>CONCATENATE("[",TEXT(Show!A8,"#.0#"),":",TEXT(Show!B8,"#.0#"),"][",TEXT(Show!E8,"#.0#"),":",TEXT(Show!F8,"#.0#"),"]")</f>
        <v>[:][:]</v>
      </c>
    </row>
    <row r="9" spans="1:10" ht="16.5" hidden="1" thickTop="1" x14ac:dyDescent="0.25">
      <c r="A9" s="40" t="str">
        <f>IFERROR(IF(Calc!E9&lt;=$C$4,Calc!D9,""),"")</f>
        <v/>
      </c>
      <c r="B9" s="40" t="str">
        <f>IFERROR(IF(Calc!E9&lt;=$C$4,CONCATENATE(TEXT(Calc!C9,"#0.000#")," || ",TEXT(INDEX(Calc!L9:P9,$B$4),"#0.000#")),""),"")</f>
        <v/>
      </c>
      <c r="C9" s="41" t="str">
        <f>IFERROR(IF(Calc!E9&lt;=$C$4,Calc!E9,""),"")</f>
        <v/>
      </c>
      <c r="D9" s="33" t="str">
        <f>IFERROR(IF(Calc!E9&lt;=$D$4,"Nice",""),"")</f>
        <v/>
      </c>
      <c r="E9" s="40" t="str">
        <f>IFERROR(IF(Calc!J9&lt;=$C$4,Calc!I9,""),"")</f>
        <v/>
      </c>
      <c r="F9" s="40" t="str">
        <f>IFERROR(IF(Calc!J9&lt;=$C$4,CONCATENATE(TEXT(Calc!H9,"#0.000#")," + ",TEXT(INDEX(Calc!L9:P9,$B$4),"#0.000#")),""),"")</f>
        <v/>
      </c>
      <c r="G9" s="41" t="str">
        <f>IFERROR(IF(Calc!J9&lt;=$C$4,Calc!J9,""),"")</f>
        <v/>
      </c>
      <c r="H9" s="33" t="str">
        <f>IFERROR(IF(Calc!J9&lt;=$D$4,"Nice",""),"")</f>
        <v/>
      </c>
      <c r="J9" s="7" t="str">
        <f>CONCATENATE("[",TEXT(Show!A9,"#.0#"),":",TEXT(Show!B9,"#.0#"),"][",TEXT(Show!E9,"#.0#"),":",TEXT(Show!F9,"#.0#"),"]")</f>
        <v>[:][:]</v>
      </c>
    </row>
    <row r="10" spans="1:10" ht="16.5" hidden="1" thickTop="1" x14ac:dyDescent="0.25">
      <c r="A10" s="40" t="str">
        <f>IFERROR(IF(Calc!E10&lt;=$C$4,Calc!D10,""),"")</f>
        <v/>
      </c>
      <c r="B10" s="40" t="str">
        <f>IFERROR(IF(Calc!E10&lt;=$C$4,CONCATENATE(TEXT(Calc!C10,"#0.000#")," || ",TEXT(INDEX(Calc!L10:P10,$B$4),"#0.000#")),""),"")</f>
        <v/>
      </c>
      <c r="C10" s="41" t="str">
        <f>IFERROR(IF(Calc!E10&lt;=$C$4,Calc!E10,""),"")</f>
        <v/>
      </c>
      <c r="D10" s="33" t="str">
        <f>IFERROR(IF(Calc!E10&lt;=$D$4,"Nice",""),"")</f>
        <v/>
      </c>
      <c r="E10" s="40" t="str">
        <f>IFERROR(IF(Calc!J10&lt;=$C$4,Calc!I10,""),"")</f>
        <v/>
      </c>
      <c r="F10" s="40" t="str">
        <f>IFERROR(IF(Calc!J10&lt;=$C$4,CONCATENATE(TEXT(Calc!H10,"#0.000#")," + ",TEXT(INDEX(Calc!L10:P10,$B$4),"#0.000#")),""),"")</f>
        <v/>
      </c>
      <c r="G10" s="41" t="str">
        <f>IFERROR(IF(Calc!J10&lt;=$C$4,Calc!J10,""),"")</f>
        <v/>
      </c>
      <c r="H10" s="33" t="str">
        <f>IFERROR(IF(Calc!J10&lt;=$D$4,"Nice",""),"")</f>
        <v/>
      </c>
      <c r="J10" s="7" t="str">
        <f>CONCATENATE("[",TEXT(Show!A10,"#.0#"),":",TEXT(Show!B10,"#.0#"),"][",TEXT(Show!E10,"#.0#"),":",TEXT(Show!F10,"#.0#"),"]")</f>
        <v>[:][:]</v>
      </c>
    </row>
    <row r="11" spans="1:10" ht="16.5" hidden="1" thickTop="1" x14ac:dyDescent="0.25">
      <c r="A11" s="40" t="str">
        <f>IFERROR(IF(Calc!E11&lt;=$C$4,Calc!D11,""),"")</f>
        <v/>
      </c>
      <c r="B11" s="40" t="str">
        <f>IFERROR(IF(Calc!E11&lt;=$C$4,CONCATENATE(TEXT(Calc!C11,"#0.000#")," || ",TEXT(INDEX(Calc!L11:P11,$B$4),"#0.000#")),""),"")</f>
        <v/>
      </c>
      <c r="C11" s="41" t="str">
        <f>IFERROR(IF(Calc!E11&lt;=$C$4,Calc!E11,""),"")</f>
        <v/>
      </c>
      <c r="D11" s="33" t="str">
        <f>IFERROR(IF(Calc!E11&lt;=$D$4,"Nice",""),"")</f>
        <v/>
      </c>
      <c r="E11" s="40" t="str">
        <f>IFERROR(IF(Calc!J11&lt;=$C$4,Calc!I11,""),"")</f>
        <v/>
      </c>
      <c r="F11" s="40" t="str">
        <f>IFERROR(IF(Calc!J11&lt;=$C$4,CONCATENATE(TEXT(Calc!H11,"#0.000#")," + ",TEXT(INDEX(Calc!L11:P11,$B$4),"#0.000#")),""),"")</f>
        <v/>
      </c>
      <c r="G11" s="41" t="str">
        <f>IFERROR(IF(Calc!J11&lt;=$C$4,Calc!J11,""),"")</f>
        <v/>
      </c>
      <c r="H11" s="33" t="str">
        <f>IFERROR(IF(Calc!J11&lt;=$D$4,"Nice",""),"")</f>
        <v/>
      </c>
      <c r="J11" s="7" t="str">
        <f>CONCATENATE("[",TEXT(Show!A11,"#.0#"),":",TEXT(Show!B11,"#.0#"),"][",TEXT(Show!E11,"#.0#"),":",TEXT(Show!F11,"#.0#"),"]")</f>
        <v>[:][:]</v>
      </c>
    </row>
    <row r="12" spans="1:10" ht="16.5" hidden="1" thickTop="1" x14ac:dyDescent="0.25">
      <c r="A12" s="40" t="str">
        <f>IFERROR(IF(Calc!E12&lt;=$C$4,Calc!D12,""),"")</f>
        <v/>
      </c>
      <c r="B12" s="40" t="str">
        <f>IFERROR(IF(Calc!E12&lt;=$C$4,CONCATENATE(TEXT(Calc!C12,"#0.000#")," || ",TEXT(INDEX(Calc!L12:P12,$B$4),"#0.000#")),""),"")</f>
        <v/>
      </c>
      <c r="C12" s="41" t="str">
        <f>IFERROR(IF(Calc!E12&lt;=$C$4,Calc!E12,""),"")</f>
        <v/>
      </c>
      <c r="D12" s="33" t="str">
        <f>IFERROR(IF(Calc!E12&lt;=$D$4,"Nice",""),"")</f>
        <v/>
      </c>
      <c r="E12" s="40" t="str">
        <f>IFERROR(IF(Calc!J12&lt;=$C$4,Calc!I12,""),"")</f>
        <v/>
      </c>
      <c r="F12" s="40" t="str">
        <f>IFERROR(IF(Calc!J12&lt;=$C$4,CONCATENATE(TEXT(Calc!H12,"#0.000#")," + ",TEXT(INDEX(Calc!L12:P12,$B$4),"#0.000#")),""),"")</f>
        <v/>
      </c>
      <c r="G12" s="41" t="str">
        <f>IFERROR(IF(Calc!J12&lt;=$C$4,Calc!J12,""),"")</f>
        <v/>
      </c>
      <c r="H12" s="33" t="str">
        <f>IFERROR(IF(Calc!J12&lt;=$D$4,"Nice",""),"")</f>
        <v/>
      </c>
      <c r="J12" s="7" t="str">
        <f>CONCATENATE("[",TEXT(Show!A12,"#.0#"),":",TEXT(Show!B12,"#.0#"),"][",TEXT(Show!E12,"#.0#"),":",TEXT(Show!F12,"#.0#"),"]")</f>
        <v>[:][:]</v>
      </c>
    </row>
    <row r="13" spans="1:10" ht="16.5" hidden="1" thickTop="1" x14ac:dyDescent="0.25">
      <c r="A13" s="40" t="str">
        <f>IFERROR(IF(Calc!E13&lt;=$C$4,Calc!D13,""),"")</f>
        <v/>
      </c>
      <c r="B13" s="40" t="str">
        <f>IFERROR(IF(Calc!E13&lt;=$C$4,CONCATENATE(TEXT(Calc!C13,"#0.000#")," || ",TEXT(INDEX(Calc!L13:P13,$B$4),"#0.000#")),""),"")</f>
        <v/>
      </c>
      <c r="C13" s="41" t="str">
        <f>IFERROR(IF(Calc!E13&lt;=$C$4,Calc!E13,""),"")</f>
        <v/>
      </c>
      <c r="D13" s="33" t="str">
        <f>IFERROR(IF(Calc!E13&lt;=$D$4,"Nice",""),"")</f>
        <v/>
      </c>
      <c r="E13" s="40" t="str">
        <f>IFERROR(IF(Calc!J13&lt;=$C$4,Calc!I13,""),"")</f>
        <v/>
      </c>
      <c r="F13" s="40" t="str">
        <f>IFERROR(IF(Calc!J13&lt;=$C$4,CONCATENATE(TEXT(Calc!H13,"#0.000#")," + ",TEXT(INDEX(Calc!L13:P13,$B$4),"#0.000#")),""),"")</f>
        <v/>
      </c>
      <c r="G13" s="41" t="str">
        <f>IFERROR(IF(Calc!J13&lt;=$C$4,Calc!J13,""),"")</f>
        <v/>
      </c>
      <c r="H13" s="33" t="str">
        <f>IFERROR(IF(Calc!J13&lt;=$D$4,"Nice",""),"")</f>
        <v/>
      </c>
      <c r="J13" s="7" t="str">
        <f>CONCATENATE("[",TEXT(Show!A13,"#.0#"),":",TEXT(Show!B13,"#.0#"),"][",TEXT(Show!E13,"#.0#"),":",TEXT(Show!F13,"#.0#"),"]")</f>
        <v>[:][:]</v>
      </c>
    </row>
    <row r="14" spans="1:10" ht="16.5" hidden="1" thickTop="1" x14ac:dyDescent="0.25">
      <c r="A14" s="40" t="str">
        <f>IFERROR(IF(Calc!E14&lt;=$C$4,Calc!D14,""),"")</f>
        <v/>
      </c>
      <c r="B14" s="40" t="str">
        <f>IFERROR(IF(Calc!E14&lt;=$C$4,CONCATENATE(TEXT(Calc!C14,"#0.000#")," || ",TEXT(INDEX(Calc!L14:P14,$B$4),"#0.000#")),""),"")</f>
        <v/>
      </c>
      <c r="C14" s="41" t="str">
        <f>IFERROR(IF(Calc!E14&lt;=$C$4,Calc!E14,""),"")</f>
        <v/>
      </c>
      <c r="D14" s="33" t="str">
        <f>IFERROR(IF(Calc!E14&lt;=$D$4,"Nice",""),"")</f>
        <v/>
      </c>
      <c r="E14" s="40" t="str">
        <f>IFERROR(IF(Calc!J14&lt;=$C$4,Calc!I14,""),"")</f>
        <v/>
      </c>
      <c r="F14" s="40" t="str">
        <f>IFERROR(IF(Calc!J14&lt;=$C$4,CONCATENATE(TEXT(Calc!H14,"#0.000#")," + ",TEXT(INDEX(Calc!L14:P14,$B$4),"#0.000#")),""),"")</f>
        <v/>
      </c>
      <c r="G14" s="41" t="str">
        <f>IFERROR(IF(Calc!J14&lt;=$C$4,Calc!J14,""),"")</f>
        <v/>
      </c>
      <c r="H14" s="33" t="str">
        <f>IFERROR(IF(Calc!J14&lt;=$D$4,"Nice",""),"")</f>
        <v/>
      </c>
      <c r="J14" s="7" t="str">
        <f>CONCATENATE("[",TEXT(Show!A14,"#.0#"),":",TEXT(Show!B14,"#.0#"),"][",TEXT(Show!E14,"#.0#"),":",TEXT(Show!F14,"#.0#"),"]")</f>
        <v>[:][:]</v>
      </c>
    </row>
    <row r="15" spans="1:10" ht="16.5" hidden="1" thickTop="1" x14ac:dyDescent="0.25">
      <c r="A15" s="40" t="str">
        <f>IFERROR(IF(Calc!E15&lt;=$C$4,Calc!D15,""),"")</f>
        <v/>
      </c>
      <c r="B15" s="40" t="str">
        <f>IFERROR(IF(Calc!E15&lt;=$C$4,CONCATENATE(TEXT(Calc!C15,"#0.000#")," || ",TEXT(INDEX(Calc!L15:P15,$B$4),"#0.000#")),""),"")</f>
        <v/>
      </c>
      <c r="C15" s="41" t="str">
        <f>IFERROR(IF(Calc!E15&lt;=$C$4,Calc!E15,""),"")</f>
        <v/>
      </c>
      <c r="D15" s="33" t="str">
        <f>IFERROR(IF(Calc!E15&lt;=$D$4,"Nice",""),"")</f>
        <v/>
      </c>
      <c r="E15" s="40" t="str">
        <f>IFERROR(IF(Calc!J15&lt;=$C$4,Calc!I15,""),"")</f>
        <v/>
      </c>
      <c r="F15" s="40" t="str">
        <f>IFERROR(IF(Calc!J15&lt;=$C$4,CONCATENATE(TEXT(Calc!H15,"#0.000#")," + ",TEXT(INDEX(Calc!L15:P15,$B$4),"#0.000#")),""),"")</f>
        <v/>
      </c>
      <c r="G15" s="41" t="str">
        <f>IFERROR(IF(Calc!J15&lt;=$C$4,Calc!J15,""),"")</f>
        <v/>
      </c>
      <c r="H15" s="33" t="str">
        <f>IFERROR(IF(Calc!J15&lt;=$D$4,"Nice",""),"")</f>
        <v/>
      </c>
      <c r="J15" s="7" t="str">
        <f>CONCATENATE("[",TEXT(Show!A15,"#.0#"),":",TEXT(Show!B15,"#.0#"),"][",TEXT(Show!E15,"#.0#"),":",TEXT(Show!F15,"#.0#"),"]")</f>
        <v>[:][:]</v>
      </c>
    </row>
    <row r="16" spans="1:10" ht="16.5" hidden="1" thickTop="1" x14ac:dyDescent="0.25">
      <c r="A16" s="40" t="str">
        <f>IFERROR(IF(Calc!E16&lt;=$C$4,Calc!D16,""),"")</f>
        <v/>
      </c>
      <c r="B16" s="40" t="str">
        <f>IFERROR(IF(Calc!E16&lt;=$C$4,CONCATENATE(TEXT(Calc!C16,"#0.000#")," || ",TEXT(INDEX(Calc!L16:P16,$B$4),"#0.000#")),""),"")</f>
        <v/>
      </c>
      <c r="C16" s="41" t="str">
        <f>IFERROR(IF(Calc!E16&lt;=$C$4,Calc!E16,""),"")</f>
        <v/>
      </c>
      <c r="D16" s="33" t="str">
        <f>IFERROR(IF(Calc!E16&lt;=$D$4,"Nice",""),"")</f>
        <v/>
      </c>
      <c r="E16" s="40" t="str">
        <f>IFERROR(IF(Calc!J16&lt;=$C$4,Calc!I16,""),"")</f>
        <v/>
      </c>
      <c r="F16" s="40" t="str">
        <f>IFERROR(IF(Calc!J16&lt;=$C$4,CONCATENATE(TEXT(Calc!H16,"#0.000#")," + ",TEXT(INDEX(Calc!L16:P16,$B$4),"#0.000#")),""),"")</f>
        <v/>
      </c>
      <c r="G16" s="41" t="str">
        <f>IFERROR(IF(Calc!J16&lt;=$C$4,Calc!J16,""),"")</f>
        <v/>
      </c>
      <c r="H16" s="33" t="str">
        <f>IFERROR(IF(Calc!J16&lt;=$D$4,"Nice",""),"")</f>
        <v/>
      </c>
      <c r="J16" s="7" t="str">
        <f>CONCATENATE("[",TEXT(Show!A16,"#.0#"),":",TEXT(Show!B16,"#.0#"),"][",TEXT(Show!E16,"#.0#"),":",TEXT(Show!F16,"#.0#"),"]")</f>
        <v>[:][:]</v>
      </c>
    </row>
    <row r="17" spans="1:10" ht="16.5" hidden="1" thickTop="1" x14ac:dyDescent="0.25">
      <c r="A17" s="40" t="str">
        <f>IFERROR(IF(Calc!E17&lt;=$C$4,Calc!D17,""),"")</f>
        <v/>
      </c>
      <c r="B17" s="40" t="str">
        <f>IFERROR(IF(Calc!E17&lt;=$C$4,CONCATENATE(TEXT(Calc!C17,"#0.000#")," || ",TEXT(INDEX(Calc!L17:P17,$B$4),"#0.000#")),""),"")</f>
        <v/>
      </c>
      <c r="C17" s="41" t="str">
        <f>IFERROR(IF(Calc!E17&lt;=$C$4,Calc!E17,""),"")</f>
        <v/>
      </c>
      <c r="D17" s="33" t="str">
        <f>IFERROR(IF(Calc!E17&lt;=$D$4,"Nice",""),"")</f>
        <v/>
      </c>
      <c r="E17" s="40" t="str">
        <f>IFERROR(IF(Calc!J17&lt;=$C$4,Calc!I17,""),"")</f>
        <v/>
      </c>
      <c r="F17" s="40" t="str">
        <f>IFERROR(IF(Calc!J17&lt;=$C$4,CONCATENATE(TEXT(Calc!H17,"#0.000#")," + ",TEXT(INDEX(Calc!L17:P17,$B$4),"#0.000#")),""),"")</f>
        <v/>
      </c>
      <c r="G17" s="41" t="str">
        <f>IFERROR(IF(Calc!J17&lt;=$C$4,Calc!J17,""),"")</f>
        <v/>
      </c>
      <c r="H17" s="33" t="str">
        <f>IFERROR(IF(Calc!J17&lt;=$D$4,"Nice",""),"")</f>
        <v/>
      </c>
      <c r="J17" s="7" t="str">
        <f>CONCATENATE("[",TEXT(Show!A17,"#.0#"),":",TEXT(Show!B17,"#.0#"),"][",TEXT(Show!E17,"#.0#"),":",TEXT(Show!F17,"#.0#"),"]")</f>
        <v>[:][:]</v>
      </c>
    </row>
    <row r="18" spans="1:10" ht="16.5" hidden="1" thickTop="1" x14ac:dyDescent="0.25">
      <c r="A18" s="40" t="str">
        <f>IFERROR(IF(Calc!E18&lt;=$C$4,Calc!D18,""),"")</f>
        <v/>
      </c>
      <c r="B18" s="40" t="str">
        <f>IFERROR(IF(Calc!E18&lt;=$C$4,CONCATENATE(TEXT(Calc!C18,"#0.000#")," || ",TEXT(INDEX(Calc!L18:P18,$B$4),"#0.000#")),""),"")</f>
        <v/>
      </c>
      <c r="C18" s="41" t="str">
        <f>IFERROR(IF(Calc!E18&lt;=$C$4,Calc!E18,""),"")</f>
        <v/>
      </c>
      <c r="D18" s="33" t="str">
        <f>IFERROR(IF(Calc!E18&lt;=$D$4,"Nice",""),"")</f>
        <v/>
      </c>
      <c r="E18" s="40" t="str">
        <f>IFERROR(IF(Calc!J18&lt;=$C$4,Calc!I18,""),"")</f>
        <v/>
      </c>
      <c r="F18" s="40" t="str">
        <f>IFERROR(IF(Calc!J18&lt;=$C$4,CONCATENATE(TEXT(Calc!H18,"#0.000#")," + ",TEXT(INDEX(Calc!L18:P18,$B$4),"#0.000#")),""),"")</f>
        <v/>
      </c>
      <c r="G18" s="41" t="str">
        <f>IFERROR(IF(Calc!J18&lt;=$C$4,Calc!J18,""),"")</f>
        <v/>
      </c>
      <c r="H18" s="33" t="str">
        <f>IFERROR(IF(Calc!J18&lt;=$D$4,"Nice",""),"")</f>
        <v/>
      </c>
      <c r="J18" s="7" t="str">
        <f>CONCATENATE("[",TEXT(Show!A18,"#.0#"),":",TEXT(Show!B18,"#.0#"),"][",TEXT(Show!E18,"#.0#"),":",TEXT(Show!F18,"#.0#"),"]")</f>
        <v>[:][:]</v>
      </c>
    </row>
    <row r="19" spans="1:10" ht="16.5" hidden="1" thickTop="1" x14ac:dyDescent="0.25">
      <c r="A19" s="40" t="str">
        <f>IFERROR(IF(Calc!E19&lt;=$C$4,Calc!D19,""),"")</f>
        <v/>
      </c>
      <c r="B19" s="40" t="str">
        <f>IFERROR(IF(Calc!E19&lt;=$C$4,CONCATENATE(TEXT(Calc!C19,"#0.000#")," || ",TEXT(INDEX(Calc!L19:P19,$B$4),"#0.000#")),""),"")</f>
        <v/>
      </c>
      <c r="C19" s="41" t="str">
        <f>IFERROR(IF(Calc!E19&lt;=$C$4,Calc!E19,""),"")</f>
        <v/>
      </c>
      <c r="D19" s="33" t="str">
        <f>IFERROR(IF(Calc!E19&lt;=$D$4,"Nice",""),"")</f>
        <v/>
      </c>
      <c r="E19" s="40" t="str">
        <f>IFERROR(IF(Calc!J19&lt;=$C$4,Calc!I19,""),"")</f>
        <v/>
      </c>
      <c r="F19" s="40" t="str">
        <f>IFERROR(IF(Calc!J19&lt;=$C$4,CONCATENATE(TEXT(Calc!H19,"#0.000#")," + ",TEXT(INDEX(Calc!L19:P19,$B$4),"#0.000#")),""),"")</f>
        <v/>
      </c>
      <c r="G19" s="41" t="str">
        <f>IFERROR(IF(Calc!J19&lt;=$C$4,Calc!J19,""),"")</f>
        <v/>
      </c>
      <c r="H19" s="33" t="str">
        <f>IFERROR(IF(Calc!J19&lt;=$D$4,"Nice",""),"")</f>
        <v/>
      </c>
      <c r="J19" s="7" t="str">
        <f>CONCATENATE("[",TEXT(Show!A19,"#.0#"),":",TEXT(Show!B19,"#.0#"),"][",TEXT(Show!E19,"#.0#"),":",TEXT(Show!F19,"#.0#"),"]")</f>
        <v>[:][:]</v>
      </c>
    </row>
    <row r="20" spans="1:10" ht="16.5" hidden="1" thickTop="1" x14ac:dyDescent="0.25">
      <c r="A20" s="40" t="str">
        <f>IFERROR(IF(Calc!E20&lt;=$C$4,Calc!D20,""),"")</f>
        <v/>
      </c>
      <c r="B20" s="40" t="str">
        <f>IFERROR(IF(Calc!E20&lt;=$C$4,CONCATENATE(TEXT(Calc!C20,"#0.000#")," || ",TEXT(INDEX(Calc!L20:P20,$B$4),"#0.000#")),""),"")</f>
        <v/>
      </c>
      <c r="C20" s="41" t="str">
        <f>IFERROR(IF(Calc!E20&lt;=$C$4,Calc!E20,""),"")</f>
        <v/>
      </c>
      <c r="D20" s="33" t="str">
        <f>IFERROR(IF(Calc!E20&lt;=$D$4,"Nice",""),"")</f>
        <v/>
      </c>
      <c r="E20" s="40" t="str">
        <f>IFERROR(IF(Calc!J20&lt;=$C$4,Calc!I20,""),"")</f>
        <v/>
      </c>
      <c r="F20" s="40" t="str">
        <f>IFERROR(IF(Calc!J20&lt;=$C$4,CONCATENATE(TEXT(Calc!H20,"#0.000#")," + ",TEXT(INDEX(Calc!L20:P20,$B$4),"#0.000#")),""),"")</f>
        <v/>
      </c>
      <c r="G20" s="41" t="str">
        <f>IFERROR(IF(Calc!J20&lt;=$C$4,Calc!J20,""),"")</f>
        <v/>
      </c>
      <c r="H20" s="33" t="str">
        <f>IFERROR(IF(Calc!J20&lt;=$D$4,"Nice",""),"")</f>
        <v/>
      </c>
      <c r="J20" s="7" t="str">
        <f>CONCATENATE("[",TEXT(Show!A20,"#.0#"),":",TEXT(Show!B20,"#.0#"),"][",TEXT(Show!E20,"#.0#"),":",TEXT(Show!F20,"#.0#"),"]")</f>
        <v>[:][:]</v>
      </c>
    </row>
    <row r="21" spans="1:10" ht="16.5" hidden="1" thickTop="1" x14ac:dyDescent="0.25">
      <c r="A21" s="40" t="str">
        <f>IFERROR(IF(Calc!E21&lt;=$C$4,Calc!D21,""),"")</f>
        <v/>
      </c>
      <c r="B21" s="40" t="str">
        <f>IFERROR(IF(Calc!E21&lt;=$C$4,CONCATENATE(TEXT(Calc!C21,"#0.000#")," || ",TEXT(INDEX(Calc!L21:P21,$B$4),"#0.000#")),""),"")</f>
        <v/>
      </c>
      <c r="C21" s="41" t="str">
        <f>IFERROR(IF(Calc!E21&lt;=$C$4,Calc!E21,""),"")</f>
        <v/>
      </c>
      <c r="D21" s="33" t="str">
        <f>IFERROR(IF(Calc!E21&lt;=$D$4,"Nice",""),"")</f>
        <v/>
      </c>
      <c r="E21" s="40" t="str">
        <f>IFERROR(IF(Calc!J21&lt;=$C$4,Calc!I21,""),"")</f>
        <v/>
      </c>
      <c r="F21" s="40" t="str">
        <f>IFERROR(IF(Calc!J21&lt;=$C$4,CONCATENATE(TEXT(Calc!H21,"#0.000#")," + ",TEXT(INDEX(Calc!L21:P21,$B$4),"#0.000#")),""),"")</f>
        <v/>
      </c>
      <c r="G21" s="41" t="str">
        <f>IFERROR(IF(Calc!J21&lt;=$C$4,Calc!J21,""),"")</f>
        <v/>
      </c>
      <c r="H21" s="33" t="str">
        <f>IFERROR(IF(Calc!J21&lt;=$D$4,"Nice",""),"")</f>
        <v/>
      </c>
      <c r="J21" s="7" t="str">
        <f>CONCATENATE("[",TEXT(Show!A21,"#.0#"),":",TEXT(Show!B21,"#.0#"),"][",TEXT(Show!E21,"#.0#"),":",TEXT(Show!F21,"#.0#"),"]")</f>
        <v>[:][:]</v>
      </c>
    </row>
    <row r="22" spans="1:10" ht="16.5" hidden="1" thickTop="1" x14ac:dyDescent="0.25">
      <c r="A22" s="40" t="str">
        <f>IFERROR(IF(Calc!E22&lt;=$C$4,Calc!D22,""),"")</f>
        <v/>
      </c>
      <c r="B22" s="40" t="str">
        <f>IFERROR(IF(Calc!E22&lt;=$C$4,CONCATENATE(TEXT(Calc!C22,"#0.000#")," || ",TEXT(INDEX(Calc!L22:P22,$B$4),"#0.000#")),""),"")</f>
        <v/>
      </c>
      <c r="C22" s="41" t="str">
        <f>IFERROR(IF(Calc!E22&lt;=$C$4,Calc!E22,""),"")</f>
        <v/>
      </c>
      <c r="D22" s="33" t="str">
        <f>IFERROR(IF(Calc!E22&lt;=$D$4,"Nice",""),"")</f>
        <v/>
      </c>
      <c r="E22" s="40" t="str">
        <f>IFERROR(IF(Calc!J22&lt;=$C$4,Calc!I22,""),"")</f>
        <v/>
      </c>
      <c r="F22" s="40" t="str">
        <f>IFERROR(IF(Calc!J22&lt;=$C$4,CONCATENATE(TEXT(Calc!H22,"#0.000#")," + ",TEXT(INDEX(Calc!L22:P22,$B$4),"#0.000#")),""),"")</f>
        <v/>
      </c>
      <c r="G22" s="41" t="str">
        <f>IFERROR(IF(Calc!J22&lt;=$C$4,Calc!J22,""),"")</f>
        <v/>
      </c>
      <c r="H22" s="33" t="str">
        <f>IFERROR(IF(Calc!J22&lt;=$D$4,"Nice",""),"")</f>
        <v/>
      </c>
      <c r="J22" s="7" t="str">
        <f>CONCATENATE("[",TEXT(Show!A22,"#.0#"),":",TEXT(Show!B22,"#.0#"),"][",TEXT(Show!E22,"#.0#"),":",TEXT(Show!F22,"#.0#"),"]")</f>
        <v>[:][:]</v>
      </c>
    </row>
    <row r="23" spans="1:10" ht="16.5" hidden="1" thickTop="1" x14ac:dyDescent="0.25">
      <c r="A23" s="40" t="str">
        <f>IFERROR(IF(Calc!E23&lt;=$C$4,Calc!D23,""),"")</f>
        <v/>
      </c>
      <c r="B23" s="40" t="str">
        <f>IFERROR(IF(Calc!E23&lt;=$C$4,CONCATENATE(TEXT(Calc!C23,"#0.000#")," || ",TEXT(INDEX(Calc!L23:P23,$B$4),"#0.000#")),""),"")</f>
        <v/>
      </c>
      <c r="C23" s="41" t="str">
        <f>IFERROR(IF(Calc!E23&lt;=$C$4,Calc!E23,""),"")</f>
        <v/>
      </c>
      <c r="D23" s="33" t="str">
        <f>IFERROR(IF(Calc!E23&lt;=$D$4,"Nice",""),"")</f>
        <v/>
      </c>
      <c r="E23" s="40" t="str">
        <f>IFERROR(IF(Calc!J23&lt;=$C$4,Calc!I23,""),"")</f>
        <v/>
      </c>
      <c r="F23" s="40" t="str">
        <f>IFERROR(IF(Calc!J23&lt;=$C$4,CONCATENATE(TEXT(Calc!H23,"#0.000#")," + ",TEXT(INDEX(Calc!L23:P23,$B$4),"#0.000#")),""),"")</f>
        <v/>
      </c>
      <c r="G23" s="41" t="str">
        <f>IFERROR(IF(Calc!J23&lt;=$C$4,Calc!J23,""),"")</f>
        <v/>
      </c>
      <c r="H23" s="33" t="str">
        <f>IFERROR(IF(Calc!J23&lt;=$D$4,"Nice",""),"")</f>
        <v/>
      </c>
      <c r="J23" s="7" t="str">
        <f>CONCATENATE("[",TEXT(Show!A23,"#.0#"),":",TEXT(Show!B23,"#.0#"),"][",TEXT(Show!E23,"#.0#"),":",TEXT(Show!F23,"#.0#"),"]")</f>
        <v>[:][:]</v>
      </c>
    </row>
    <row r="24" spans="1:10" ht="16.5" hidden="1" thickTop="1" x14ac:dyDescent="0.25">
      <c r="A24" s="40" t="str">
        <f>IFERROR(IF(Calc!E24&lt;=$C$4,Calc!D24,""),"")</f>
        <v/>
      </c>
      <c r="B24" s="40" t="str">
        <f>IFERROR(IF(Calc!E24&lt;=$C$4,CONCATENATE(TEXT(Calc!C24,"#0.000#")," || ",TEXT(INDEX(Calc!L24:P24,$B$4),"#0.000#")),""),"")</f>
        <v/>
      </c>
      <c r="C24" s="41" t="str">
        <f>IFERROR(IF(Calc!E24&lt;=$C$4,Calc!E24,""),"")</f>
        <v/>
      </c>
      <c r="D24" s="33" t="str">
        <f>IFERROR(IF(Calc!E24&lt;=$D$4,"Nice",""),"")</f>
        <v/>
      </c>
      <c r="E24" s="40" t="str">
        <f>IFERROR(IF(Calc!J24&lt;=$C$4,Calc!I24,""),"")</f>
        <v/>
      </c>
      <c r="F24" s="40" t="str">
        <f>IFERROR(IF(Calc!J24&lt;=$C$4,CONCATENATE(TEXT(Calc!H24,"#0.000#")," + ",TEXT(INDEX(Calc!L24:P24,$B$4),"#0.000#")),""),"")</f>
        <v/>
      </c>
      <c r="G24" s="41" t="str">
        <f>IFERROR(IF(Calc!J24&lt;=$C$4,Calc!J24,""),"")</f>
        <v/>
      </c>
      <c r="H24" s="33" t="str">
        <f>IFERROR(IF(Calc!J24&lt;=$D$4,"Nice",""),"")</f>
        <v/>
      </c>
      <c r="J24" s="7" t="str">
        <f>CONCATENATE("[",TEXT(Show!A24,"#.0#"),":",TEXT(Show!B24,"#.0#"),"][",TEXT(Show!E24,"#.0#"),":",TEXT(Show!F24,"#.0#"),"]")</f>
        <v>[:][:]</v>
      </c>
    </row>
    <row r="25" spans="1:10" ht="16.5" hidden="1" thickTop="1" x14ac:dyDescent="0.25">
      <c r="A25" s="40" t="str">
        <f>IFERROR(IF(Calc!E25&lt;=$C$4,Calc!D25,""),"")</f>
        <v/>
      </c>
      <c r="B25" s="40" t="str">
        <f>IFERROR(IF(Calc!E25&lt;=$C$4,CONCATENATE(TEXT(Calc!C25,"#0.000#")," || ",TEXT(INDEX(Calc!L25:P25,$B$4),"#0.000#")),""),"")</f>
        <v/>
      </c>
      <c r="C25" s="41" t="str">
        <f>IFERROR(IF(Calc!E25&lt;=$C$4,Calc!E25,""),"")</f>
        <v/>
      </c>
      <c r="D25" s="33" t="str">
        <f>IFERROR(IF(Calc!E25&lt;=$D$4,"Nice",""),"")</f>
        <v/>
      </c>
      <c r="E25" s="40" t="str">
        <f>IFERROR(IF(Calc!J25&lt;=$C$4,Calc!I25,""),"")</f>
        <v/>
      </c>
      <c r="F25" s="40" t="str">
        <f>IFERROR(IF(Calc!J25&lt;=$C$4,CONCATENATE(TEXT(Calc!H25,"#0.000#")," + ",TEXT(INDEX(Calc!L25:P25,$B$4),"#0.000#")),""),"")</f>
        <v/>
      </c>
      <c r="G25" s="41" t="str">
        <f>IFERROR(IF(Calc!J25&lt;=$C$4,Calc!J25,""),"")</f>
        <v/>
      </c>
      <c r="H25" s="33" t="str">
        <f>IFERROR(IF(Calc!J25&lt;=$D$4,"Nice",""),"")</f>
        <v/>
      </c>
      <c r="J25" s="7" t="str">
        <f>CONCATENATE("[",TEXT(Show!A25,"#.0#"),":",TEXT(Show!B25,"#.0#"),"][",TEXT(Show!E25,"#.0#"),":",TEXT(Show!F25,"#.0#"),"]")</f>
        <v>[:][:]</v>
      </c>
    </row>
    <row r="26" spans="1:10" ht="16.5" hidden="1" thickTop="1" x14ac:dyDescent="0.25">
      <c r="A26" s="40" t="str">
        <f>IFERROR(IF(Calc!E26&lt;=$C$4,Calc!D26,""),"")</f>
        <v/>
      </c>
      <c r="B26" s="40" t="str">
        <f>IFERROR(IF(Calc!E26&lt;=$C$4,CONCATENATE(TEXT(Calc!C26,"#0.000#")," || ",TEXT(INDEX(Calc!L26:P26,$B$4),"#0.000#")),""),"")</f>
        <v/>
      </c>
      <c r="C26" s="41" t="str">
        <f>IFERROR(IF(Calc!E26&lt;=$C$4,Calc!E26,""),"")</f>
        <v/>
      </c>
      <c r="D26" s="33" t="str">
        <f>IFERROR(IF(Calc!E26&lt;=$D$4,"Nice",""),"")</f>
        <v/>
      </c>
      <c r="E26" s="40" t="str">
        <f>IFERROR(IF(Calc!J26&lt;=$C$4,Calc!I26,""),"")</f>
        <v/>
      </c>
      <c r="F26" s="40" t="str">
        <f>IFERROR(IF(Calc!J26&lt;=$C$4,CONCATENATE(TEXT(Calc!H26,"#0.000#")," + ",TEXT(INDEX(Calc!L26:P26,$B$4),"#0.000#")),""),"")</f>
        <v/>
      </c>
      <c r="G26" s="41" t="str">
        <f>IFERROR(IF(Calc!J26&lt;=$C$4,Calc!J26,""),"")</f>
        <v/>
      </c>
      <c r="H26" s="33" t="str">
        <f>IFERROR(IF(Calc!J26&lt;=$D$4,"Nice",""),"")</f>
        <v/>
      </c>
      <c r="J26" s="7" t="str">
        <f>CONCATENATE("[",TEXT(Show!A26,"#.0#"),":",TEXT(Show!B26,"#.0#"),"][",TEXT(Show!E26,"#.0#"),":",TEXT(Show!F26,"#.0#"),"]")</f>
        <v>[:][:]</v>
      </c>
    </row>
    <row r="27" spans="1:10" ht="16.5" hidden="1" thickTop="1" x14ac:dyDescent="0.25">
      <c r="A27" s="40" t="str">
        <f>IFERROR(IF(Calc!E27&lt;=$C$4,Calc!D27,""),"")</f>
        <v/>
      </c>
      <c r="B27" s="40" t="str">
        <f>IFERROR(IF(Calc!E27&lt;=$C$4,CONCATENATE(TEXT(Calc!C27,"#0.000#")," || ",TEXT(INDEX(Calc!L27:P27,$B$4),"#0.000#")),""),"")</f>
        <v/>
      </c>
      <c r="C27" s="41" t="str">
        <f>IFERROR(IF(Calc!E27&lt;=$C$4,Calc!E27,""),"")</f>
        <v/>
      </c>
      <c r="D27" s="33" t="str">
        <f>IFERROR(IF(Calc!E27&lt;=$D$4,"Nice",""),"")</f>
        <v/>
      </c>
      <c r="E27" s="40" t="str">
        <f>IFERROR(IF(Calc!J27&lt;=$C$4,Calc!I27,""),"")</f>
        <v/>
      </c>
      <c r="F27" s="40" t="str">
        <f>IFERROR(IF(Calc!J27&lt;=$C$4,CONCATENATE(TEXT(Calc!H27,"#0.000#")," + ",TEXT(INDEX(Calc!L27:P27,$B$4),"#0.000#")),""),"")</f>
        <v/>
      </c>
      <c r="G27" s="41" t="str">
        <f>IFERROR(IF(Calc!J27&lt;=$C$4,Calc!J27,""),"")</f>
        <v/>
      </c>
      <c r="H27" s="33" t="str">
        <f>IFERROR(IF(Calc!J27&lt;=$D$4,"Nice",""),"")</f>
        <v/>
      </c>
      <c r="J27" s="7" t="str">
        <f>CONCATENATE("[",TEXT(Show!A27,"#.0#"),":",TEXT(Show!B27,"#.0#"),"][",TEXT(Show!E27,"#.0#"),":",TEXT(Show!F27,"#.0#"),"]")</f>
        <v>[:][:]</v>
      </c>
    </row>
    <row r="28" spans="1:10" ht="16.5" hidden="1" thickTop="1" x14ac:dyDescent="0.25">
      <c r="A28" s="40" t="str">
        <f>IFERROR(IF(Calc!E28&lt;=$C$4,Calc!D28,""),"")</f>
        <v/>
      </c>
      <c r="B28" s="40" t="str">
        <f>IFERROR(IF(Calc!E28&lt;=$C$4,CONCATENATE(TEXT(Calc!C28,"#0.000#")," || ",TEXT(INDEX(Calc!L28:P28,$B$4),"#0.000#")),""),"")</f>
        <v/>
      </c>
      <c r="C28" s="41" t="str">
        <f>IFERROR(IF(Calc!E28&lt;=$C$4,Calc!E28,""),"")</f>
        <v/>
      </c>
      <c r="D28" s="33" t="str">
        <f>IFERROR(IF(Calc!E28&lt;=$D$4,"Nice",""),"")</f>
        <v/>
      </c>
      <c r="E28" s="40" t="str">
        <f>IFERROR(IF(Calc!J28&lt;=$C$4,Calc!I28,""),"")</f>
        <v/>
      </c>
      <c r="F28" s="40" t="str">
        <f>IFERROR(IF(Calc!J28&lt;=$C$4,CONCATENATE(TEXT(Calc!H28,"#0.000#")," + ",TEXT(INDEX(Calc!L28:P28,$B$4),"#0.000#")),""),"")</f>
        <v/>
      </c>
      <c r="G28" s="41" t="str">
        <f>IFERROR(IF(Calc!J28&lt;=$C$4,Calc!J28,""),"")</f>
        <v/>
      </c>
      <c r="H28" s="33" t="str">
        <f>IFERROR(IF(Calc!J28&lt;=$D$4,"Nice",""),"")</f>
        <v/>
      </c>
      <c r="J28" s="7" t="str">
        <f>CONCATENATE("[",TEXT(Show!A28,"#.0#"),":",TEXT(Show!B28,"#.0#"),"][",TEXT(Show!E28,"#.0#"),":",TEXT(Show!F28,"#.0#"),"]")</f>
        <v>[:][:]</v>
      </c>
    </row>
    <row r="29" spans="1:10" ht="16.5" hidden="1" thickTop="1" x14ac:dyDescent="0.25">
      <c r="A29" s="40" t="str">
        <f>IFERROR(IF(Calc!E29&lt;=$C$4,Calc!D29,""),"")</f>
        <v/>
      </c>
      <c r="B29" s="40" t="str">
        <f>IFERROR(IF(Calc!E29&lt;=$C$4,CONCATENATE(TEXT(Calc!C29,"#0.000#")," || ",TEXT(INDEX(Calc!L29:P29,$B$4),"#0.000#")),""),"")</f>
        <v/>
      </c>
      <c r="C29" s="41" t="str">
        <f>IFERROR(IF(Calc!E29&lt;=$C$4,Calc!E29,""),"")</f>
        <v/>
      </c>
      <c r="D29" s="33" t="str">
        <f>IFERROR(IF(Calc!E29&lt;=$D$4,"Nice",""),"")</f>
        <v/>
      </c>
      <c r="E29" s="40" t="str">
        <f>IFERROR(IF(Calc!J29&lt;=$C$4,Calc!I29,""),"")</f>
        <v/>
      </c>
      <c r="F29" s="40" t="str">
        <f>IFERROR(IF(Calc!J29&lt;=$C$4,CONCATENATE(TEXT(Calc!H29,"#0.000#")," + ",TEXT(INDEX(Calc!L29:P29,$B$4),"#0.000#")),""),"")</f>
        <v/>
      </c>
      <c r="G29" s="41" t="str">
        <f>IFERROR(IF(Calc!J29&lt;=$C$4,Calc!J29,""),"")</f>
        <v/>
      </c>
      <c r="H29" s="33" t="str">
        <f>IFERROR(IF(Calc!J29&lt;=$D$4,"Nice",""),"")</f>
        <v/>
      </c>
      <c r="J29" s="7" t="str">
        <f>CONCATENATE("[",TEXT(Show!A29,"#.0#"),":",TEXT(Show!B29,"#.0#"),"][",TEXT(Show!E29,"#.0#"),":",TEXT(Show!F29,"#.0#"),"]")</f>
        <v>[:][:]</v>
      </c>
    </row>
    <row r="30" spans="1:10" ht="16.5" hidden="1" thickTop="1" x14ac:dyDescent="0.25">
      <c r="A30" s="40" t="str">
        <f>IFERROR(IF(Calc!E30&lt;=$C$4,Calc!D30,""),"")</f>
        <v/>
      </c>
      <c r="B30" s="40" t="str">
        <f>IFERROR(IF(Calc!E30&lt;=$C$4,CONCATENATE(TEXT(Calc!C30,"#0.000#")," || ",TEXT(INDEX(Calc!L30:P30,$B$4),"#0.000#")),""),"")</f>
        <v/>
      </c>
      <c r="C30" s="41" t="str">
        <f>IFERROR(IF(Calc!E30&lt;=$C$4,Calc!E30,""),"")</f>
        <v/>
      </c>
      <c r="D30" s="33" t="str">
        <f>IFERROR(IF(Calc!E30&lt;=$D$4,"Nice",""),"")</f>
        <v/>
      </c>
      <c r="E30" s="40" t="str">
        <f>IFERROR(IF(Calc!J30&lt;=$C$4,Calc!I30,""),"")</f>
        <v/>
      </c>
      <c r="F30" s="40" t="str">
        <f>IFERROR(IF(Calc!J30&lt;=$C$4,CONCATENATE(TEXT(Calc!H30,"#0.000#")," + ",TEXT(INDEX(Calc!L30:P30,$B$4),"#0.000#")),""),"")</f>
        <v/>
      </c>
      <c r="G30" s="41" t="str">
        <f>IFERROR(IF(Calc!J30&lt;=$C$4,Calc!J30,""),"")</f>
        <v/>
      </c>
      <c r="H30" s="33" t="str">
        <f>IFERROR(IF(Calc!J30&lt;=$D$4,"Nice",""),"")</f>
        <v/>
      </c>
      <c r="J30" s="7" t="str">
        <f>CONCATENATE("[",TEXT(Show!A30,"#.0#"),":",TEXT(Show!B30,"#.0#"),"][",TEXT(Show!E30,"#.0#"),":",TEXT(Show!F30,"#.0#"),"]")</f>
        <v>[:][:]</v>
      </c>
    </row>
    <row r="31" spans="1:10" ht="16.5" hidden="1" thickTop="1" x14ac:dyDescent="0.25">
      <c r="A31" s="40" t="str">
        <f>IFERROR(IF(Calc!E31&lt;=$C$4,Calc!D31,""),"")</f>
        <v/>
      </c>
      <c r="B31" s="40" t="str">
        <f>IFERROR(IF(Calc!E31&lt;=$C$4,CONCATENATE(TEXT(Calc!C31,"#0.000#")," || ",TEXT(INDEX(Calc!L31:P31,$B$4),"#0.000#")),""),"")</f>
        <v/>
      </c>
      <c r="C31" s="41" t="str">
        <f>IFERROR(IF(Calc!E31&lt;=$C$4,Calc!E31,""),"")</f>
        <v/>
      </c>
      <c r="D31" s="33" t="str">
        <f>IFERROR(IF(Calc!E31&lt;=$D$4,"Nice",""),"")</f>
        <v/>
      </c>
      <c r="E31" s="40" t="str">
        <f>IFERROR(IF(Calc!J31&lt;=$C$4,Calc!I31,""),"")</f>
        <v/>
      </c>
      <c r="F31" s="40" t="str">
        <f>IFERROR(IF(Calc!J31&lt;=$C$4,CONCATENATE(TEXT(Calc!H31,"#0.000#")," + ",TEXT(INDEX(Calc!L31:P31,$B$4),"#0.000#")),""),"")</f>
        <v/>
      </c>
      <c r="G31" s="41" t="str">
        <f>IFERROR(IF(Calc!J31&lt;=$C$4,Calc!J31,""),"")</f>
        <v/>
      </c>
      <c r="H31" s="33" t="str">
        <f>IFERROR(IF(Calc!J31&lt;=$D$4,"Nice",""),"")</f>
        <v/>
      </c>
      <c r="J31" s="7" t="str">
        <f>CONCATENATE("[",TEXT(Show!A31,"#.0#"),":",TEXT(Show!B31,"#.0#"),"][",TEXT(Show!E31,"#.0#"),":",TEXT(Show!F31,"#.0#"),"]")</f>
        <v>[:][:]</v>
      </c>
    </row>
    <row r="32" spans="1:10" ht="16.5" hidden="1" thickTop="1" x14ac:dyDescent="0.25">
      <c r="A32" s="40" t="str">
        <f>IFERROR(IF(Calc!E32&lt;=$C$4,Calc!D32,""),"")</f>
        <v/>
      </c>
      <c r="B32" s="40" t="str">
        <f>IFERROR(IF(Calc!E32&lt;=$C$4,CONCATENATE(TEXT(Calc!C32,"#0.000#")," || ",TEXT(INDEX(Calc!L32:P32,$B$4),"#0.000#")),""),"")</f>
        <v/>
      </c>
      <c r="C32" s="41" t="str">
        <f>IFERROR(IF(Calc!E32&lt;=$C$4,Calc!E32,""),"")</f>
        <v/>
      </c>
      <c r="D32" s="33" t="str">
        <f>IFERROR(IF(Calc!E32&lt;=$D$4,"Nice",""),"")</f>
        <v/>
      </c>
      <c r="E32" s="40" t="str">
        <f>IFERROR(IF(Calc!J32&lt;=$C$4,Calc!I32,""),"")</f>
        <v/>
      </c>
      <c r="F32" s="40" t="str">
        <f>IFERROR(IF(Calc!J32&lt;=$C$4,CONCATENATE(TEXT(Calc!H32,"#0.000#")," + ",TEXT(INDEX(Calc!L32:P32,$B$4),"#0.000#")),""),"")</f>
        <v/>
      </c>
      <c r="G32" s="41" t="str">
        <f>IFERROR(IF(Calc!J32&lt;=$C$4,Calc!J32,""),"")</f>
        <v/>
      </c>
      <c r="H32" s="33" t="str">
        <f>IFERROR(IF(Calc!J32&lt;=$D$4,"Nice",""),"")</f>
        <v/>
      </c>
      <c r="J32" s="7" t="str">
        <f>CONCATENATE("[",TEXT(Show!A32,"#.0#"),":",TEXT(Show!B32,"#.0#"),"][",TEXT(Show!E32,"#.0#"),":",TEXT(Show!F32,"#.0#"),"]")</f>
        <v>[:][:]</v>
      </c>
    </row>
    <row r="33" spans="1:10" ht="16.5" hidden="1" thickTop="1" x14ac:dyDescent="0.25">
      <c r="A33" s="40" t="str">
        <f>IFERROR(IF(Calc!E33&lt;=$C$4,Calc!D33,""),"")</f>
        <v/>
      </c>
      <c r="B33" s="40" t="str">
        <f>IFERROR(IF(Calc!E33&lt;=$C$4,CONCATENATE(TEXT(Calc!C33,"#0.000#")," || ",TEXT(INDEX(Calc!L33:P33,$B$4),"#0.000#")),""),"")</f>
        <v/>
      </c>
      <c r="C33" s="41" t="str">
        <f>IFERROR(IF(Calc!E33&lt;=$C$4,Calc!E33,""),"")</f>
        <v/>
      </c>
      <c r="D33" s="33" t="str">
        <f>IFERROR(IF(Calc!E33&lt;=$D$4,"Nice",""),"")</f>
        <v/>
      </c>
      <c r="E33" s="40" t="str">
        <f>IFERROR(IF(Calc!J33&lt;=$C$4,Calc!I33,""),"")</f>
        <v/>
      </c>
      <c r="F33" s="40" t="str">
        <f>IFERROR(IF(Calc!J33&lt;=$C$4,CONCATENATE(TEXT(Calc!H33,"#0.000#")," + ",TEXT(INDEX(Calc!L33:P33,$B$4),"#0.000#")),""),"")</f>
        <v/>
      </c>
      <c r="G33" s="41" t="str">
        <f>IFERROR(IF(Calc!J33&lt;=$C$4,Calc!J33,""),"")</f>
        <v/>
      </c>
      <c r="H33" s="33" t="str">
        <f>IFERROR(IF(Calc!J33&lt;=$D$4,"Nice",""),"")</f>
        <v/>
      </c>
      <c r="J33" s="7" t="str">
        <f>CONCATENATE("[",TEXT(Show!A33,"#.0#"),":",TEXT(Show!B33,"#.0#"),"][",TEXT(Show!E33,"#.0#"),":",TEXT(Show!F33,"#.0#"),"]")</f>
        <v>[:][:]</v>
      </c>
    </row>
    <row r="34" spans="1:10" ht="16.5" hidden="1" thickTop="1" x14ac:dyDescent="0.25">
      <c r="A34" s="40" t="str">
        <f>IFERROR(IF(Calc!E34&lt;=$C$4,Calc!D34,""),"")</f>
        <v/>
      </c>
      <c r="B34" s="40" t="str">
        <f>IFERROR(IF(Calc!E34&lt;=$C$4,CONCATENATE(TEXT(Calc!C34,"#0.000#")," || ",TEXT(INDEX(Calc!L34:P34,$B$4),"#0.000#")),""),"")</f>
        <v/>
      </c>
      <c r="C34" s="41" t="str">
        <f>IFERROR(IF(Calc!E34&lt;=$C$4,Calc!E34,""),"")</f>
        <v/>
      </c>
      <c r="D34" s="33" t="str">
        <f>IFERROR(IF(Calc!E34&lt;=$D$4,"Nice",""),"")</f>
        <v/>
      </c>
      <c r="E34" s="40" t="str">
        <f>IFERROR(IF(Calc!J34&lt;=$C$4,Calc!I34,""),"")</f>
        <v/>
      </c>
      <c r="F34" s="40" t="str">
        <f>IFERROR(IF(Calc!J34&lt;=$C$4,CONCATENATE(TEXT(Calc!H34,"#0.000#")," + ",TEXT(INDEX(Calc!L34:P34,$B$4),"#0.000#")),""),"")</f>
        <v/>
      </c>
      <c r="G34" s="41" t="str">
        <f>IFERROR(IF(Calc!J34&lt;=$C$4,Calc!J34,""),"")</f>
        <v/>
      </c>
      <c r="H34" s="33" t="str">
        <f>IFERROR(IF(Calc!J34&lt;=$D$4,"Nice",""),"")</f>
        <v/>
      </c>
      <c r="J34" s="7" t="str">
        <f>CONCATENATE("[",TEXT(Show!A34,"#.0#"),":",TEXT(Show!B34,"#.0#"),"][",TEXT(Show!E34,"#.0#"),":",TEXT(Show!F34,"#.0#"),"]")</f>
        <v>[:][:]</v>
      </c>
    </row>
    <row r="35" spans="1:10" ht="16.5" hidden="1" thickTop="1" x14ac:dyDescent="0.25">
      <c r="A35" s="40" t="str">
        <f>IFERROR(IF(Calc!E35&lt;=$C$4,Calc!D35,""),"")</f>
        <v/>
      </c>
      <c r="B35" s="40" t="str">
        <f>IFERROR(IF(Calc!E35&lt;=$C$4,CONCATENATE(TEXT(Calc!C35,"#0.000#")," || ",TEXT(INDEX(Calc!L35:P35,$B$4),"#0.000#")),""),"")</f>
        <v/>
      </c>
      <c r="C35" s="41" t="str">
        <f>IFERROR(IF(Calc!E35&lt;=$C$4,Calc!E35,""),"")</f>
        <v/>
      </c>
      <c r="D35" s="33" t="str">
        <f>IFERROR(IF(Calc!E35&lt;=$D$4,"Nice",""),"")</f>
        <v/>
      </c>
      <c r="E35" s="40" t="str">
        <f>IFERROR(IF(Calc!J35&lt;=$C$4,Calc!I35,""),"")</f>
        <v/>
      </c>
      <c r="F35" s="40" t="str">
        <f>IFERROR(IF(Calc!J35&lt;=$C$4,CONCATENATE(TEXT(Calc!H35,"#0.000#")," + ",TEXT(INDEX(Calc!L35:P35,$B$4),"#0.000#")),""),"")</f>
        <v/>
      </c>
      <c r="G35" s="41" t="str">
        <f>IFERROR(IF(Calc!J35&lt;=$C$4,Calc!J35,""),"")</f>
        <v/>
      </c>
      <c r="H35" s="33" t="str">
        <f>IFERROR(IF(Calc!J35&lt;=$D$4,"Nice",""),"")</f>
        <v/>
      </c>
      <c r="J35" s="7" t="str">
        <f>CONCATENATE("[",TEXT(Show!A35,"#.0#"),":",TEXT(Show!B35,"#.0#"),"][",TEXT(Show!E35,"#.0#"),":",TEXT(Show!F35,"#.0#"),"]")</f>
        <v>[:][:]</v>
      </c>
    </row>
    <row r="36" spans="1:10" ht="16.5" hidden="1" thickTop="1" x14ac:dyDescent="0.25">
      <c r="A36" s="40" t="str">
        <f>IFERROR(IF(Calc!E36&lt;=$C$4,Calc!D36,""),"")</f>
        <v/>
      </c>
      <c r="B36" s="40" t="str">
        <f>IFERROR(IF(Calc!E36&lt;=$C$4,CONCATENATE(TEXT(Calc!C36,"#0.000#")," || ",TEXT(INDEX(Calc!L36:P36,$B$4),"#0.000#")),""),"")</f>
        <v/>
      </c>
      <c r="C36" s="41" t="str">
        <f>IFERROR(IF(Calc!E36&lt;=$C$4,Calc!E36,""),"")</f>
        <v/>
      </c>
      <c r="D36" s="33" t="str">
        <f>IFERROR(IF(Calc!E36&lt;=$D$4,"Nice",""),"")</f>
        <v/>
      </c>
      <c r="E36" s="40" t="str">
        <f>IFERROR(IF(Calc!J36&lt;=$C$4,Calc!I36,""),"")</f>
        <v/>
      </c>
      <c r="F36" s="40" t="str">
        <f>IFERROR(IF(Calc!J36&lt;=$C$4,CONCATENATE(TEXT(Calc!H36,"#0.000#")," + ",TEXT(INDEX(Calc!L36:P36,$B$4),"#0.000#")),""),"")</f>
        <v/>
      </c>
      <c r="G36" s="41" t="str">
        <f>IFERROR(IF(Calc!J36&lt;=$C$4,Calc!J36,""),"")</f>
        <v/>
      </c>
      <c r="H36" s="33" t="str">
        <f>IFERROR(IF(Calc!J36&lt;=$D$4,"Nice",""),"")</f>
        <v/>
      </c>
      <c r="J36" s="7" t="str">
        <f>CONCATENATE("[",TEXT(Show!A36,"#.0#"),":",TEXT(Show!B36,"#.0#"),"][",TEXT(Show!E36,"#.0#"),":",TEXT(Show!F36,"#.0#"),"]")</f>
        <v>[:][:]</v>
      </c>
    </row>
    <row r="37" spans="1:10" ht="16.5" hidden="1" thickTop="1" x14ac:dyDescent="0.25">
      <c r="A37" s="40" t="str">
        <f>IFERROR(IF(Calc!E37&lt;=$C$4,Calc!D37,""),"")</f>
        <v/>
      </c>
      <c r="B37" s="40" t="str">
        <f>IFERROR(IF(Calc!E37&lt;=$C$4,CONCATENATE(TEXT(Calc!C37,"#0.000#")," || ",TEXT(INDEX(Calc!L37:P37,$B$4),"#0.000#")),""),"")</f>
        <v/>
      </c>
      <c r="C37" s="41" t="str">
        <f>IFERROR(IF(Calc!E37&lt;=$C$4,Calc!E37,""),"")</f>
        <v/>
      </c>
      <c r="D37" s="33" t="str">
        <f>IFERROR(IF(Calc!E37&lt;=$D$4,"Nice",""),"")</f>
        <v/>
      </c>
      <c r="E37" s="40" t="str">
        <f>IFERROR(IF(Calc!J37&lt;=$C$4,Calc!I37,""),"")</f>
        <v/>
      </c>
      <c r="F37" s="40" t="str">
        <f>IFERROR(IF(Calc!J37&lt;=$C$4,CONCATENATE(TEXT(Calc!H37,"#0.000#")," + ",TEXT(INDEX(Calc!L37:P37,$B$4),"#0.000#")),""),"")</f>
        <v/>
      </c>
      <c r="G37" s="41" t="str">
        <f>IFERROR(IF(Calc!J37&lt;=$C$4,Calc!J37,""),"")</f>
        <v/>
      </c>
      <c r="H37" s="33" t="str">
        <f>IFERROR(IF(Calc!J37&lt;=$D$4,"Nice",""),"")</f>
        <v/>
      </c>
      <c r="J37" s="7" t="str">
        <f>CONCATENATE("[",TEXT(Show!A37,"#.0#"),":",TEXT(Show!B37,"#.0#"),"][",TEXT(Show!E37,"#.0#"),":",TEXT(Show!F37,"#.0#"),"]")</f>
        <v>[:][:]</v>
      </c>
    </row>
    <row r="38" spans="1:10" ht="16.5" hidden="1" thickTop="1" x14ac:dyDescent="0.25">
      <c r="A38" s="40" t="str">
        <f>IFERROR(IF(Calc!E38&lt;=$C$4,Calc!D38,""),"")</f>
        <v/>
      </c>
      <c r="B38" s="40" t="str">
        <f>IFERROR(IF(Calc!E38&lt;=$C$4,CONCATENATE(TEXT(Calc!C38,"#0.000#")," || ",TEXT(INDEX(Calc!L38:P38,$B$4),"#0.000#")),""),"")</f>
        <v/>
      </c>
      <c r="C38" s="41" t="str">
        <f>IFERROR(IF(Calc!E38&lt;=$C$4,Calc!E38,""),"")</f>
        <v/>
      </c>
      <c r="D38" s="33" t="str">
        <f>IFERROR(IF(Calc!E38&lt;=$D$4,"Nice",""),"")</f>
        <v/>
      </c>
      <c r="E38" s="40" t="str">
        <f>IFERROR(IF(Calc!J38&lt;=$C$4,Calc!I38,""),"")</f>
        <v/>
      </c>
      <c r="F38" s="40" t="str">
        <f>IFERROR(IF(Calc!J38&lt;=$C$4,CONCATENATE(TEXT(Calc!H38,"#0.000#")," + ",TEXT(INDEX(Calc!L38:P38,$B$4),"#0.000#")),""),"")</f>
        <v/>
      </c>
      <c r="G38" s="41" t="str">
        <f>IFERROR(IF(Calc!J38&lt;=$C$4,Calc!J38,""),"")</f>
        <v/>
      </c>
      <c r="H38" s="33" t="str">
        <f>IFERROR(IF(Calc!J38&lt;=$D$4,"Nice",""),"")</f>
        <v/>
      </c>
      <c r="J38" s="7" t="str">
        <f>CONCATENATE("[",TEXT(Show!A38,"#.0#"),":",TEXT(Show!B38,"#.0#"),"][",TEXT(Show!E38,"#.0#"),":",TEXT(Show!F38,"#.0#"),"]")</f>
        <v>[:][:]</v>
      </c>
    </row>
    <row r="39" spans="1:10" ht="16.5" hidden="1" thickTop="1" x14ac:dyDescent="0.25">
      <c r="A39" s="40" t="str">
        <f>IFERROR(IF(Calc!E39&lt;=$C$4,Calc!D39,""),"")</f>
        <v/>
      </c>
      <c r="B39" s="40" t="str">
        <f>IFERROR(IF(Calc!E39&lt;=$C$4,CONCATENATE(TEXT(Calc!C39,"#0.000#")," || ",TEXT(INDEX(Calc!L39:P39,$B$4),"#0.000#")),""),"")</f>
        <v/>
      </c>
      <c r="C39" s="41" t="str">
        <f>IFERROR(IF(Calc!E39&lt;=$C$4,Calc!E39,""),"")</f>
        <v/>
      </c>
      <c r="D39" s="33" t="str">
        <f>IFERROR(IF(Calc!E39&lt;=$D$4,"Nice",""),"")</f>
        <v/>
      </c>
      <c r="E39" s="40" t="str">
        <f>IFERROR(IF(Calc!J39&lt;=$C$4,Calc!I39,""),"")</f>
        <v/>
      </c>
      <c r="F39" s="40" t="str">
        <f>IFERROR(IF(Calc!J39&lt;=$C$4,CONCATENATE(TEXT(Calc!H39,"#0.000#")," + ",TEXT(INDEX(Calc!L39:P39,$B$4),"#0.000#")),""),"")</f>
        <v/>
      </c>
      <c r="G39" s="41" t="str">
        <f>IFERROR(IF(Calc!J39&lt;=$C$4,Calc!J39,""),"")</f>
        <v/>
      </c>
      <c r="H39" s="33" t="str">
        <f>IFERROR(IF(Calc!J39&lt;=$D$4,"Nice",""),"")</f>
        <v/>
      </c>
      <c r="J39" s="7" t="str">
        <f>CONCATENATE("[",TEXT(Show!A39,"#.0#"),":",TEXT(Show!B39,"#.0#"),"][",TEXT(Show!E39,"#.0#"),":",TEXT(Show!F39,"#.0#"),"]")</f>
        <v>[:][:]</v>
      </c>
    </row>
    <row r="40" spans="1:10" ht="16.5" hidden="1" thickTop="1" x14ac:dyDescent="0.25">
      <c r="A40" s="40" t="str">
        <f>IFERROR(IF(Calc!E40&lt;=$C$4,Calc!D40,""),"")</f>
        <v/>
      </c>
      <c r="B40" s="40" t="str">
        <f>IFERROR(IF(Calc!E40&lt;=$C$4,CONCATENATE(TEXT(Calc!C40,"#0.000#")," || ",TEXT(INDEX(Calc!L40:P40,$B$4),"#0.000#")),""),"")</f>
        <v/>
      </c>
      <c r="C40" s="41" t="str">
        <f>IFERROR(IF(Calc!E40&lt;=$C$4,Calc!E40,""),"")</f>
        <v/>
      </c>
      <c r="D40" s="33" t="str">
        <f>IFERROR(IF(Calc!E40&lt;=$D$4,"Nice",""),"")</f>
        <v/>
      </c>
      <c r="E40" s="40" t="str">
        <f>IFERROR(IF(Calc!J40&lt;=$C$4,Calc!I40,""),"")</f>
        <v/>
      </c>
      <c r="F40" s="40" t="str">
        <f>IFERROR(IF(Calc!J40&lt;=$C$4,CONCATENATE(TEXT(Calc!H40,"#0.000#")," + ",TEXT(INDEX(Calc!L40:P40,$B$4),"#0.000#")),""),"")</f>
        <v/>
      </c>
      <c r="G40" s="41" t="str">
        <f>IFERROR(IF(Calc!J40&lt;=$C$4,Calc!J40,""),"")</f>
        <v/>
      </c>
      <c r="H40" s="33" t="str">
        <f>IFERROR(IF(Calc!J40&lt;=$D$4,"Nice",""),"")</f>
        <v/>
      </c>
      <c r="J40" s="7" t="str">
        <f>CONCATENATE("[",TEXT(Show!A40,"#.0#"),":",TEXT(Show!B40,"#.0#"),"][",TEXT(Show!E40,"#.0#"),":",TEXT(Show!F40,"#.0#"),"]")</f>
        <v>[:][:]</v>
      </c>
    </row>
    <row r="41" spans="1:10" ht="16.5" hidden="1" thickTop="1" x14ac:dyDescent="0.25">
      <c r="A41" s="40" t="str">
        <f>IFERROR(IF(Calc!E41&lt;=$C$4,Calc!D41,""),"")</f>
        <v/>
      </c>
      <c r="B41" s="40" t="str">
        <f>IFERROR(IF(Calc!E41&lt;=$C$4,CONCATENATE(TEXT(Calc!C41,"#0.000#")," || ",TEXT(INDEX(Calc!L41:P41,$B$4),"#0.000#")),""),"")</f>
        <v/>
      </c>
      <c r="C41" s="41" t="str">
        <f>IFERROR(IF(Calc!E41&lt;=$C$4,Calc!E41,""),"")</f>
        <v/>
      </c>
      <c r="D41" s="33" t="str">
        <f>IFERROR(IF(Calc!E41&lt;=$D$4,"Nice",""),"")</f>
        <v/>
      </c>
      <c r="E41" s="40" t="str">
        <f>IFERROR(IF(Calc!J41&lt;=$C$4,Calc!I41,""),"")</f>
        <v/>
      </c>
      <c r="F41" s="40" t="str">
        <f>IFERROR(IF(Calc!J41&lt;=$C$4,CONCATENATE(TEXT(Calc!H41,"#0.000#")," + ",TEXT(INDEX(Calc!L41:P41,$B$4),"#0.000#")),""),"")</f>
        <v/>
      </c>
      <c r="G41" s="41" t="str">
        <f>IFERROR(IF(Calc!J41&lt;=$C$4,Calc!J41,""),"")</f>
        <v/>
      </c>
      <c r="H41" s="33" t="str">
        <f>IFERROR(IF(Calc!J41&lt;=$D$4,"Nice",""),"")</f>
        <v/>
      </c>
      <c r="J41" s="7" t="str">
        <f>CONCATENATE("[",TEXT(Show!A41,"#.0#"),":",TEXT(Show!B41,"#.0#"),"][",TEXT(Show!E41,"#.0#"),":",TEXT(Show!F41,"#.0#"),"]")</f>
        <v>[:][:]</v>
      </c>
    </row>
    <row r="42" spans="1:10" ht="16.5" hidden="1" thickTop="1" x14ac:dyDescent="0.25">
      <c r="A42" s="40" t="str">
        <f>IFERROR(IF(Calc!E42&lt;=$C$4,Calc!D42,""),"")</f>
        <v/>
      </c>
      <c r="B42" s="40" t="str">
        <f>IFERROR(IF(Calc!E42&lt;=$C$4,CONCATENATE(TEXT(Calc!C42,"#0.000#")," || ",TEXT(INDEX(Calc!L42:P42,$B$4),"#0.000#")),""),"")</f>
        <v/>
      </c>
      <c r="C42" s="41" t="str">
        <f>IFERROR(IF(Calc!E42&lt;=$C$4,Calc!E42,""),"")</f>
        <v/>
      </c>
      <c r="D42" s="33" t="str">
        <f>IFERROR(IF(Calc!E42&lt;=$D$4,"Nice",""),"")</f>
        <v/>
      </c>
      <c r="E42" s="40" t="str">
        <f>IFERROR(IF(Calc!J42&lt;=$C$4,Calc!I42,""),"")</f>
        <v/>
      </c>
      <c r="F42" s="40" t="str">
        <f>IFERROR(IF(Calc!J42&lt;=$C$4,CONCATENATE(TEXT(Calc!H42,"#0.000#")," + ",TEXT(INDEX(Calc!L42:P42,$B$4),"#0.000#")),""),"")</f>
        <v/>
      </c>
      <c r="G42" s="41" t="str">
        <f>IFERROR(IF(Calc!J42&lt;=$C$4,Calc!J42,""),"")</f>
        <v/>
      </c>
      <c r="H42" s="33" t="str">
        <f>IFERROR(IF(Calc!J42&lt;=$D$4,"Nice",""),"")</f>
        <v/>
      </c>
      <c r="J42" s="7" t="str">
        <f>CONCATENATE("[",TEXT(Show!A42,"#.0#"),":",TEXT(Show!B42,"#.0#"),"][",TEXT(Show!E42,"#.0#"),":",TEXT(Show!F42,"#.0#"),"]")</f>
        <v>[:][:]</v>
      </c>
    </row>
    <row r="43" spans="1:10" ht="16.5" hidden="1" thickTop="1" x14ac:dyDescent="0.25">
      <c r="A43" s="40" t="str">
        <f>IFERROR(IF(Calc!E43&lt;=$C$4,Calc!D43,""),"")</f>
        <v/>
      </c>
      <c r="B43" s="40" t="str">
        <f>IFERROR(IF(Calc!E43&lt;=$C$4,CONCATENATE(TEXT(Calc!C43,"#0.000#")," || ",TEXT(INDEX(Calc!L43:P43,$B$4),"#0.000#")),""),"")</f>
        <v/>
      </c>
      <c r="C43" s="41" t="str">
        <f>IFERROR(IF(Calc!E43&lt;=$C$4,Calc!E43,""),"")</f>
        <v/>
      </c>
      <c r="D43" s="33" t="str">
        <f>IFERROR(IF(Calc!E43&lt;=$D$4,"Nice",""),"")</f>
        <v/>
      </c>
      <c r="E43" s="40" t="str">
        <f>IFERROR(IF(Calc!J43&lt;=$C$4,Calc!I43,""),"")</f>
        <v/>
      </c>
      <c r="F43" s="40" t="str">
        <f>IFERROR(IF(Calc!J43&lt;=$C$4,CONCATENATE(TEXT(Calc!H43,"#0.000#")," + ",TEXT(INDEX(Calc!L43:P43,$B$4),"#0.000#")),""),"")</f>
        <v/>
      </c>
      <c r="G43" s="41" t="str">
        <f>IFERROR(IF(Calc!J43&lt;=$C$4,Calc!J43,""),"")</f>
        <v/>
      </c>
      <c r="H43" s="33" t="str">
        <f>IFERROR(IF(Calc!J43&lt;=$D$4,"Nice",""),"")</f>
        <v/>
      </c>
      <c r="J43" s="7" t="str">
        <f>CONCATENATE("[",TEXT(Show!A43,"#.0#"),":",TEXT(Show!B43,"#.0#"),"][",TEXT(Show!E43,"#.0#"),":",TEXT(Show!F43,"#.0#"),"]")</f>
        <v>[:][:]</v>
      </c>
    </row>
    <row r="44" spans="1:10" ht="16.5" hidden="1" thickTop="1" x14ac:dyDescent="0.25">
      <c r="A44" s="40" t="str">
        <f>IFERROR(IF(Calc!E44&lt;=$C$4,Calc!D44,""),"")</f>
        <v/>
      </c>
      <c r="B44" s="40" t="str">
        <f>IFERROR(IF(Calc!E44&lt;=$C$4,CONCATENATE(TEXT(Calc!C44,"#0.000#")," || ",TEXT(INDEX(Calc!L44:P44,$B$4),"#0.000#")),""),"")</f>
        <v/>
      </c>
      <c r="C44" s="41" t="str">
        <f>IFERROR(IF(Calc!E44&lt;=$C$4,Calc!E44,""),"")</f>
        <v/>
      </c>
      <c r="D44" s="33" t="str">
        <f>IFERROR(IF(Calc!E44&lt;=$D$4,"Nice",""),"")</f>
        <v/>
      </c>
      <c r="E44" s="40" t="str">
        <f>IFERROR(IF(Calc!J44&lt;=$C$4,Calc!I44,""),"")</f>
        <v/>
      </c>
      <c r="F44" s="40" t="str">
        <f>IFERROR(IF(Calc!J44&lt;=$C$4,CONCATENATE(TEXT(Calc!H44,"#0.000#")," + ",TEXT(INDEX(Calc!L44:P44,$B$4),"#0.000#")),""),"")</f>
        <v/>
      </c>
      <c r="G44" s="41" t="str">
        <f>IFERROR(IF(Calc!J44&lt;=$C$4,Calc!J44,""),"")</f>
        <v/>
      </c>
      <c r="H44" s="33" t="str">
        <f>IFERROR(IF(Calc!J44&lt;=$D$4,"Nice",""),"")</f>
        <v/>
      </c>
      <c r="J44" s="7" t="str">
        <f>CONCATENATE("[",TEXT(Show!A44,"#.0#"),":",TEXT(Show!B44,"#.0#"),"][",TEXT(Show!E44,"#.0#"),":",TEXT(Show!F44,"#.0#"),"]")</f>
        <v>[:][:]</v>
      </c>
    </row>
    <row r="45" spans="1:10" ht="16.5" hidden="1" thickTop="1" x14ac:dyDescent="0.25">
      <c r="A45" s="40" t="str">
        <f>IFERROR(IF(Calc!E45&lt;=$C$4,Calc!D45,""),"")</f>
        <v/>
      </c>
      <c r="B45" s="40" t="str">
        <f>IFERROR(IF(Calc!E45&lt;=$C$4,CONCATENATE(TEXT(Calc!C45,"#0.000#")," || ",TEXT(INDEX(Calc!L45:P45,$B$4),"#0.000#")),""),"")</f>
        <v/>
      </c>
      <c r="C45" s="41" t="str">
        <f>IFERROR(IF(Calc!E45&lt;=$C$4,Calc!E45,""),"")</f>
        <v/>
      </c>
      <c r="D45" s="33" t="str">
        <f>IFERROR(IF(Calc!E45&lt;=$D$4,"Nice",""),"")</f>
        <v/>
      </c>
      <c r="E45" s="40" t="str">
        <f>IFERROR(IF(Calc!J45&lt;=$C$4,Calc!I45,""),"")</f>
        <v/>
      </c>
      <c r="F45" s="40" t="str">
        <f>IFERROR(IF(Calc!J45&lt;=$C$4,CONCATENATE(TEXT(Calc!H45,"#0.000#")," + ",TEXT(INDEX(Calc!L45:P45,$B$4),"#0.000#")),""),"")</f>
        <v/>
      </c>
      <c r="G45" s="41" t="str">
        <f>IFERROR(IF(Calc!J45&lt;=$C$4,Calc!J45,""),"")</f>
        <v/>
      </c>
      <c r="H45" s="33" t="str">
        <f>IFERROR(IF(Calc!J45&lt;=$D$4,"Nice",""),"")</f>
        <v/>
      </c>
      <c r="J45" s="7" t="str">
        <f>CONCATENATE("[",TEXT(Show!A45,"#.0#"),":",TEXT(Show!B45,"#.0#"),"][",TEXT(Show!E45,"#.0#"),":",TEXT(Show!F45,"#.0#"),"]")</f>
        <v>[:][:]</v>
      </c>
    </row>
    <row r="46" spans="1:10" ht="16.5" hidden="1" thickTop="1" x14ac:dyDescent="0.25">
      <c r="A46" s="40" t="str">
        <f>IFERROR(IF(Calc!E46&lt;=$C$4,Calc!D46,""),"")</f>
        <v/>
      </c>
      <c r="B46" s="40" t="str">
        <f>IFERROR(IF(Calc!E46&lt;=$C$4,CONCATENATE(TEXT(Calc!C46,"#0.000#")," || ",TEXT(INDEX(Calc!L46:P46,$B$4),"#0.000#")),""),"")</f>
        <v/>
      </c>
      <c r="C46" s="41" t="str">
        <f>IFERROR(IF(Calc!E46&lt;=$C$4,Calc!E46,""),"")</f>
        <v/>
      </c>
      <c r="D46" s="33" t="str">
        <f>IFERROR(IF(Calc!E46&lt;=$D$4,"Nice",""),"")</f>
        <v/>
      </c>
      <c r="E46" s="40" t="str">
        <f>IFERROR(IF(Calc!J46&lt;=$C$4,Calc!I46,""),"")</f>
        <v/>
      </c>
      <c r="F46" s="40" t="str">
        <f>IFERROR(IF(Calc!J46&lt;=$C$4,CONCATENATE(TEXT(Calc!H46,"#0.000#")," + ",TEXT(INDEX(Calc!L46:P46,$B$4),"#0.000#")),""),"")</f>
        <v/>
      </c>
      <c r="G46" s="41" t="str">
        <f>IFERROR(IF(Calc!J46&lt;=$C$4,Calc!J46,""),"")</f>
        <v/>
      </c>
      <c r="H46" s="33" t="str">
        <f>IFERROR(IF(Calc!J46&lt;=$D$4,"Nice",""),"")</f>
        <v/>
      </c>
      <c r="J46" s="7" t="str">
        <f>CONCATENATE("[",TEXT(Show!A46,"#.0#"),":",TEXT(Show!B46,"#.0#"),"][",TEXT(Show!E46,"#.0#"),":",TEXT(Show!F46,"#.0#"),"]")</f>
        <v>[:][:]</v>
      </c>
    </row>
    <row r="47" spans="1:10" ht="16.5" hidden="1" thickTop="1" x14ac:dyDescent="0.25">
      <c r="A47" s="40" t="str">
        <f>IFERROR(IF(Calc!E47&lt;=$C$4,Calc!D47,""),"")</f>
        <v/>
      </c>
      <c r="B47" s="40" t="str">
        <f>IFERROR(IF(Calc!E47&lt;=$C$4,CONCATENATE(TEXT(Calc!C47,"#0.000#")," || ",TEXT(INDEX(Calc!L47:P47,$B$4),"#0.000#")),""),"")</f>
        <v/>
      </c>
      <c r="C47" s="41" t="str">
        <f>IFERROR(IF(Calc!E47&lt;=$C$4,Calc!E47,""),"")</f>
        <v/>
      </c>
      <c r="D47" s="33" t="str">
        <f>IFERROR(IF(Calc!E47&lt;=$D$4,"Nice",""),"")</f>
        <v/>
      </c>
      <c r="E47" s="40" t="str">
        <f>IFERROR(IF(Calc!J47&lt;=$C$4,Calc!I47,""),"")</f>
        <v/>
      </c>
      <c r="F47" s="40" t="str">
        <f>IFERROR(IF(Calc!J47&lt;=$C$4,CONCATENATE(TEXT(Calc!H47,"#0.000#")," + ",TEXT(INDEX(Calc!L47:P47,$B$4),"#0.000#")),""),"")</f>
        <v/>
      </c>
      <c r="G47" s="41" t="str">
        <f>IFERROR(IF(Calc!J47&lt;=$C$4,Calc!J47,""),"")</f>
        <v/>
      </c>
      <c r="H47" s="33" t="str">
        <f>IFERROR(IF(Calc!J47&lt;=$D$4,"Nice",""),"")</f>
        <v/>
      </c>
      <c r="J47" s="7" t="str">
        <f>CONCATENATE("[",TEXT(Show!A47,"#.0#"),":",TEXT(Show!B47,"#.0#"),"][",TEXT(Show!E47,"#.0#"),":",TEXT(Show!F47,"#.0#"),"]")</f>
        <v>[:][:]</v>
      </c>
    </row>
    <row r="48" spans="1:10" ht="16.5" hidden="1" thickTop="1" x14ac:dyDescent="0.25">
      <c r="A48" s="40" t="str">
        <f>IFERROR(IF(Calc!E48&lt;=$C$4,Calc!D48,""),"")</f>
        <v/>
      </c>
      <c r="B48" s="40" t="str">
        <f>IFERROR(IF(Calc!E48&lt;=$C$4,CONCATENATE(TEXT(Calc!C48,"#0.000#")," || ",TEXT(INDEX(Calc!L48:P48,$B$4),"#0.000#")),""),"")</f>
        <v/>
      </c>
      <c r="C48" s="41" t="str">
        <f>IFERROR(IF(Calc!E48&lt;=$C$4,Calc!E48,""),"")</f>
        <v/>
      </c>
      <c r="D48" s="33" t="str">
        <f>IFERROR(IF(Calc!E48&lt;=$D$4,"Nice",""),"")</f>
        <v/>
      </c>
      <c r="E48" s="40" t="str">
        <f>IFERROR(IF(Calc!J48&lt;=$C$4,Calc!I48,""),"")</f>
        <v/>
      </c>
      <c r="F48" s="40" t="str">
        <f>IFERROR(IF(Calc!J48&lt;=$C$4,CONCATENATE(TEXT(Calc!H48,"#0.000#")," + ",TEXT(INDEX(Calc!L48:P48,$B$4),"#0.000#")),""),"")</f>
        <v/>
      </c>
      <c r="G48" s="41" t="str">
        <f>IFERROR(IF(Calc!J48&lt;=$C$4,Calc!J48,""),"")</f>
        <v/>
      </c>
      <c r="H48" s="33" t="str">
        <f>IFERROR(IF(Calc!J48&lt;=$D$4,"Nice",""),"")</f>
        <v/>
      </c>
      <c r="J48" s="7" t="str">
        <f>CONCATENATE("[",TEXT(Show!A48,"#.0#"),":",TEXT(Show!B48,"#.0#"),"][",TEXT(Show!E48,"#.0#"),":",TEXT(Show!F48,"#.0#"),"]")</f>
        <v>[:][:]</v>
      </c>
    </row>
    <row r="49" spans="1:10" ht="16.5" hidden="1" thickTop="1" x14ac:dyDescent="0.25">
      <c r="A49" s="40" t="str">
        <f>IFERROR(IF(Calc!E49&lt;=$C$4,Calc!D49,""),"")</f>
        <v/>
      </c>
      <c r="B49" s="40" t="str">
        <f>IFERROR(IF(Calc!E49&lt;=$C$4,CONCATENATE(TEXT(Calc!C49,"#0.000#")," || ",TEXT(INDEX(Calc!L49:P49,$B$4),"#0.000#")),""),"")</f>
        <v/>
      </c>
      <c r="C49" s="41" t="str">
        <f>IFERROR(IF(Calc!E49&lt;=$C$4,Calc!E49,""),"")</f>
        <v/>
      </c>
      <c r="D49" s="33" t="str">
        <f>IFERROR(IF(Calc!E49&lt;=$D$4,"Nice",""),"")</f>
        <v/>
      </c>
      <c r="E49" s="40" t="str">
        <f>IFERROR(IF(Calc!J49&lt;=$C$4,Calc!I49,""),"")</f>
        <v/>
      </c>
      <c r="F49" s="40" t="str">
        <f>IFERROR(IF(Calc!J49&lt;=$C$4,CONCATENATE(TEXT(Calc!H49,"#0.000#")," + ",TEXT(INDEX(Calc!L49:P49,$B$4),"#0.000#")),""),"")</f>
        <v/>
      </c>
      <c r="G49" s="41" t="str">
        <f>IFERROR(IF(Calc!J49&lt;=$C$4,Calc!J49,""),"")</f>
        <v/>
      </c>
      <c r="H49" s="33" t="str">
        <f>IFERROR(IF(Calc!J49&lt;=$D$4,"Nice",""),"")</f>
        <v/>
      </c>
      <c r="J49" s="7" t="str">
        <f>CONCATENATE("[",TEXT(Show!A49,"#.0#"),":",TEXT(Show!B49,"#.0#"),"][",TEXT(Show!E49,"#.0#"),":",TEXT(Show!F49,"#.0#"),"]")</f>
        <v>[:][:]</v>
      </c>
    </row>
    <row r="50" spans="1:10" ht="16.5" hidden="1" thickTop="1" x14ac:dyDescent="0.25">
      <c r="A50" s="40" t="str">
        <f>IFERROR(IF(Calc!E50&lt;=$C$4,Calc!D50,""),"")</f>
        <v/>
      </c>
      <c r="B50" s="40" t="str">
        <f>IFERROR(IF(Calc!E50&lt;=$C$4,CONCATENATE(TEXT(Calc!C50,"#0.000#")," || ",TEXT(INDEX(Calc!L50:P50,$B$4),"#0.000#")),""),"")</f>
        <v/>
      </c>
      <c r="C50" s="41" t="str">
        <f>IFERROR(IF(Calc!E50&lt;=$C$4,Calc!E50,""),"")</f>
        <v/>
      </c>
      <c r="D50" s="33" t="str">
        <f>IFERROR(IF(Calc!E50&lt;=$D$4,"Nice",""),"")</f>
        <v/>
      </c>
      <c r="E50" s="40" t="str">
        <f>IFERROR(IF(Calc!J50&lt;=$C$4,Calc!I50,""),"")</f>
        <v/>
      </c>
      <c r="F50" s="40" t="str">
        <f>IFERROR(IF(Calc!J50&lt;=$C$4,CONCATENATE(TEXT(Calc!H50,"#0.000#")," + ",TEXT(INDEX(Calc!L50:P50,$B$4),"#0.000#")),""),"")</f>
        <v/>
      </c>
      <c r="G50" s="41" t="str">
        <f>IFERROR(IF(Calc!J50&lt;=$C$4,Calc!J50,""),"")</f>
        <v/>
      </c>
      <c r="H50" s="33" t="str">
        <f>IFERROR(IF(Calc!J50&lt;=$D$4,"Nice",""),"")</f>
        <v/>
      </c>
      <c r="J50" s="7" t="str">
        <f>CONCATENATE("[",TEXT(Show!A50,"#.0#"),":",TEXT(Show!B50,"#.0#"),"][",TEXT(Show!E50,"#.0#"),":",TEXT(Show!F50,"#.0#"),"]")</f>
        <v>[:][:]</v>
      </c>
    </row>
    <row r="51" spans="1:10" ht="16.5" hidden="1" thickTop="1" x14ac:dyDescent="0.25">
      <c r="A51" s="40" t="str">
        <f>IFERROR(IF(Calc!E51&lt;=$C$4,Calc!D51,""),"")</f>
        <v/>
      </c>
      <c r="B51" s="40" t="str">
        <f>IFERROR(IF(Calc!E51&lt;=$C$4,CONCATENATE(TEXT(Calc!C51,"#0.000#")," || ",TEXT(INDEX(Calc!L51:P51,$B$4),"#0.000#")),""),"")</f>
        <v/>
      </c>
      <c r="C51" s="41" t="str">
        <f>IFERROR(IF(Calc!E51&lt;=$C$4,Calc!E51,""),"")</f>
        <v/>
      </c>
      <c r="D51" s="33" t="str">
        <f>IFERROR(IF(Calc!E51&lt;=$D$4,"Nice",""),"")</f>
        <v/>
      </c>
      <c r="E51" s="40" t="str">
        <f>IFERROR(IF(Calc!J51&lt;=$C$4,Calc!I51,""),"")</f>
        <v/>
      </c>
      <c r="F51" s="40" t="str">
        <f>IFERROR(IF(Calc!J51&lt;=$C$4,CONCATENATE(TEXT(Calc!H51,"#0.000#")," + ",TEXT(INDEX(Calc!L51:P51,$B$4),"#0.000#")),""),"")</f>
        <v/>
      </c>
      <c r="G51" s="41" t="str">
        <f>IFERROR(IF(Calc!J51&lt;=$C$4,Calc!J51,""),"")</f>
        <v/>
      </c>
      <c r="H51" s="33" t="str">
        <f>IFERROR(IF(Calc!J51&lt;=$D$4,"Nice",""),"")</f>
        <v/>
      </c>
      <c r="J51" s="7" t="str">
        <f>CONCATENATE("[",TEXT(Show!A51,"#.0#"),":",TEXT(Show!B51,"#.0#"),"][",TEXT(Show!E51,"#.0#"),":",TEXT(Show!F51,"#.0#"),"]")</f>
        <v>[:][:]</v>
      </c>
    </row>
    <row r="52" spans="1:10" ht="16.5" hidden="1" thickTop="1" x14ac:dyDescent="0.25">
      <c r="A52" s="40" t="str">
        <f>IFERROR(IF(Calc!E52&lt;=$C$4,Calc!D52,""),"")</f>
        <v/>
      </c>
      <c r="B52" s="40" t="str">
        <f>IFERROR(IF(Calc!E52&lt;=$C$4,CONCATENATE(TEXT(Calc!C52,"#0.000#")," || ",TEXT(INDEX(Calc!L52:P52,$B$4),"#0.000#")),""),"")</f>
        <v/>
      </c>
      <c r="C52" s="41" t="str">
        <f>IFERROR(IF(Calc!E52&lt;=$C$4,Calc!E52,""),"")</f>
        <v/>
      </c>
      <c r="D52" s="33" t="str">
        <f>IFERROR(IF(Calc!E52&lt;=$D$4,"Nice",""),"")</f>
        <v/>
      </c>
      <c r="E52" s="40" t="str">
        <f>IFERROR(IF(Calc!J52&lt;=$C$4,Calc!I52,""),"")</f>
        <v/>
      </c>
      <c r="F52" s="40" t="str">
        <f>IFERROR(IF(Calc!J52&lt;=$C$4,CONCATENATE(TEXT(Calc!H52,"#0.000#")," + ",TEXT(INDEX(Calc!L52:P52,$B$4),"#0.000#")),""),"")</f>
        <v/>
      </c>
      <c r="G52" s="41" t="str">
        <f>IFERROR(IF(Calc!J52&lt;=$C$4,Calc!J52,""),"")</f>
        <v/>
      </c>
      <c r="H52" s="33" t="str">
        <f>IFERROR(IF(Calc!J52&lt;=$D$4,"Nice",""),"")</f>
        <v/>
      </c>
      <c r="J52" s="7" t="str">
        <f>CONCATENATE("[",TEXT(Show!A52,"#.0#"),":",TEXT(Show!B52,"#.0#"),"][",TEXT(Show!E52,"#.0#"),":",TEXT(Show!F52,"#.0#"),"]")</f>
        <v>[:][:]</v>
      </c>
    </row>
    <row r="53" spans="1:10" ht="16.5" hidden="1" thickTop="1" x14ac:dyDescent="0.25">
      <c r="A53" s="40" t="str">
        <f>IFERROR(IF(Calc!E53&lt;=$C$4,Calc!D53,""),"")</f>
        <v/>
      </c>
      <c r="B53" s="40" t="str">
        <f>IFERROR(IF(Calc!E53&lt;=$C$4,CONCATENATE(TEXT(Calc!C53,"#0.000#")," || ",TEXT(INDEX(Calc!L53:P53,$B$4),"#0.000#")),""),"")</f>
        <v/>
      </c>
      <c r="C53" s="41" t="str">
        <f>IFERROR(IF(Calc!E53&lt;=$C$4,Calc!E53,""),"")</f>
        <v/>
      </c>
      <c r="D53" s="33" t="str">
        <f>IFERROR(IF(Calc!E53&lt;=$D$4,"Nice",""),"")</f>
        <v/>
      </c>
      <c r="E53" s="40" t="str">
        <f>IFERROR(IF(Calc!J53&lt;=$C$4,Calc!I53,""),"")</f>
        <v/>
      </c>
      <c r="F53" s="40" t="str">
        <f>IFERROR(IF(Calc!J53&lt;=$C$4,CONCATENATE(TEXT(Calc!H53,"#0.000#")," + ",TEXT(INDEX(Calc!L53:P53,$B$4),"#0.000#")),""),"")</f>
        <v/>
      </c>
      <c r="G53" s="41" t="str">
        <f>IFERROR(IF(Calc!J53&lt;=$C$4,Calc!J53,""),"")</f>
        <v/>
      </c>
      <c r="H53" s="33" t="str">
        <f>IFERROR(IF(Calc!J53&lt;=$D$4,"Nice",""),"")</f>
        <v/>
      </c>
      <c r="J53" s="7" t="str">
        <f>CONCATENATE("[",TEXT(Show!A53,"#.0#"),":",TEXT(Show!B53,"#.0#"),"][",TEXT(Show!E53,"#.0#"),":",TEXT(Show!F53,"#.0#"),"]")</f>
        <v>[:][:]</v>
      </c>
    </row>
    <row r="54" spans="1:10" ht="16.5" hidden="1" thickTop="1" x14ac:dyDescent="0.25">
      <c r="A54" s="40" t="str">
        <f>IFERROR(IF(Calc!E54&lt;=$C$4,Calc!D54,""),"")</f>
        <v/>
      </c>
      <c r="B54" s="40" t="str">
        <f>IFERROR(IF(Calc!E54&lt;=$C$4,CONCATENATE(TEXT(Calc!C54,"#0.000#")," || ",TEXT(INDEX(Calc!L54:P54,$B$4),"#0.000#")),""),"")</f>
        <v/>
      </c>
      <c r="C54" s="41" t="str">
        <f>IFERROR(IF(Calc!E54&lt;=$C$4,Calc!E54,""),"")</f>
        <v/>
      </c>
      <c r="D54" s="33" t="str">
        <f>IFERROR(IF(Calc!E54&lt;=$D$4,"Nice",""),"")</f>
        <v/>
      </c>
      <c r="E54" s="40" t="str">
        <f>IFERROR(IF(Calc!J54&lt;=$C$4,Calc!I54,""),"")</f>
        <v/>
      </c>
      <c r="F54" s="40" t="str">
        <f>IFERROR(IF(Calc!J54&lt;=$C$4,CONCATENATE(TEXT(Calc!H54,"#0.000#")," + ",TEXT(INDEX(Calc!L54:P54,$B$4),"#0.000#")),""),"")</f>
        <v/>
      </c>
      <c r="G54" s="41" t="str">
        <f>IFERROR(IF(Calc!J54&lt;=$C$4,Calc!J54,""),"")</f>
        <v/>
      </c>
      <c r="H54" s="33" t="str">
        <f>IFERROR(IF(Calc!J54&lt;=$D$4,"Nice",""),"")</f>
        <v/>
      </c>
      <c r="J54" s="7" t="str">
        <f>CONCATENATE("[",TEXT(Show!A54,"#.0#"),":",TEXT(Show!B54,"#.0#"),"][",TEXT(Show!E54,"#.0#"),":",TEXT(Show!F54,"#.0#"),"]")</f>
        <v>[:][:]</v>
      </c>
    </row>
    <row r="55" spans="1:10" ht="16.5" hidden="1" thickTop="1" x14ac:dyDescent="0.25">
      <c r="A55" s="40" t="str">
        <f>IFERROR(IF(Calc!E55&lt;=$C$4,Calc!D55,""),"")</f>
        <v/>
      </c>
      <c r="B55" s="40" t="str">
        <f>IFERROR(IF(Calc!E55&lt;=$C$4,CONCATENATE(TEXT(Calc!C55,"#0.000#")," || ",TEXT(INDEX(Calc!L55:P55,$B$4),"#0.000#")),""),"")</f>
        <v/>
      </c>
      <c r="C55" s="41" t="str">
        <f>IFERROR(IF(Calc!E55&lt;=$C$4,Calc!E55,""),"")</f>
        <v/>
      </c>
      <c r="D55" s="33" t="str">
        <f>IFERROR(IF(Calc!E55&lt;=$D$4,"Nice",""),"")</f>
        <v/>
      </c>
      <c r="E55" s="40" t="str">
        <f>IFERROR(IF(Calc!J55&lt;=$C$4,Calc!I55,""),"")</f>
        <v/>
      </c>
      <c r="F55" s="40" t="str">
        <f>IFERROR(IF(Calc!J55&lt;=$C$4,CONCATENATE(TEXT(Calc!H55,"#0.000#")," + ",TEXT(INDEX(Calc!L55:P55,$B$4),"#0.000#")),""),"")</f>
        <v/>
      </c>
      <c r="G55" s="41" t="str">
        <f>IFERROR(IF(Calc!J55&lt;=$C$4,Calc!J55,""),"")</f>
        <v/>
      </c>
      <c r="H55" s="33" t="str">
        <f>IFERROR(IF(Calc!J55&lt;=$D$4,"Nice",""),"")</f>
        <v/>
      </c>
      <c r="J55" s="7" t="str">
        <f>CONCATENATE("[",TEXT(Show!A55,"#.0#"),":",TEXT(Show!B55,"#.0#"),"][",TEXT(Show!E55,"#.0#"),":",TEXT(Show!F55,"#.0#"),"]")</f>
        <v>[:][:]</v>
      </c>
    </row>
    <row r="56" spans="1:10" ht="16.5" hidden="1" thickTop="1" x14ac:dyDescent="0.25">
      <c r="A56" s="40" t="str">
        <f>IFERROR(IF(Calc!E56&lt;=$C$4,Calc!D56,""),"")</f>
        <v/>
      </c>
      <c r="B56" s="40" t="str">
        <f>IFERROR(IF(Calc!E56&lt;=$C$4,CONCATENATE(TEXT(Calc!C56,"#0.000#")," || ",TEXT(INDEX(Calc!L56:P56,$B$4),"#0.000#")),""),"")</f>
        <v/>
      </c>
      <c r="C56" s="41" t="str">
        <f>IFERROR(IF(Calc!E56&lt;=$C$4,Calc!E56,""),"")</f>
        <v/>
      </c>
      <c r="D56" s="33" t="str">
        <f>IFERROR(IF(Calc!E56&lt;=$D$4,"Nice",""),"")</f>
        <v/>
      </c>
      <c r="E56" s="40" t="str">
        <f>IFERROR(IF(Calc!J56&lt;=$C$4,Calc!I56,""),"")</f>
        <v/>
      </c>
      <c r="F56" s="40" t="str">
        <f>IFERROR(IF(Calc!J56&lt;=$C$4,CONCATENATE(TEXT(Calc!H56,"#0.000#")," + ",TEXT(INDEX(Calc!L56:P56,$B$4),"#0.000#")),""),"")</f>
        <v/>
      </c>
      <c r="G56" s="41" t="str">
        <f>IFERROR(IF(Calc!J56&lt;=$C$4,Calc!J56,""),"")</f>
        <v/>
      </c>
      <c r="H56" s="33" t="str">
        <f>IFERROR(IF(Calc!J56&lt;=$D$4,"Nice",""),"")</f>
        <v/>
      </c>
      <c r="J56" s="7" t="str">
        <f>CONCATENATE("[",TEXT(Show!A56,"#.0#"),":",TEXT(Show!B56,"#.0#"),"][",TEXT(Show!E56,"#.0#"),":",TEXT(Show!F56,"#.0#"),"]")</f>
        <v>[:][:]</v>
      </c>
    </row>
    <row r="57" spans="1:10" ht="16.5" hidden="1" thickTop="1" x14ac:dyDescent="0.25">
      <c r="A57" s="40" t="str">
        <f>IFERROR(IF(Calc!E57&lt;=$C$4,Calc!D57,""),"")</f>
        <v/>
      </c>
      <c r="B57" s="40" t="str">
        <f>IFERROR(IF(Calc!E57&lt;=$C$4,CONCATENATE(TEXT(Calc!C57,"#0.000#")," || ",TEXT(INDEX(Calc!L57:P57,$B$4),"#0.000#")),""),"")</f>
        <v/>
      </c>
      <c r="C57" s="41" t="str">
        <f>IFERROR(IF(Calc!E57&lt;=$C$4,Calc!E57,""),"")</f>
        <v/>
      </c>
      <c r="D57" s="33" t="str">
        <f>IFERROR(IF(Calc!E57&lt;=$D$4,"Nice",""),"")</f>
        <v/>
      </c>
      <c r="E57" s="40" t="str">
        <f>IFERROR(IF(Calc!J57&lt;=$C$4,Calc!I57,""),"")</f>
        <v/>
      </c>
      <c r="F57" s="40" t="str">
        <f>IFERROR(IF(Calc!J57&lt;=$C$4,CONCATENATE(TEXT(Calc!H57,"#0.000#")," + ",TEXT(INDEX(Calc!L57:P57,$B$4),"#0.000#")),""),"")</f>
        <v/>
      </c>
      <c r="G57" s="41" t="str">
        <f>IFERROR(IF(Calc!J57&lt;=$C$4,Calc!J57,""),"")</f>
        <v/>
      </c>
      <c r="H57" s="33" t="str">
        <f>IFERROR(IF(Calc!J57&lt;=$D$4,"Nice",""),"")</f>
        <v/>
      </c>
      <c r="J57" s="7" t="str">
        <f>CONCATENATE("[",TEXT(Show!A57,"#.0#"),":",TEXT(Show!B57,"#.0#"),"][",TEXT(Show!E57,"#.0#"),":",TEXT(Show!F57,"#.0#"),"]")</f>
        <v>[:][:]</v>
      </c>
    </row>
    <row r="58" spans="1:10" ht="16.5" hidden="1" thickTop="1" x14ac:dyDescent="0.25">
      <c r="A58" s="40" t="str">
        <f>IFERROR(IF(Calc!E58&lt;=$C$4,Calc!D58,""),"")</f>
        <v/>
      </c>
      <c r="B58" s="40" t="str">
        <f>IFERROR(IF(Calc!E58&lt;=$C$4,CONCATENATE(TEXT(Calc!C58,"#0.000#")," || ",TEXT(INDEX(Calc!L58:P58,$B$4),"#0.000#")),""),"")</f>
        <v/>
      </c>
      <c r="C58" s="41" t="str">
        <f>IFERROR(IF(Calc!E58&lt;=$C$4,Calc!E58,""),"")</f>
        <v/>
      </c>
      <c r="D58" s="33" t="str">
        <f>IFERROR(IF(Calc!E58&lt;=$D$4,"Nice",""),"")</f>
        <v/>
      </c>
      <c r="E58" s="40" t="str">
        <f>IFERROR(IF(Calc!J58&lt;=$C$4,Calc!I58,""),"")</f>
        <v/>
      </c>
      <c r="F58" s="40" t="str">
        <f>IFERROR(IF(Calc!J58&lt;=$C$4,CONCATENATE(TEXT(Calc!H58,"#0.000#")," + ",TEXT(INDEX(Calc!L58:P58,$B$4),"#0.000#")),""),"")</f>
        <v/>
      </c>
      <c r="G58" s="41" t="str">
        <f>IFERROR(IF(Calc!J58&lt;=$C$4,Calc!J58,""),"")</f>
        <v/>
      </c>
      <c r="H58" s="33" t="str">
        <f>IFERROR(IF(Calc!J58&lt;=$D$4,"Nice",""),"")</f>
        <v/>
      </c>
      <c r="J58" s="7" t="str">
        <f>CONCATENATE("[",TEXT(Show!A58,"#.0#"),":",TEXT(Show!B58,"#.0#"),"][",TEXT(Show!E58,"#.0#"),":",TEXT(Show!F58,"#.0#"),"]")</f>
        <v>[:][:]</v>
      </c>
    </row>
    <row r="59" spans="1:10" ht="16.5" hidden="1" thickTop="1" x14ac:dyDescent="0.25">
      <c r="A59" s="40" t="str">
        <f>IFERROR(IF(Calc!E59&lt;=$C$4,Calc!D59,""),"")</f>
        <v/>
      </c>
      <c r="B59" s="40" t="str">
        <f>IFERROR(IF(Calc!E59&lt;=$C$4,CONCATENATE(TEXT(Calc!C59,"#0.000#")," || ",TEXT(INDEX(Calc!L59:P59,$B$4),"#0.000#")),""),"")</f>
        <v/>
      </c>
      <c r="C59" s="41" t="str">
        <f>IFERROR(IF(Calc!E59&lt;=$C$4,Calc!E59,""),"")</f>
        <v/>
      </c>
      <c r="D59" s="33" t="str">
        <f>IFERROR(IF(Calc!E59&lt;=$D$4,"Nice",""),"")</f>
        <v/>
      </c>
      <c r="E59" s="40" t="str">
        <f>IFERROR(IF(Calc!J59&lt;=$C$4,Calc!I59,""),"")</f>
        <v/>
      </c>
      <c r="F59" s="40" t="str">
        <f>IFERROR(IF(Calc!J59&lt;=$C$4,CONCATENATE(TEXT(Calc!H59,"#0.000#")," + ",TEXT(INDEX(Calc!L59:P59,$B$4),"#0.000#")),""),"")</f>
        <v/>
      </c>
      <c r="G59" s="41" t="str">
        <f>IFERROR(IF(Calc!J59&lt;=$C$4,Calc!J59,""),"")</f>
        <v/>
      </c>
      <c r="H59" s="33" t="str">
        <f>IFERROR(IF(Calc!J59&lt;=$D$4,"Nice",""),"")</f>
        <v/>
      </c>
      <c r="J59" s="7" t="str">
        <f>CONCATENATE("[",TEXT(Show!A59,"#.0#"),":",TEXT(Show!B59,"#.0#"),"][",TEXT(Show!E59,"#.0#"),":",TEXT(Show!F59,"#.0#"),"]")</f>
        <v>[:][:]</v>
      </c>
    </row>
    <row r="60" spans="1:10" ht="16.5" hidden="1" thickTop="1" x14ac:dyDescent="0.25">
      <c r="A60" s="40" t="str">
        <f>IFERROR(IF(Calc!E60&lt;=$C$4,Calc!D60,""),"")</f>
        <v/>
      </c>
      <c r="B60" s="40" t="str">
        <f>IFERROR(IF(Calc!E60&lt;=$C$4,CONCATENATE(TEXT(Calc!C60,"#0.000#")," || ",TEXT(INDEX(Calc!L60:P60,$B$4),"#0.000#")),""),"")</f>
        <v/>
      </c>
      <c r="C60" s="41" t="str">
        <f>IFERROR(IF(Calc!E60&lt;=$C$4,Calc!E60,""),"")</f>
        <v/>
      </c>
      <c r="D60" s="33" t="str">
        <f>IFERROR(IF(Calc!E60&lt;=$D$4,"Nice",""),"")</f>
        <v/>
      </c>
      <c r="E60" s="40" t="str">
        <f>IFERROR(IF(Calc!J60&lt;=$C$4,Calc!I60,""),"")</f>
        <v/>
      </c>
      <c r="F60" s="40" t="str">
        <f>IFERROR(IF(Calc!J60&lt;=$C$4,CONCATENATE(TEXT(Calc!H60,"#0.000#")," + ",TEXT(INDEX(Calc!L60:P60,$B$4),"#0.000#")),""),"")</f>
        <v/>
      </c>
      <c r="G60" s="41" t="str">
        <f>IFERROR(IF(Calc!J60&lt;=$C$4,Calc!J60,""),"")</f>
        <v/>
      </c>
      <c r="H60" s="33" t="str">
        <f>IFERROR(IF(Calc!J60&lt;=$D$4,"Nice",""),"")</f>
        <v/>
      </c>
      <c r="J60" s="7" t="str">
        <f>CONCATENATE("[",TEXT(Show!A60,"#.0#"),":",TEXT(Show!B60,"#.0#"),"][",TEXT(Show!E60,"#.0#"),":",TEXT(Show!F60,"#.0#"),"]")</f>
        <v>[:][:]</v>
      </c>
    </row>
    <row r="61" spans="1:10" ht="16.5" hidden="1" thickTop="1" x14ac:dyDescent="0.25">
      <c r="A61" s="40" t="str">
        <f>IFERROR(IF(Calc!E61&lt;=$C$4,Calc!D61,""),"")</f>
        <v/>
      </c>
      <c r="B61" s="40" t="str">
        <f>IFERROR(IF(Calc!E61&lt;=$C$4,CONCATENATE(TEXT(Calc!C61,"#0.000#")," || ",TEXT(INDEX(Calc!L61:P61,$B$4),"#0.000#")),""),"")</f>
        <v/>
      </c>
      <c r="C61" s="41" t="str">
        <f>IFERROR(IF(Calc!E61&lt;=$C$4,Calc!E61,""),"")</f>
        <v/>
      </c>
      <c r="D61" s="33" t="str">
        <f>IFERROR(IF(Calc!E61&lt;=$D$4,"Nice",""),"")</f>
        <v/>
      </c>
      <c r="E61" s="40" t="str">
        <f>IFERROR(IF(Calc!J61&lt;=$C$4,Calc!I61,""),"")</f>
        <v/>
      </c>
      <c r="F61" s="40" t="str">
        <f>IFERROR(IF(Calc!J61&lt;=$C$4,CONCATENATE(TEXT(Calc!H61,"#0.000#")," + ",TEXT(INDEX(Calc!L61:P61,$B$4),"#0.000#")),""),"")</f>
        <v/>
      </c>
      <c r="G61" s="41" t="str">
        <f>IFERROR(IF(Calc!J61&lt;=$C$4,Calc!J61,""),"")</f>
        <v/>
      </c>
      <c r="H61" s="33" t="str">
        <f>IFERROR(IF(Calc!J61&lt;=$D$4,"Nice",""),"")</f>
        <v/>
      </c>
      <c r="J61" s="7" t="str">
        <f>CONCATENATE("[",TEXT(Show!A61,"#.0#"),":",TEXT(Show!B61,"#.0#"),"][",TEXT(Show!E61,"#.0#"),":",TEXT(Show!F61,"#.0#"),"]")</f>
        <v>[:][:]</v>
      </c>
    </row>
    <row r="62" spans="1:10" ht="16.5" hidden="1" thickTop="1" x14ac:dyDescent="0.25">
      <c r="A62" s="40" t="str">
        <f>IFERROR(IF(Calc!E62&lt;=$C$4,Calc!D62,""),"")</f>
        <v/>
      </c>
      <c r="B62" s="40" t="str">
        <f>IFERROR(IF(Calc!E62&lt;=$C$4,CONCATENATE(TEXT(Calc!C62,"#0.000#")," || ",TEXT(INDEX(Calc!L62:P62,$B$4),"#0.000#")),""),"")</f>
        <v/>
      </c>
      <c r="C62" s="41" t="str">
        <f>IFERROR(IF(Calc!E62&lt;=$C$4,Calc!E62,""),"")</f>
        <v/>
      </c>
      <c r="D62" s="33" t="str">
        <f>IFERROR(IF(Calc!E62&lt;=$D$4,"Nice",""),"")</f>
        <v/>
      </c>
      <c r="E62" s="40" t="str">
        <f>IFERROR(IF(Calc!J62&lt;=$C$4,Calc!I62,""),"")</f>
        <v/>
      </c>
      <c r="F62" s="40" t="str">
        <f>IFERROR(IF(Calc!J62&lt;=$C$4,CONCATENATE(TEXT(Calc!H62,"#0.000#")," + ",TEXT(INDEX(Calc!L62:P62,$B$4),"#0.000#")),""),"")</f>
        <v/>
      </c>
      <c r="G62" s="41" t="str">
        <f>IFERROR(IF(Calc!J62&lt;=$C$4,Calc!J62,""),"")</f>
        <v/>
      </c>
      <c r="H62" s="33" t="str">
        <f>IFERROR(IF(Calc!J62&lt;=$D$4,"Nice",""),"")</f>
        <v/>
      </c>
      <c r="J62" s="7" t="str">
        <f>CONCATENATE("[",TEXT(Show!A62,"#.0#"),":",TEXT(Show!B62,"#.0#"),"][",TEXT(Show!E62,"#.0#"),":",TEXT(Show!F62,"#.0#"),"]")</f>
        <v>[:][:]</v>
      </c>
    </row>
    <row r="63" spans="1:10" ht="16.5" hidden="1" thickTop="1" x14ac:dyDescent="0.25">
      <c r="A63" s="40" t="str">
        <f>IFERROR(IF(Calc!E63&lt;=$C$4,Calc!D63,""),"")</f>
        <v/>
      </c>
      <c r="B63" s="40" t="str">
        <f>IFERROR(IF(Calc!E63&lt;=$C$4,CONCATENATE(TEXT(Calc!C63,"#0.000#")," || ",TEXT(INDEX(Calc!L63:P63,$B$4),"#0.000#")),""),"")</f>
        <v/>
      </c>
      <c r="C63" s="41" t="str">
        <f>IFERROR(IF(Calc!E63&lt;=$C$4,Calc!E63,""),"")</f>
        <v/>
      </c>
      <c r="D63" s="33" t="str">
        <f>IFERROR(IF(Calc!E63&lt;=$D$4,"Nice",""),"")</f>
        <v/>
      </c>
      <c r="E63" s="40" t="str">
        <f>IFERROR(IF(Calc!J63&lt;=$C$4,Calc!I63,""),"")</f>
        <v/>
      </c>
      <c r="F63" s="40" t="str">
        <f>IFERROR(IF(Calc!J63&lt;=$C$4,CONCATENATE(TEXT(Calc!H63,"#0.000#")," + ",TEXT(INDEX(Calc!L63:P63,$B$4),"#0.000#")),""),"")</f>
        <v/>
      </c>
      <c r="G63" s="41" t="str">
        <f>IFERROR(IF(Calc!J63&lt;=$C$4,Calc!J63,""),"")</f>
        <v/>
      </c>
      <c r="H63" s="33" t="str">
        <f>IFERROR(IF(Calc!J63&lt;=$D$4,"Nice",""),"")</f>
        <v/>
      </c>
      <c r="J63" s="7" t="str">
        <f>CONCATENATE("[",TEXT(Show!A63,"#.0#"),":",TEXT(Show!B63,"#.0#"),"][",TEXT(Show!E63,"#.0#"),":",TEXT(Show!F63,"#.0#"),"]")</f>
        <v>[:][:]</v>
      </c>
    </row>
    <row r="64" spans="1:10" ht="16.5" hidden="1" thickTop="1" x14ac:dyDescent="0.25">
      <c r="A64" s="40" t="str">
        <f>IFERROR(IF(Calc!E64&lt;=$C$4,Calc!D64,""),"")</f>
        <v/>
      </c>
      <c r="B64" s="40" t="str">
        <f>IFERROR(IF(Calc!E64&lt;=$C$4,CONCATENATE(TEXT(Calc!C64,"#0.000#")," || ",TEXT(INDEX(Calc!L64:P64,$B$4),"#0.000#")),""),"")</f>
        <v/>
      </c>
      <c r="C64" s="41" t="str">
        <f>IFERROR(IF(Calc!E64&lt;=$C$4,Calc!E64,""),"")</f>
        <v/>
      </c>
      <c r="D64" s="33" t="str">
        <f>IFERROR(IF(Calc!E64&lt;=$D$4,"Nice",""),"")</f>
        <v/>
      </c>
      <c r="E64" s="40" t="str">
        <f>IFERROR(IF(Calc!J64&lt;=$C$4,Calc!I64,""),"")</f>
        <v/>
      </c>
      <c r="F64" s="40" t="str">
        <f>IFERROR(IF(Calc!J64&lt;=$C$4,CONCATENATE(TEXT(Calc!H64,"#0.000#")," + ",TEXT(INDEX(Calc!L64:P64,$B$4),"#0.000#")),""),"")</f>
        <v/>
      </c>
      <c r="G64" s="41" t="str">
        <f>IFERROR(IF(Calc!J64&lt;=$C$4,Calc!J64,""),"")</f>
        <v/>
      </c>
      <c r="H64" s="33" t="str">
        <f>IFERROR(IF(Calc!J64&lt;=$D$4,"Nice",""),"")</f>
        <v/>
      </c>
      <c r="J64" s="7" t="str">
        <f>CONCATENATE("[",TEXT(Show!A64,"#.0#"),":",TEXT(Show!B64,"#.0#"),"][",TEXT(Show!E64,"#.0#"),":",TEXT(Show!F64,"#.0#"),"]")</f>
        <v>[:][:]</v>
      </c>
    </row>
    <row r="65" spans="1:10" ht="16.5" hidden="1" thickTop="1" x14ac:dyDescent="0.25">
      <c r="A65" s="40" t="str">
        <f>IFERROR(IF(Calc!E65&lt;=$C$4,Calc!D65,""),"")</f>
        <v/>
      </c>
      <c r="B65" s="40" t="str">
        <f>IFERROR(IF(Calc!E65&lt;=$C$4,CONCATENATE(TEXT(Calc!C65,"#0.000#")," || ",TEXT(INDEX(Calc!L65:P65,$B$4),"#0.000#")),""),"")</f>
        <v/>
      </c>
      <c r="C65" s="41" t="str">
        <f>IFERROR(IF(Calc!E65&lt;=$C$4,Calc!E65,""),"")</f>
        <v/>
      </c>
      <c r="D65" s="33" t="str">
        <f>IFERROR(IF(Calc!E65&lt;=$D$4,"Nice",""),"")</f>
        <v/>
      </c>
      <c r="E65" s="40" t="str">
        <f>IFERROR(IF(Calc!J65&lt;=$C$4,Calc!I65,""),"")</f>
        <v/>
      </c>
      <c r="F65" s="40" t="str">
        <f>IFERROR(IF(Calc!J65&lt;=$C$4,CONCATENATE(TEXT(Calc!H65,"#0.000#")," + ",TEXT(INDEX(Calc!L65:P65,$B$4),"#0.000#")),""),"")</f>
        <v/>
      </c>
      <c r="G65" s="41" t="str">
        <f>IFERROR(IF(Calc!J65&lt;=$C$4,Calc!J65,""),"")</f>
        <v/>
      </c>
      <c r="H65" s="33" t="str">
        <f>IFERROR(IF(Calc!J65&lt;=$D$4,"Nice",""),"")</f>
        <v/>
      </c>
      <c r="J65" s="7" t="str">
        <f>CONCATENATE("[",TEXT(Show!A65,"#.0#"),":",TEXT(Show!B65,"#.0#"),"][",TEXT(Show!E65,"#.0#"),":",TEXT(Show!F65,"#.0#"),"]")</f>
        <v>[:][:]</v>
      </c>
    </row>
    <row r="66" spans="1:10" ht="16.5" hidden="1" thickTop="1" x14ac:dyDescent="0.25">
      <c r="A66" s="40" t="str">
        <f>IFERROR(IF(Calc!E66&lt;=$C$4,Calc!D66,""),"")</f>
        <v/>
      </c>
      <c r="B66" s="40" t="str">
        <f>IFERROR(IF(Calc!E66&lt;=$C$4,CONCATENATE(TEXT(Calc!C66,"#0.000#")," || ",TEXT(INDEX(Calc!L66:P66,$B$4),"#0.000#")),""),"")</f>
        <v/>
      </c>
      <c r="C66" s="41" t="str">
        <f>IFERROR(IF(Calc!E66&lt;=$C$4,Calc!E66,""),"")</f>
        <v/>
      </c>
      <c r="D66" s="33" t="str">
        <f>IFERROR(IF(Calc!E66&lt;=$D$4,"Nice",""),"")</f>
        <v/>
      </c>
      <c r="E66" s="40" t="str">
        <f>IFERROR(IF(Calc!J66&lt;=$C$4,Calc!I66,""),"")</f>
        <v/>
      </c>
      <c r="F66" s="40" t="str">
        <f>IFERROR(IF(Calc!J66&lt;=$C$4,CONCATENATE(TEXT(Calc!H66,"#0.000#")," + ",TEXT(INDEX(Calc!L66:P66,$B$4),"#0.000#")),""),"")</f>
        <v/>
      </c>
      <c r="G66" s="41" t="str">
        <f>IFERROR(IF(Calc!J66&lt;=$C$4,Calc!J66,""),"")</f>
        <v/>
      </c>
      <c r="H66" s="33" t="str">
        <f>IFERROR(IF(Calc!J66&lt;=$D$4,"Nice",""),"")</f>
        <v/>
      </c>
      <c r="J66" s="7" t="str">
        <f>CONCATENATE("[",TEXT(Show!A66,"#.0#"),":",TEXT(Show!B66,"#.0#"),"][",TEXT(Show!E66,"#.0#"),":",TEXT(Show!F66,"#.0#"),"]")</f>
        <v>[:][:]</v>
      </c>
    </row>
    <row r="67" spans="1:10" ht="16.5" hidden="1" thickTop="1" x14ac:dyDescent="0.25">
      <c r="A67" s="40" t="str">
        <f>IFERROR(IF(Calc!E67&lt;=$C$4,Calc!D67,""),"")</f>
        <v/>
      </c>
      <c r="B67" s="40" t="str">
        <f>IFERROR(IF(Calc!E67&lt;=$C$4,CONCATENATE(TEXT(Calc!C67,"#0.000#")," || ",TEXT(INDEX(Calc!L67:P67,$B$4),"#0.000#")),""),"")</f>
        <v/>
      </c>
      <c r="C67" s="41" t="str">
        <f>IFERROR(IF(Calc!E67&lt;=$C$4,Calc!E67,""),"")</f>
        <v/>
      </c>
      <c r="D67" s="33" t="str">
        <f>IFERROR(IF(Calc!E67&lt;=$D$4,"Nice",""),"")</f>
        <v/>
      </c>
      <c r="E67" s="40" t="str">
        <f>IFERROR(IF(Calc!J67&lt;=$C$4,Calc!I67,""),"")</f>
        <v/>
      </c>
      <c r="F67" s="40" t="str">
        <f>IFERROR(IF(Calc!J67&lt;=$C$4,CONCATENATE(TEXT(Calc!H67,"#0.000#")," + ",TEXT(INDEX(Calc!L67:P67,$B$4),"#0.000#")),""),"")</f>
        <v/>
      </c>
      <c r="G67" s="41" t="str">
        <f>IFERROR(IF(Calc!J67&lt;=$C$4,Calc!J67,""),"")</f>
        <v/>
      </c>
      <c r="H67" s="33" t="str">
        <f>IFERROR(IF(Calc!J67&lt;=$D$4,"Nice",""),"")</f>
        <v/>
      </c>
      <c r="J67" s="7" t="str">
        <f>CONCATENATE("[",TEXT(Show!A67,"#.0#"),":",TEXT(Show!B67,"#.0#"),"][",TEXT(Show!E67,"#.0#"),":",TEXT(Show!F67,"#.0#"),"]")</f>
        <v>[:][:]</v>
      </c>
    </row>
    <row r="68" spans="1:10" ht="16.5" hidden="1" thickTop="1" x14ac:dyDescent="0.25">
      <c r="A68" s="40" t="str">
        <f>IFERROR(IF(Calc!E68&lt;=$C$4,Calc!D68,""),"")</f>
        <v/>
      </c>
      <c r="B68" s="40" t="str">
        <f>IFERROR(IF(Calc!E68&lt;=$C$4,CONCATENATE(TEXT(Calc!C68,"#0.000#")," || ",TEXT(INDEX(Calc!L68:P68,$B$4),"#0.000#")),""),"")</f>
        <v/>
      </c>
      <c r="C68" s="41" t="str">
        <f>IFERROR(IF(Calc!E68&lt;=$C$4,Calc!E68,""),"")</f>
        <v/>
      </c>
      <c r="D68" s="33" t="str">
        <f>IFERROR(IF(Calc!E68&lt;=$D$4,"Nice",""),"")</f>
        <v/>
      </c>
      <c r="E68" s="40" t="str">
        <f>IFERROR(IF(Calc!J68&lt;=$C$4,Calc!I68,""),"")</f>
        <v/>
      </c>
      <c r="F68" s="40" t="str">
        <f>IFERROR(IF(Calc!J68&lt;=$C$4,CONCATENATE(TEXT(Calc!H68,"#0.000#")," + ",TEXT(INDEX(Calc!L68:P68,$B$4),"#0.000#")),""),"")</f>
        <v/>
      </c>
      <c r="G68" s="41" t="str">
        <f>IFERROR(IF(Calc!J68&lt;=$C$4,Calc!J68,""),"")</f>
        <v/>
      </c>
      <c r="H68" s="33" t="str">
        <f>IFERROR(IF(Calc!J68&lt;=$D$4,"Nice",""),"")</f>
        <v/>
      </c>
      <c r="J68" s="7" t="str">
        <f>CONCATENATE("[",TEXT(Show!A68,"#.0#"),":",TEXT(Show!B68,"#.0#"),"][",TEXT(Show!E68,"#.0#"),":",TEXT(Show!F68,"#.0#"),"]")</f>
        <v>[:][:]</v>
      </c>
    </row>
    <row r="69" spans="1:10" ht="16.5" hidden="1" thickTop="1" x14ac:dyDescent="0.25">
      <c r="A69" s="40" t="str">
        <f>IFERROR(IF(Calc!E69&lt;=$C$4,Calc!D69,""),"")</f>
        <v/>
      </c>
      <c r="B69" s="40" t="str">
        <f>IFERROR(IF(Calc!E69&lt;=$C$4,CONCATENATE(TEXT(Calc!C69,"#0.000#")," || ",TEXT(INDEX(Calc!L69:P69,$B$4),"#0.000#")),""),"")</f>
        <v/>
      </c>
      <c r="C69" s="41" t="str">
        <f>IFERROR(IF(Calc!E69&lt;=$C$4,Calc!E69,""),"")</f>
        <v/>
      </c>
      <c r="D69" s="33" t="str">
        <f>IFERROR(IF(Calc!E69&lt;=$D$4,"Nice",""),"")</f>
        <v/>
      </c>
      <c r="E69" s="40" t="str">
        <f>IFERROR(IF(Calc!J69&lt;=$C$4,Calc!I69,""),"")</f>
        <v/>
      </c>
      <c r="F69" s="40" t="str">
        <f>IFERROR(IF(Calc!J69&lt;=$C$4,CONCATENATE(TEXT(Calc!H69,"#0.000#")," + ",TEXT(INDEX(Calc!L69:P69,$B$4),"#0.000#")),""),"")</f>
        <v/>
      </c>
      <c r="G69" s="41" t="str">
        <f>IFERROR(IF(Calc!J69&lt;=$C$4,Calc!J69,""),"")</f>
        <v/>
      </c>
      <c r="H69" s="33" t="str">
        <f>IFERROR(IF(Calc!J69&lt;=$D$4,"Nice",""),"")</f>
        <v/>
      </c>
      <c r="J69" s="7" t="str">
        <f>CONCATENATE("[",TEXT(Show!A69,"#.0#"),":",TEXT(Show!B69,"#.0#"),"][",TEXT(Show!E69,"#.0#"),":",TEXT(Show!F69,"#.0#"),"]")</f>
        <v>[:][:]</v>
      </c>
    </row>
    <row r="70" spans="1:10" ht="16.5" hidden="1" thickTop="1" x14ac:dyDescent="0.25">
      <c r="A70" s="40" t="str">
        <f>IFERROR(IF(Calc!E70&lt;=$C$4,Calc!D70,""),"")</f>
        <v/>
      </c>
      <c r="B70" s="40" t="str">
        <f>IFERROR(IF(Calc!E70&lt;=$C$4,CONCATENATE(TEXT(Calc!C70,"#0.000#")," || ",TEXT(INDEX(Calc!L70:P70,$B$4),"#0.000#")),""),"")</f>
        <v/>
      </c>
      <c r="C70" s="41" t="str">
        <f>IFERROR(IF(Calc!E70&lt;=$C$4,Calc!E70,""),"")</f>
        <v/>
      </c>
      <c r="D70" s="33" t="str">
        <f>IFERROR(IF(Calc!E70&lt;=$D$4,"Nice",""),"")</f>
        <v/>
      </c>
      <c r="E70" s="40" t="str">
        <f>IFERROR(IF(Calc!J70&lt;=$C$4,Calc!I70,""),"")</f>
        <v/>
      </c>
      <c r="F70" s="40" t="str">
        <f>IFERROR(IF(Calc!J70&lt;=$C$4,CONCATENATE(TEXT(Calc!H70,"#0.000#")," + ",TEXT(INDEX(Calc!L70:P70,$B$4),"#0.000#")),""),"")</f>
        <v/>
      </c>
      <c r="G70" s="41" t="str">
        <f>IFERROR(IF(Calc!J70&lt;=$C$4,Calc!J70,""),"")</f>
        <v/>
      </c>
      <c r="H70" s="33" t="str">
        <f>IFERROR(IF(Calc!J70&lt;=$D$4,"Nice",""),"")</f>
        <v/>
      </c>
      <c r="J70" s="7" t="str">
        <f>CONCATENATE("[",TEXT(Show!A70,"#.0#"),":",TEXT(Show!B70,"#.0#"),"][",TEXT(Show!E70,"#.0#"),":",TEXT(Show!F70,"#.0#"),"]")</f>
        <v>[:][:]</v>
      </c>
    </row>
    <row r="71" spans="1:10" ht="16.5" hidden="1" thickTop="1" x14ac:dyDescent="0.25">
      <c r="A71" s="40" t="str">
        <f>IFERROR(IF(Calc!E71&lt;=$C$4,Calc!D71,""),"")</f>
        <v/>
      </c>
      <c r="B71" s="40" t="str">
        <f>IFERROR(IF(Calc!E71&lt;=$C$4,CONCATENATE(TEXT(Calc!C71,"#0.000#")," || ",TEXT(INDEX(Calc!L71:P71,$B$4),"#0.000#")),""),"")</f>
        <v/>
      </c>
      <c r="C71" s="41" t="str">
        <f>IFERROR(IF(Calc!E71&lt;=$C$4,Calc!E71,""),"")</f>
        <v/>
      </c>
      <c r="D71" s="33" t="str">
        <f>IFERROR(IF(Calc!E71&lt;=$D$4,"Nice",""),"")</f>
        <v/>
      </c>
      <c r="E71" s="40" t="str">
        <f>IFERROR(IF(Calc!J71&lt;=$C$4,Calc!I71,""),"")</f>
        <v/>
      </c>
      <c r="F71" s="40" t="str">
        <f>IFERROR(IF(Calc!J71&lt;=$C$4,CONCATENATE(TEXT(Calc!H71,"#0.000#")," + ",TEXT(INDEX(Calc!L71:P71,$B$4),"#0.000#")),""),"")</f>
        <v/>
      </c>
      <c r="G71" s="41" t="str">
        <f>IFERROR(IF(Calc!J71&lt;=$C$4,Calc!J71,""),"")</f>
        <v/>
      </c>
      <c r="H71" s="33" t="str">
        <f>IFERROR(IF(Calc!J71&lt;=$D$4,"Nice",""),"")</f>
        <v/>
      </c>
      <c r="J71" s="7" t="str">
        <f>CONCATENATE("[",TEXT(Show!A71,"#.0#"),":",TEXT(Show!B71,"#.0#"),"][",TEXT(Show!E71,"#.0#"),":",TEXT(Show!F71,"#.0#"),"]")</f>
        <v>[:][:]</v>
      </c>
    </row>
    <row r="72" spans="1:10" ht="16.5" hidden="1" thickTop="1" x14ac:dyDescent="0.25">
      <c r="A72" s="40" t="str">
        <f>IFERROR(IF(Calc!E72&lt;=$C$4,Calc!D72,""),"")</f>
        <v/>
      </c>
      <c r="B72" s="40" t="str">
        <f>IFERROR(IF(Calc!E72&lt;=$C$4,CONCATENATE(TEXT(Calc!C72,"#0.000#")," || ",TEXT(INDEX(Calc!L72:P72,$B$4),"#0.000#")),""),"")</f>
        <v/>
      </c>
      <c r="C72" s="41" t="str">
        <f>IFERROR(IF(Calc!E72&lt;=$C$4,Calc!E72,""),"")</f>
        <v/>
      </c>
      <c r="D72" s="33" t="str">
        <f>IFERROR(IF(Calc!E72&lt;=$D$4,"Nice",""),"")</f>
        <v/>
      </c>
      <c r="E72" s="40" t="str">
        <f>IFERROR(IF(Calc!J72&lt;=$C$4,Calc!I72,""),"")</f>
        <v/>
      </c>
      <c r="F72" s="40" t="str">
        <f>IFERROR(IF(Calc!J72&lt;=$C$4,CONCATENATE(TEXT(Calc!H72,"#0.000#")," + ",TEXT(INDEX(Calc!L72:P72,$B$4),"#0.000#")),""),"")</f>
        <v/>
      </c>
      <c r="G72" s="41" t="str">
        <f>IFERROR(IF(Calc!J72&lt;=$C$4,Calc!J72,""),"")</f>
        <v/>
      </c>
      <c r="H72" s="33" t="str">
        <f>IFERROR(IF(Calc!J72&lt;=$D$4,"Nice",""),"")</f>
        <v/>
      </c>
      <c r="J72" s="7" t="str">
        <f>CONCATENATE("[",TEXT(Show!A72,"#.0#"),":",TEXT(Show!B72,"#.0#"),"][",TEXT(Show!E72,"#.0#"),":",TEXT(Show!F72,"#.0#"),"]")</f>
        <v>[:][:]</v>
      </c>
    </row>
    <row r="73" spans="1:10" ht="16.5" hidden="1" thickTop="1" x14ac:dyDescent="0.25">
      <c r="A73" s="40" t="str">
        <f>IFERROR(IF(Calc!E73&lt;=$C$4,Calc!D73,""),"")</f>
        <v/>
      </c>
      <c r="B73" s="40" t="str">
        <f>IFERROR(IF(Calc!E73&lt;=$C$4,CONCATENATE(TEXT(Calc!C73,"#0.000#")," || ",TEXT(INDEX(Calc!L73:P73,$B$4),"#0.000#")),""),"")</f>
        <v/>
      </c>
      <c r="C73" s="41" t="str">
        <f>IFERROR(IF(Calc!E73&lt;=$C$4,Calc!E73,""),"")</f>
        <v/>
      </c>
      <c r="D73" s="33" t="str">
        <f>IFERROR(IF(Calc!E73&lt;=$D$4,"Nice",""),"")</f>
        <v/>
      </c>
      <c r="E73" s="40" t="str">
        <f>IFERROR(IF(Calc!J73&lt;=$C$4,Calc!I73,""),"")</f>
        <v/>
      </c>
      <c r="F73" s="40" t="str">
        <f>IFERROR(IF(Calc!J73&lt;=$C$4,CONCATENATE(TEXT(Calc!H73,"#0.000#")," + ",TEXT(INDEX(Calc!L73:P73,$B$4),"#0.000#")),""),"")</f>
        <v/>
      </c>
      <c r="G73" s="41" t="str">
        <f>IFERROR(IF(Calc!J73&lt;=$C$4,Calc!J73,""),"")</f>
        <v/>
      </c>
      <c r="H73" s="33" t="str">
        <f>IFERROR(IF(Calc!J73&lt;=$D$4,"Nice",""),"")</f>
        <v/>
      </c>
      <c r="J73" s="7" t="str">
        <f>CONCATENATE("[",TEXT(Show!A73,"#.0#"),":",TEXT(Show!B73,"#.0#"),"][",TEXT(Show!E73,"#.0#"),":",TEXT(Show!F73,"#.0#"),"]")</f>
        <v>[:][:]</v>
      </c>
    </row>
    <row r="74" spans="1:10" ht="16.5" hidden="1" thickTop="1" x14ac:dyDescent="0.25">
      <c r="A74" s="40" t="str">
        <f>IFERROR(IF(Calc!E74&lt;=$C$4,Calc!D74,""),"")</f>
        <v/>
      </c>
      <c r="B74" s="40" t="str">
        <f>IFERROR(IF(Calc!E74&lt;=$C$4,CONCATENATE(TEXT(Calc!C74,"#0.000#")," || ",TEXT(INDEX(Calc!L74:P74,$B$4),"#0.000#")),""),"")</f>
        <v/>
      </c>
      <c r="C74" s="41" t="str">
        <f>IFERROR(IF(Calc!E74&lt;=$C$4,Calc!E74,""),"")</f>
        <v/>
      </c>
      <c r="D74" s="33" t="str">
        <f>IFERROR(IF(Calc!E74&lt;=$D$4,"Nice",""),"")</f>
        <v/>
      </c>
      <c r="E74" s="40" t="str">
        <f>IFERROR(IF(Calc!J74&lt;=$C$4,Calc!I74,""),"")</f>
        <v/>
      </c>
      <c r="F74" s="40" t="str">
        <f>IFERROR(IF(Calc!J74&lt;=$C$4,CONCATENATE(TEXT(Calc!H74,"#0.000#")," + ",TEXT(INDEX(Calc!L74:P74,$B$4),"#0.000#")),""),"")</f>
        <v/>
      </c>
      <c r="G74" s="41" t="str">
        <f>IFERROR(IF(Calc!J74&lt;=$C$4,Calc!J74,""),"")</f>
        <v/>
      </c>
      <c r="H74" s="33" t="str">
        <f>IFERROR(IF(Calc!J74&lt;=$D$4,"Nice",""),"")</f>
        <v/>
      </c>
      <c r="J74" s="7" t="str">
        <f>CONCATENATE("[",TEXT(Show!A74,"#.0#"),":",TEXT(Show!B74,"#.0#"),"][",TEXT(Show!E74,"#.0#"),":",TEXT(Show!F74,"#.0#"),"]")</f>
        <v>[:][:]</v>
      </c>
    </row>
    <row r="75" spans="1:10" ht="16.5" hidden="1" thickTop="1" x14ac:dyDescent="0.25">
      <c r="A75" s="40" t="str">
        <f>IFERROR(IF(Calc!E75&lt;=$C$4,Calc!D75,""),"")</f>
        <v/>
      </c>
      <c r="B75" s="40" t="str">
        <f>IFERROR(IF(Calc!E75&lt;=$C$4,CONCATENATE(TEXT(Calc!C75,"#0.000#")," || ",TEXT(INDEX(Calc!L75:P75,$B$4),"#0.000#")),""),"")</f>
        <v/>
      </c>
      <c r="C75" s="41" t="str">
        <f>IFERROR(IF(Calc!E75&lt;=$C$4,Calc!E75,""),"")</f>
        <v/>
      </c>
      <c r="D75" s="33" t="str">
        <f>IFERROR(IF(Calc!E75&lt;=$D$4,"Nice",""),"")</f>
        <v/>
      </c>
      <c r="E75" s="40" t="str">
        <f>IFERROR(IF(Calc!J75&lt;=$C$4,Calc!I75,""),"")</f>
        <v/>
      </c>
      <c r="F75" s="40" t="str">
        <f>IFERROR(IF(Calc!J75&lt;=$C$4,CONCATENATE(TEXT(Calc!H75,"#0.000#")," + ",TEXT(INDEX(Calc!L75:P75,$B$4),"#0.000#")),""),"")</f>
        <v/>
      </c>
      <c r="G75" s="41" t="str">
        <f>IFERROR(IF(Calc!J75&lt;=$C$4,Calc!J75,""),"")</f>
        <v/>
      </c>
      <c r="H75" s="33" t="str">
        <f>IFERROR(IF(Calc!J75&lt;=$D$4,"Nice",""),"")</f>
        <v/>
      </c>
      <c r="J75" s="7" t="str">
        <f>CONCATENATE("[",TEXT(Show!A75,"#.0#"),":",TEXT(Show!B75,"#.0#"),"][",TEXT(Show!E75,"#.0#"),":",TEXT(Show!F75,"#.0#"),"]")</f>
        <v>[:][:]</v>
      </c>
    </row>
    <row r="76" spans="1:10" ht="16.5" hidden="1" thickTop="1" x14ac:dyDescent="0.25">
      <c r="A76" s="40" t="str">
        <f>IFERROR(IF(Calc!E76&lt;=$C$4,Calc!D76,""),"")</f>
        <v/>
      </c>
      <c r="B76" s="40" t="str">
        <f>IFERROR(IF(Calc!E76&lt;=$C$4,CONCATENATE(TEXT(Calc!C76,"#0.000#")," || ",TEXT(INDEX(Calc!L76:P76,$B$4),"#0.000#")),""),"")</f>
        <v/>
      </c>
      <c r="C76" s="41" t="str">
        <f>IFERROR(IF(Calc!E76&lt;=$C$4,Calc!E76,""),"")</f>
        <v/>
      </c>
      <c r="D76" s="33" t="str">
        <f>IFERROR(IF(Calc!E76&lt;=$D$4,"Nice",""),"")</f>
        <v/>
      </c>
      <c r="E76" s="40" t="str">
        <f>IFERROR(IF(Calc!J76&lt;=$C$4,Calc!I76,""),"")</f>
        <v/>
      </c>
      <c r="F76" s="40" t="str">
        <f>IFERROR(IF(Calc!J76&lt;=$C$4,CONCATENATE(TEXT(Calc!H76,"#0.000#")," + ",TEXT(INDEX(Calc!L76:P76,$B$4),"#0.000#")),""),"")</f>
        <v/>
      </c>
      <c r="G76" s="41" t="str">
        <f>IFERROR(IF(Calc!J76&lt;=$C$4,Calc!J76,""),"")</f>
        <v/>
      </c>
      <c r="H76" s="33" t="str">
        <f>IFERROR(IF(Calc!J76&lt;=$D$4,"Nice",""),"")</f>
        <v/>
      </c>
      <c r="J76" s="7" t="str">
        <f>CONCATENATE("[",TEXT(Show!A76,"#.0#"),":",TEXT(Show!B76,"#.0#"),"][",TEXT(Show!E76,"#.0#"),":",TEXT(Show!F76,"#.0#"),"]")</f>
        <v>[:][:]</v>
      </c>
    </row>
    <row r="77" spans="1:10" ht="16.5" hidden="1" thickTop="1" x14ac:dyDescent="0.25">
      <c r="A77" s="40" t="str">
        <f>IFERROR(IF(Calc!E77&lt;=$C$4,Calc!D77,""),"")</f>
        <v/>
      </c>
      <c r="B77" s="40" t="str">
        <f>IFERROR(IF(Calc!E77&lt;=$C$4,CONCATENATE(TEXT(Calc!C77,"#0.000#")," || ",TEXT(INDEX(Calc!L77:P77,$B$4),"#0.000#")),""),"")</f>
        <v/>
      </c>
      <c r="C77" s="41" t="str">
        <f>IFERROR(IF(Calc!E77&lt;=$C$4,Calc!E77,""),"")</f>
        <v/>
      </c>
      <c r="D77" s="33" t="str">
        <f>IFERROR(IF(Calc!E77&lt;=$D$4,"Nice",""),"")</f>
        <v/>
      </c>
      <c r="E77" s="40" t="str">
        <f>IFERROR(IF(Calc!J77&lt;=$C$4,Calc!I77,""),"")</f>
        <v/>
      </c>
      <c r="F77" s="40" t="str">
        <f>IFERROR(IF(Calc!J77&lt;=$C$4,CONCATENATE(TEXT(Calc!H77,"#0.000#")," + ",TEXT(INDEX(Calc!L77:P77,$B$4),"#0.000#")),""),"")</f>
        <v/>
      </c>
      <c r="G77" s="41" t="str">
        <f>IFERROR(IF(Calc!J77&lt;=$C$4,Calc!J77,""),"")</f>
        <v/>
      </c>
      <c r="H77" s="33" t="str">
        <f>IFERROR(IF(Calc!J77&lt;=$D$4,"Nice",""),"")</f>
        <v/>
      </c>
      <c r="J77" s="7" t="str">
        <f>CONCATENATE("[",TEXT(Show!A77,"#.0#"),":",TEXT(Show!B77,"#.0#"),"][",TEXT(Show!E77,"#.0#"),":",TEXT(Show!F77,"#.0#"),"]")</f>
        <v>[:][:]</v>
      </c>
    </row>
    <row r="78" spans="1:10" ht="16.5" hidden="1" thickTop="1" x14ac:dyDescent="0.25">
      <c r="A78" s="40" t="str">
        <f>IFERROR(IF(Calc!E78&lt;=$C$4,Calc!D78,""),"")</f>
        <v/>
      </c>
      <c r="B78" s="40" t="str">
        <f>IFERROR(IF(Calc!E78&lt;=$C$4,CONCATENATE(TEXT(Calc!C78,"#0.000#")," || ",TEXT(INDEX(Calc!L78:P78,$B$4),"#0.000#")),""),"")</f>
        <v/>
      </c>
      <c r="C78" s="41" t="str">
        <f>IFERROR(IF(Calc!E78&lt;=$C$4,Calc!E78,""),"")</f>
        <v/>
      </c>
      <c r="D78" s="33" t="str">
        <f>IFERROR(IF(Calc!E78&lt;=$D$4,"Nice",""),"")</f>
        <v/>
      </c>
      <c r="E78" s="40" t="str">
        <f>IFERROR(IF(Calc!J78&lt;=$C$4,Calc!I78,""),"")</f>
        <v/>
      </c>
      <c r="F78" s="40" t="str">
        <f>IFERROR(IF(Calc!J78&lt;=$C$4,CONCATENATE(TEXT(Calc!H78,"#0.000#")," + ",TEXT(INDEX(Calc!L78:P78,$B$4),"#0.000#")),""),"")</f>
        <v/>
      </c>
      <c r="G78" s="41" t="str">
        <f>IFERROR(IF(Calc!J78&lt;=$C$4,Calc!J78,""),"")</f>
        <v/>
      </c>
      <c r="H78" s="33" t="str">
        <f>IFERROR(IF(Calc!J78&lt;=$D$4,"Nice",""),"")</f>
        <v/>
      </c>
      <c r="J78" s="7" t="str">
        <f>CONCATENATE("[",TEXT(Show!A78,"#.0#"),":",TEXT(Show!B78,"#.0#"),"][",TEXT(Show!E78,"#.0#"),":",TEXT(Show!F78,"#.0#"),"]")</f>
        <v>[:][:]</v>
      </c>
    </row>
    <row r="79" spans="1:10" ht="16.5" hidden="1" thickTop="1" x14ac:dyDescent="0.25">
      <c r="A79" s="40" t="str">
        <f>IFERROR(IF(Calc!E79&lt;=$C$4,Calc!D79,""),"")</f>
        <v/>
      </c>
      <c r="B79" s="40" t="str">
        <f>IFERROR(IF(Calc!E79&lt;=$C$4,CONCATENATE(TEXT(Calc!C79,"#0.000#")," || ",TEXT(INDEX(Calc!L79:P79,$B$4),"#0.000#")),""),"")</f>
        <v/>
      </c>
      <c r="C79" s="41" t="str">
        <f>IFERROR(IF(Calc!E79&lt;=$C$4,Calc!E79,""),"")</f>
        <v/>
      </c>
      <c r="D79" s="33" t="str">
        <f>IFERROR(IF(Calc!E79&lt;=$D$4,"Nice",""),"")</f>
        <v/>
      </c>
      <c r="E79" s="40" t="str">
        <f>IFERROR(IF(Calc!J79&lt;=$C$4,Calc!I79,""),"")</f>
        <v/>
      </c>
      <c r="F79" s="40" t="str">
        <f>IFERROR(IF(Calc!J79&lt;=$C$4,CONCATENATE(TEXT(Calc!H79,"#0.000#")," + ",TEXT(INDEX(Calc!L79:P79,$B$4),"#0.000#")),""),"")</f>
        <v/>
      </c>
      <c r="G79" s="41" t="str">
        <f>IFERROR(IF(Calc!J79&lt;=$C$4,Calc!J79,""),"")</f>
        <v/>
      </c>
      <c r="H79" s="33" t="str">
        <f>IFERROR(IF(Calc!J79&lt;=$D$4,"Nice",""),"")</f>
        <v/>
      </c>
      <c r="J79" s="7" t="str">
        <f>CONCATENATE("[",TEXT(Show!A79,"#.0#"),":",TEXT(Show!B79,"#.0#"),"][",TEXT(Show!E79,"#.0#"),":",TEXT(Show!F79,"#.0#"),"]")</f>
        <v>[:][:]</v>
      </c>
    </row>
    <row r="80" spans="1:10" ht="16.5" hidden="1" thickTop="1" x14ac:dyDescent="0.25">
      <c r="A80" s="40" t="str">
        <f>IFERROR(IF(Calc!E80&lt;=$C$4,Calc!D80,""),"")</f>
        <v/>
      </c>
      <c r="B80" s="40" t="str">
        <f>IFERROR(IF(Calc!E80&lt;=$C$4,CONCATENATE(TEXT(Calc!C80,"#0.000#")," || ",TEXT(INDEX(Calc!L80:P80,$B$4),"#0.000#")),""),"")</f>
        <v/>
      </c>
      <c r="C80" s="41" t="str">
        <f>IFERROR(IF(Calc!E80&lt;=$C$4,Calc!E80,""),"")</f>
        <v/>
      </c>
      <c r="D80" s="33" t="str">
        <f>IFERROR(IF(Calc!E80&lt;=$D$4,"Nice",""),"")</f>
        <v/>
      </c>
      <c r="E80" s="40" t="str">
        <f>IFERROR(IF(Calc!J80&lt;=$C$4,Calc!I80,""),"")</f>
        <v/>
      </c>
      <c r="F80" s="40" t="str">
        <f>IFERROR(IF(Calc!J80&lt;=$C$4,CONCATENATE(TEXT(Calc!H80,"#0.000#")," + ",TEXT(INDEX(Calc!L80:P80,$B$4),"#0.000#")),""),"")</f>
        <v/>
      </c>
      <c r="G80" s="41" t="str">
        <f>IFERROR(IF(Calc!J80&lt;=$C$4,Calc!J80,""),"")</f>
        <v/>
      </c>
      <c r="H80" s="33" t="str">
        <f>IFERROR(IF(Calc!J80&lt;=$D$4,"Nice",""),"")</f>
        <v/>
      </c>
      <c r="J80" s="7" t="str">
        <f>CONCATENATE("[",TEXT(Show!A80,"#.0#"),":",TEXT(Show!B80,"#.0#"),"][",TEXT(Show!E80,"#.0#"),":",TEXT(Show!F80,"#.0#"),"]")</f>
        <v>[:][:]</v>
      </c>
    </row>
    <row r="81" spans="1:10" ht="16.5" hidden="1" thickTop="1" x14ac:dyDescent="0.25">
      <c r="A81" s="40" t="str">
        <f>IFERROR(IF(Calc!E81&lt;=$C$4,Calc!D81,""),"")</f>
        <v/>
      </c>
      <c r="B81" s="40" t="str">
        <f>IFERROR(IF(Calc!E81&lt;=$C$4,CONCATENATE(TEXT(Calc!C81,"#0.000#")," || ",TEXT(INDEX(Calc!L81:P81,$B$4),"#0.000#")),""),"")</f>
        <v/>
      </c>
      <c r="C81" s="41" t="str">
        <f>IFERROR(IF(Calc!E81&lt;=$C$4,Calc!E81,""),"")</f>
        <v/>
      </c>
      <c r="D81" s="33" t="str">
        <f>IFERROR(IF(Calc!E81&lt;=$D$4,"Nice",""),"")</f>
        <v/>
      </c>
      <c r="E81" s="40" t="str">
        <f>IFERROR(IF(Calc!J81&lt;=$C$4,Calc!I81,""),"")</f>
        <v/>
      </c>
      <c r="F81" s="40" t="str">
        <f>IFERROR(IF(Calc!J81&lt;=$C$4,CONCATENATE(TEXT(Calc!H81,"#0.000#")," + ",TEXT(INDEX(Calc!L81:P81,$B$4),"#0.000#")),""),"")</f>
        <v/>
      </c>
      <c r="G81" s="41" t="str">
        <f>IFERROR(IF(Calc!J81&lt;=$C$4,Calc!J81,""),"")</f>
        <v/>
      </c>
      <c r="H81" s="33" t="str">
        <f>IFERROR(IF(Calc!J81&lt;=$D$4,"Nice",""),"")</f>
        <v/>
      </c>
      <c r="J81" s="7" t="str">
        <f>CONCATENATE("[",TEXT(Show!A81,"#.0#"),":",TEXT(Show!B81,"#.0#"),"][",TEXT(Show!E81,"#.0#"),":",TEXT(Show!F81,"#.0#"),"]")</f>
        <v>[:][:]</v>
      </c>
    </row>
    <row r="82" spans="1:10" ht="16.5" hidden="1" thickTop="1" x14ac:dyDescent="0.25">
      <c r="A82" s="40" t="str">
        <f>IFERROR(IF(Calc!E82&lt;=$C$4,Calc!D82,""),"")</f>
        <v/>
      </c>
      <c r="B82" s="40" t="str">
        <f>IFERROR(IF(Calc!E82&lt;=$C$4,CONCATENATE(TEXT(Calc!C82,"#0.000#")," || ",TEXT(INDEX(Calc!L82:P82,$B$4),"#0.000#")),""),"")</f>
        <v/>
      </c>
      <c r="C82" s="41" t="str">
        <f>IFERROR(IF(Calc!E82&lt;=$C$4,Calc!E82,""),"")</f>
        <v/>
      </c>
      <c r="D82" s="33" t="str">
        <f>IFERROR(IF(Calc!E82&lt;=$D$4,"Nice",""),"")</f>
        <v/>
      </c>
      <c r="E82" s="40" t="str">
        <f>IFERROR(IF(Calc!J82&lt;=$C$4,Calc!I82,""),"")</f>
        <v/>
      </c>
      <c r="F82" s="40" t="str">
        <f>IFERROR(IF(Calc!J82&lt;=$C$4,CONCATENATE(TEXT(Calc!H82,"#0.000#")," + ",TEXT(INDEX(Calc!L82:P82,$B$4),"#0.000#")),""),"")</f>
        <v/>
      </c>
      <c r="G82" s="41" t="str">
        <f>IFERROR(IF(Calc!J82&lt;=$C$4,Calc!J82,""),"")</f>
        <v/>
      </c>
      <c r="H82" s="33" t="str">
        <f>IFERROR(IF(Calc!J82&lt;=$D$4,"Nice",""),"")</f>
        <v/>
      </c>
      <c r="J82" s="7" t="str">
        <f>CONCATENATE("[",TEXT(Show!A82,"#.0#"),":",TEXT(Show!B82,"#.0#"),"][",TEXT(Show!E82,"#.0#"),":",TEXT(Show!F82,"#.0#"),"]")</f>
        <v>[:][:]</v>
      </c>
    </row>
    <row r="83" spans="1:10" ht="16.5" hidden="1" thickTop="1" x14ac:dyDescent="0.25">
      <c r="A83" s="40" t="str">
        <f>IFERROR(IF(Calc!E83&lt;=$C$4,Calc!D83,""),"")</f>
        <v/>
      </c>
      <c r="B83" s="40" t="str">
        <f>IFERROR(IF(Calc!E83&lt;=$C$4,CONCATENATE(TEXT(Calc!C83,"#0.000#")," || ",TEXT(INDEX(Calc!L83:P83,$B$4),"#0.000#")),""),"")</f>
        <v/>
      </c>
      <c r="C83" s="41" t="str">
        <f>IFERROR(IF(Calc!E83&lt;=$C$4,Calc!E83,""),"")</f>
        <v/>
      </c>
      <c r="D83" s="33" t="str">
        <f>IFERROR(IF(Calc!E83&lt;=$D$4,"Nice",""),"")</f>
        <v/>
      </c>
      <c r="E83" s="40" t="str">
        <f>IFERROR(IF(Calc!J83&lt;=$C$4,Calc!I83,""),"")</f>
        <v/>
      </c>
      <c r="F83" s="40" t="str">
        <f>IFERROR(IF(Calc!J83&lt;=$C$4,CONCATENATE(TEXT(Calc!H83,"#0.000#")," + ",TEXT(INDEX(Calc!L83:P83,$B$4),"#0.000#")),""),"")</f>
        <v/>
      </c>
      <c r="G83" s="41" t="str">
        <f>IFERROR(IF(Calc!J83&lt;=$C$4,Calc!J83,""),"")</f>
        <v/>
      </c>
      <c r="H83" s="33" t="str">
        <f>IFERROR(IF(Calc!J83&lt;=$D$4,"Nice",""),"")</f>
        <v/>
      </c>
      <c r="J83" s="7" t="str">
        <f>CONCATENATE("[",TEXT(Show!A83,"#.0#"),":",TEXT(Show!B83,"#.0#"),"][",TEXT(Show!E83,"#.0#"),":",TEXT(Show!F83,"#.0#"),"]")</f>
        <v>[:][:]</v>
      </c>
    </row>
    <row r="84" spans="1:10" ht="16.5" hidden="1" thickTop="1" x14ac:dyDescent="0.25">
      <c r="A84" s="40" t="str">
        <f>IFERROR(IF(Calc!E84&lt;=$C$4,Calc!D84,""),"")</f>
        <v/>
      </c>
      <c r="B84" s="40" t="str">
        <f>IFERROR(IF(Calc!E84&lt;=$C$4,CONCATENATE(TEXT(Calc!C84,"#0.000#")," || ",TEXT(INDEX(Calc!L84:P84,$B$4),"#0.000#")),""),"")</f>
        <v/>
      </c>
      <c r="C84" s="41" t="str">
        <f>IFERROR(IF(Calc!E84&lt;=$C$4,Calc!E84,""),"")</f>
        <v/>
      </c>
      <c r="D84" s="33" t="str">
        <f>IFERROR(IF(Calc!E84&lt;=$D$4,"Nice",""),"")</f>
        <v/>
      </c>
      <c r="E84" s="40" t="str">
        <f>IFERROR(IF(Calc!J84&lt;=$C$4,Calc!I84,""),"")</f>
        <v/>
      </c>
      <c r="F84" s="40" t="str">
        <f>IFERROR(IF(Calc!J84&lt;=$C$4,CONCATENATE(TEXT(Calc!H84,"#0.000#")," + ",TEXT(INDEX(Calc!L84:P84,$B$4),"#0.000#")),""),"")</f>
        <v/>
      </c>
      <c r="G84" s="41" t="str">
        <f>IFERROR(IF(Calc!J84&lt;=$C$4,Calc!J84,""),"")</f>
        <v/>
      </c>
      <c r="H84" s="33" t="str">
        <f>IFERROR(IF(Calc!J84&lt;=$D$4,"Nice",""),"")</f>
        <v/>
      </c>
      <c r="J84" s="7" t="str">
        <f>CONCATENATE("[",TEXT(Show!A84,"#.0#"),":",TEXT(Show!B84,"#.0#"),"][",TEXT(Show!E84,"#.0#"),":",TEXT(Show!F84,"#.0#"),"]")</f>
        <v>[:][:]</v>
      </c>
    </row>
    <row r="85" spans="1:10" ht="16.5" hidden="1" thickTop="1" x14ac:dyDescent="0.25">
      <c r="A85" s="40" t="str">
        <f>IFERROR(IF(Calc!E85&lt;=$C$4,Calc!D85,""),"")</f>
        <v/>
      </c>
      <c r="B85" s="40" t="str">
        <f>IFERROR(IF(Calc!E85&lt;=$C$4,CONCATENATE(TEXT(Calc!C85,"#0.000#")," || ",TEXT(INDEX(Calc!L85:P85,$B$4),"#0.000#")),""),"")</f>
        <v/>
      </c>
      <c r="C85" s="41" t="str">
        <f>IFERROR(IF(Calc!E85&lt;=$C$4,Calc!E85,""),"")</f>
        <v/>
      </c>
      <c r="D85" s="33" t="str">
        <f>IFERROR(IF(Calc!E85&lt;=$D$4,"Nice",""),"")</f>
        <v/>
      </c>
      <c r="E85" s="40" t="str">
        <f>IFERROR(IF(Calc!J85&lt;=$C$4,Calc!I85,""),"")</f>
        <v/>
      </c>
      <c r="F85" s="40" t="str">
        <f>IFERROR(IF(Calc!J85&lt;=$C$4,CONCATENATE(TEXT(Calc!H85,"#0.000#")," + ",TEXT(INDEX(Calc!L85:P85,$B$4),"#0.000#")),""),"")</f>
        <v/>
      </c>
      <c r="G85" s="41" t="str">
        <f>IFERROR(IF(Calc!J85&lt;=$C$4,Calc!J85,""),"")</f>
        <v/>
      </c>
      <c r="H85" s="33" t="str">
        <f>IFERROR(IF(Calc!J85&lt;=$D$4,"Nice",""),"")</f>
        <v/>
      </c>
      <c r="J85" s="7" t="str">
        <f>CONCATENATE("[",TEXT(Show!A85,"#.0#"),":",TEXT(Show!B85,"#.0#"),"][",TEXT(Show!E85,"#.0#"),":",TEXT(Show!F85,"#.0#"),"]")</f>
        <v>[:][:]</v>
      </c>
    </row>
    <row r="86" spans="1:10" ht="16.5" hidden="1" thickTop="1" x14ac:dyDescent="0.25">
      <c r="A86" s="40" t="str">
        <f>IFERROR(IF(Calc!E86&lt;=$C$4,Calc!D86,""),"")</f>
        <v/>
      </c>
      <c r="B86" s="40" t="str">
        <f>IFERROR(IF(Calc!E86&lt;=$C$4,CONCATENATE(TEXT(Calc!C86,"#0.000#")," || ",TEXT(INDEX(Calc!L86:P86,$B$4),"#0.000#")),""),"")</f>
        <v/>
      </c>
      <c r="C86" s="41" t="str">
        <f>IFERROR(IF(Calc!E86&lt;=$C$4,Calc!E86,""),"")</f>
        <v/>
      </c>
      <c r="D86" s="33" t="str">
        <f>IFERROR(IF(Calc!E86&lt;=$D$4,"Nice",""),"")</f>
        <v/>
      </c>
      <c r="E86" s="40" t="str">
        <f>IFERROR(IF(Calc!J86&lt;=$C$4,Calc!I86,""),"")</f>
        <v/>
      </c>
      <c r="F86" s="40" t="str">
        <f>IFERROR(IF(Calc!J86&lt;=$C$4,CONCATENATE(TEXT(Calc!H86,"#0.000#")," + ",TEXT(INDEX(Calc!L86:P86,$B$4),"#0.000#")),""),"")</f>
        <v/>
      </c>
      <c r="G86" s="41" t="str">
        <f>IFERROR(IF(Calc!J86&lt;=$C$4,Calc!J86,""),"")</f>
        <v/>
      </c>
      <c r="H86" s="33" t="str">
        <f>IFERROR(IF(Calc!J86&lt;=$D$4,"Nice",""),"")</f>
        <v/>
      </c>
      <c r="J86" s="7" t="str">
        <f>CONCATENATE("[",TEXT(Show!A86,"#.0#"),":",TEXT(Show!B86,"#.0#"),"][",TEXT(Show!E86,"#.0#"),":",TEXT(Show!F86,"#.0#"),"]")</f>
        <v>[:][:]</v>
      </c>
    </row>
    <row r="87" spans="1:10" ht="16.5" hidden="1" thickTop="1" x14ac:dyDescent="0.25">
      <c r="A87" s="40" t="str">
        <f>IFERROR(IF(Calc!E87&lt;=$C$4,Calc!D87,""),"")</f>
        <v/>
      </c>
      <c r="B87" s="40" t="str">
        <f>IFERROR(IF(Calc!E87&lt;=$C$4,CONCATENATE(TEXT(Calc!C87,"#0.000#")," || ",TEXT(INDEX(Calc!L87:P87,$B$4),"#0.000#")),""),"")</f>
        <v/>
      </c>
      <c r="C87" s="41" t="str">
        <f>IFERROR(IF(Calc!E87&lt;=$C$4,Calc!E87,""),"")</f>
        <v/>
      </c>
      <c r="D87" s="33" t="str">
        <f>IFERROR(IF(Calc!E87&lt;=$D$4,"Nice",""),"")</f>
        <v/>
      </c>
      <c r="E87" s="40" t="str">
        <f>IFERROR(IF(Calc!J87&lt;=$C$4,Calc!I87,""),"")</f>
        <v/>
      </c>
      <c r="F87" s="40" t="str">
        <f>IFERROR(IF(Calc!J87&lt;=$C$4,CONCATENATE(TEXT(Calc!H87,"#0.000#")," + ",TEXT(INDEX(Calc!L87:P87,$B$4),"#0.000#")),""),"")</f>
        <v/>
      </c>
      <c r="G87" s="41" t="str">
        <f>IFERROR(IF(Calc!J87&lt;=$C$4,Calc!J87,""),"")</f>
        <v/>
      </c>
      <c r="H87" s="33" t="str">
        <f>IFERROR(IF(Calc!J87&lt;=$D$4,"Nice",""),"")</f>
        <v/>
      </c>
      <c r="J87" s="7" t="str">
        <f>CONCATENATE("[",TEXT(Show!A87,"#.0#"),":",TEXT(Show!B87,"#.0#"),"][",TEXT(Show!E87,"#.0#"),":",TEXT(Show!F87,"#.0#"),"]")</f>
        <v>[:][:]</v>
      </c>
    </row>
    <row r="88" spans="1:10" ht="16.5" hidden="1" thickTop="1" x14ac:dyDescent="0.25">
      <c r="A88" s="40" t="str">
        <f>IFERROR(IF(Calc!E88&lt;=$C$4,Calc!D88,""),"")</f>
        <v/>
      </c>
      <c r="B88" s="40" t="str">
        <f>IFERROR(IF(Calc!E88&lt;=$C$4,CONCATENATE(TEXT(Calc!C88,"#0.000#")," || ",TEXT(INDEX(Calc!L88:P88,$B$4),"#0.000#")),""),"")</f>
        <v/>
      </c>
      <c r="C88" s="41" t="str">
        <f>IFERROR(IF(Calc!E88&lt;=$C$4,Calc!E88,""),"")</f>
        <v/>
      </c>
      <c r="D88" s="33" t="str">
        <f>IFERROR(IF(Calc!E88&lt;=$D$4,"Nice",""),"")</f>
        <v/>
      </c>
      <c r="E88" s="40" t="str">
        <f>IFERROR(IF(Calc!J88&lt;=$C$4,Calc!I88,""),"")</f>
        <v/>
      </c>
      <c r="F88" s="40" t="str">
        <f>IFERROR(IF(Calc!J88&lt;=$C$4,CONCATENATE(TEXT(Calc!H88,"#0.000#")," + ",TEXT(INDEX(Calc!L88:P88,$B$4),"#0.000#")),""),"")</f>
        <v/>
      </c>
      <c r="G88" s="41" t="str">
        <f>IFERROR(IF(Calc!J88&lt;=$C$4,Calc!J88,""),"")</f>
        <v/>
      </c>
      <c r="H88" s="33" t="str">
        <f>IFERROR(IF(Calc!J88&lt;=$D$4,"Nice",""),"")</f>
        <v/>
      </c>
      <c r="J88" s="7" t="str">
        <f>CONCATENATE("[",TEXT(Show!A88,"#.0#"),":",TEXT(Show!B88,"#.0#"),"][",TEXT(Show!E88,"#.0#"),":",TEXT(Show!F88,"#.0#"),"]")</f>
        <v>[:][:]</v>
      </c>
    </row>
    <row r="89" spans="1:10" ht="16.5" hidden="1" thickTop="1" x14ac:dyDescent="0.25">
      <c r="A89" s="40" t="str">
        <f>IFERROR(IF(Calc!E89&lt;=$C$4,Calc!D89,""),"")</f>
        <v/>
      </c>
      <c r="B89" s="40" t="str">
        <f>IFERROR(IF(Calc!E89&lt;=$C$4,CONCATENATE(TEXT(Calc!C89,"#0.000#")," || ",TEXT(INDEX(Calc!L89:P89,$B$4),"#0.000#")),""),"")</f>
        <v/>
      </c>
      <c r="C89" s="41" t="str">
        <f>IFERROR(IF(Calc!E89&lt;=$C$4,Calc!E89,""),"")</f>
        <v/>
      </c>
      <c r="D89" s="33" t="str">
        <f>IFERROR(IF(Calc!E89&lt;=$D$4,"Nice",""),"")</f>
        <v/>
      </c>
      <c r="E89" s="40" t="str">
        <f>IFERROR(IF(Calc!J89&lt;=$C$4,Calc!I89,""),"")</f>
        <v/>
      </c>
      <c r="F89" s="40" t="str">
        <f>IFERROR(IF(Calc!J89&lt;=$C$4,CONCATENATE(TEXT(Calc!H89,"#0.000#")," + ",TEXT(INDEX(Calc!L89:P89,$B$4),"#0.000#")),""),"")</f>
        <v/>
      </c>
      <c r="G89" s="41" t="str">
        <f>IFERROR(IF(Calc!J89&lt;=$C$4,Calc!J89,""),"")</f>
        <v/>
      </c>
      <c r="H89" s="33" t="str">
        <f>IFERROR(IF(Calc!J89&lt;=$D$4,"Nice",""),"")</f>
        <v/>
      </c>
      <c r="J89" s="7" t="str">
        <f>CONCATENATE("[",TEXT(Show!A89,"#.0#"),":",TEXT(Show!B89,"#.0#"),"][",TEXT(Show!E89,"#.0#"),":",TEXT(Show!F89,"#.0#"),"]")</f>
        <v>[:][:]</v>
      </c>
    </row>
    <row r="90" spans="1:10" ht="16.5" hidden="1" thickTop="1" x14ac:dyDescent="0.25">
      <c r="A90" s="40" t="str">
        <f>IFERROR(IF(Calc!E90&lt;=$C$4,Calc!D90,""),"")</f>
        <v/>
      </c>
      <c r="B90" s="40" t="str">
        <f>IFERROR(IF(Calc!E90&lt;=$C$4,CONCATENATE(TEXT(Calc!C90,"#0.000#")," || ",TEXT(INDEX(Calc!L90:P90,$B$4),"#0.000#")),""),"")</f>
        <v/>
      </c>
      <c r="C90" s="41" t="str">
        <f>IFERROR(IF(Calc!E90&lt;=$C$4,Calc!E90,""),"")</f>
        <v/>
      </c>
      <c r="D90" s="33" t="str">
        <f>IFERROR(IF(Calc!E90&lt;=$D$4,"Nice",""),"")</f>
        <v/>
      </c>
      <c r="E90" s="40" t="str">
        <f>IFERROR(IF(Calc!J90&lt;=$C$4,Calc!I90,""),"")</f>
        <v/>
      </c>
      <c r="F90" s="40" t="str">
        <f>IFERROR(IF(Calc!J90&lt;=$C$4,CONCATENATE(TEXT(Calc!H90,"#0.000#")," + ",TEXT(INDEX(Calc!L90:P90,$B$4),"#0.000#")),""),"")</f>
        <v/>
      </c>
      <c r="G90" s="41" t="str">
        <f>IFERROR(IF(Calc!J90&lt;=$C$4,Calc!J90,""),"")</f>
        <v/>
      </c>
      <c r="H90" s="33" t="str">
        <f>IFERROR(IF(Calc!J90&lt;=$D$4,"Nice",""),"")</f>
        <v/>
      </c>
      <c r="J90" s="7" t="str">
        <f>CONCATENATE("[",TEXT(Show!A90,"#.0#"),":",TEXT(Show!B90,"#.0#"),"][",TEXT(Show!E90,"#.0#"),":",TEXT(Show!F90,"#.0#"),"]")</f>
        <v>[:][:]</v>
      </c>
    </row>
    <row r="91" spans="1:10" ht="16.5" hidden="1" thickTop="1" x14ac:dyDescent="0.25">
      <c r="A91" s="40" t="str">
        <f>IFERROR(IF(Calc!E91&lt;=$C$4,Calc!D91,""),"")</f>
        <v/>
      </c>
      <c r="B91" s="40" t="str">
        <f>IFERROR(IF(Calc!E91&lt;=$C$4,CONCATENATE(TEXT(Calc!C91,"#0.000#")," || ",TEXT(INDEX(Calc!L91:P91,$B$4),"#0.000#")),""),"")</f>
        <v/>
      </c>
      <c r="C91" s="41" t="str">
        <f>IFERROR(IF(Calc!E91&lt;=$C$4,Calc!E91,""),"")</f>
        <v/>
      </c>
      <c r="D91" s="33" t="str">
        <f>IFERROR(IF(Calc!E91&lt;=$D$4,"Nice",""),"")</f>
        <v/>
      </c>
      <c r="E91" s="40" t="str">
        <f>IFERROR(IF(Calc!J91&lt;=$C$4,Calc!I91,""),"")</f>
        <v/>
      </c>
      <c r="F91" s="40" t="str">
        <f>IFERROR(IF(Calc!J91&lt;=$C$4,CONCATENATE(TEXT(Calc!H91,"#0.000#")," + ",TEXT(INDEX(Calc!L91:P91,$B$4),"#0.000#")),""),"")</f>
        <v/>
      </c>
      <c r="G91" s="41" t="str">
        <f>IFERROR(IF(Calc!J91&lt;=$C$4,Calc!J91,""),"")</f>
        <v/>
      </c>
      <c r="H91" s="33" t="str">
        <f>IFERROR(IF(Calc!J91&lt;=$D$4,"Nice",""),"")</f>
        <v/>
      </c>
      <c r="J91" s="7" t="str">
        <f>CONCATENATE("[",TEXT(Show!A91,"#.0#"),":",TEXT(Show!B91,"#.0#"),"][",TEXT(Show!E91,"#.0#"),":",TEXT(Show!F91,"#.0#"),"]")</f>
        <v>[:][:]</v>
      </c>
    </row>
    <row r="92" spans="1:10" ht="16.5" hidden="1" thickTop="1" x14ac:dyDescent="0.25">
      <c r="A92" s="40" t="str">
        <f>IFERROR(IF(Calc!E92&lt;=$C$4,Calc!D92,""),"")</f>
        <v/>
      </c>
      <c r="B92" s="40" t="str">
        <f>IFERROR(IF(Calc!E92&lt;=$C$4,CONCATENATE(TEXT(Calc!C92,"#0.000#")," || ",TEXT(INDEX(Calc!L92:P92,$B$4),"#0.000#")),""),"")</f>
        <v/>
      </c>
      <c r="C92" s="41" t="str">
        <f>IFERROR(IF(Calc!E92&lt;=$C$4,Calc!E92,""),"")</f>
        <v/>
      </c>
      <c r="D92" s="33" t="str">
        <f>IFERROR(IF(Calc!E92&lt;=$D$4,"Nice",""),"")</f>
        <v/>
      </c>
      <c r="E92" s="40" t="str">
        <f>IFERROR(IF(Calc!J92&lt;=$C$4,Calc!I92,""),"")</f>
        <v/>
      </c>
      <c r="F92" s="40" t="str">
        <f>IFERROR(IF(Calc!J92&lt;=$C$4,CONCATENATE(TEXT(Calc!H92,"#0.000#")," + ",TEXT(INDEX(Calc!L92:P92,$B$4),"#0.000#")),""),"")</f>
        <v/>
      </c>
      <c r="G92" s="41" t="str">
        <f>IFERROR(IF(Calc!J92&lt;=$C$4,Calc!J92,""),"")</f>
        <v/>
      </c>
      <c r="H92" s="33" t="str">
        <f>IFERROR(IF(Calc!J92&lt;=$D$4,"Nice",""),"")</f>
        <v/>
      </c>
      <c r="J92" s="7" t="str">
        <f>CONCATENATE("[",TEXT(Show!A92,"#.0#"),":",TEXT(Show!B92,"#.0#"),"][",TEXT(Show!E92,"#.0#"),":",TEXT(Show!F92,"#.0#"),"]")</f>
        <v>[:][:]</v>
      </c>
    </row>
    <row r="93" spans="1:10" ht="16.5" hidden="1" thickTop="1" x14ac:dyDescent="0.25">
      <c r="A93" s="40" t="str">
        <f>IFERROR(IF(Calc!E93&lt;=$C$4,Calc!D93,""),"")</f>
        <v/>
      </c>
      <c r="B93" s="40" t="str">
        <f>IFERROR(IF(Calc!E93&lt;=$C$4,CONCATENATE(TEXT(Calc!C93,"#0.000#")," || ",TEXT(INDEX(Calc!L93:P93,$B$4),"#0.000#")),""),"")</f>
        <v/>
      </c>
      <c r="C93" s="41" t="str">
        <f>IFERROR(IF(Calc!E93&lt;=$C$4,Calc!E93,""),"")</f>
        <v/>
      </c>
      <c r="D93" s="33" t="str">
        <f>IFERROR(IF(Calc!E93&lt;=$D$4,"Nice",""),"")</f>
        <v/>
      </c>
      <c r="E93" s="40" t="str">
        <f>IFERROR(IF(Calc!J93&lt;=$C$4,Calc!I93,""),"")</f>
        <v/>
      </c>
      <c r="F93" s="40" t="str">
        <f>IFERROR(IF(Calc!J93&lt;=$C$4,CONCATENATE(TEXT(Calc!H93,"#0.000#")," + ",TEXT(INDEX(Calc!L93:P93,$B$4),"#0.000#")),""),"")</f>
        <v/>
      </c>
      <c r="G93" s="41" t="str">
        <f>IFERROR(IF(Calc!J93&lt;=$C$4,Calc!J93,""),"")</f>
        <v/>
      </c>
      <c r="H93" s="33" t="str">
        <f>IFERROR(IF(Calc!J93&lt;=$D$4,"Nice",""),"")</f>
        <v/>
      </c>
      <c r="J93" s="7" t="str">
        <f>CONCATENATE("[",TEXT(Show!A93,"#.0#"),":",TEXT(Show!B93,"#.0#"),"][",TEXT(Show!E93,"#.0#"),":",TEXT(Show!F93,"#.0#"),"]")</f>
        <v>[:][:]</v>
      </c>
    </row>
    <row r="94" spans="1:10" ht="16.5" hidden="1" thickTop="1" x14ac:dyDescent="0.25">
      <c r="A94" s="40" t="str">
        <f>IFERROR(IF(Calc!E94&lt;=$C$4,Calc!D94,""),"")</f>
        <v/>
      </c>
      <c r="B94" s="40" t="str">
        <f>IFERROR(IF(Calc!E94&lt;=$C$4,CONCATENATE(TEXT(Calc!C94,"#0.000#")," || ",TEXT(INDEX(Calc!L94:P94,$B$4),"#0.000#")),""),"")</f>
        <v/>
      </c>
      <c r="C94" s="41" t="str">
        <f>IFERROR(IF(Calc!E94&lt;=$C$4,Calc!E94,""),"")</f>
        <v/>
      </c>
      <c r="D94" s="33" t="str">
        <f>IFERROR(IF(Calc!E94&lt;=$D$4,"Nice",""),"")</f>
        <v/>
      </c>
      <c r="E94" s="40" t="str">
        <f>IFERROR(IF(Calc!J94&lt;=$C$4,Calc!I94,""),"")</f>
        <v/>
      </c>
      <c r="F94" s="40" t="str">
        <f>IFERROR(IF(Calc!J94&lt;=$C$4,CONCATENATE(TEXT(Calc!H94,"#0.000#")," + ",TEXT(INDEX(Calc!L94:P94,$B$4),"#0.000#")),""),"")</f>
        <v/>
      </c>
      <c r="G94" s="41" t="str">
        <f>IFERROR(IF(Calc!J94&lt;=$C$4,Calc!J94,""),"")</f>
        <v/>
      </c>
      <c r="H94" s="33" t="str">
        <f>IFERROR(IF(Calc!J94&lt;=$D$4,"Nice",""),"")</f>
        <v/>
      </c>
      <c r="J94" s="7" t="str">
        <f>CONCATENATE("[",TEXT(Show!A94,"#.0#"),":",TEXT(Show!B94,"#.0#"),"][",TEXT(Show!E94,"#.0#"),":",TEXT(Show!F94,"#.0#"),"]")</f>
        <v>[:][:]</v>
      </c>
    </row>
    <row r="95" spans="1:10" ht="16.5" hidden="1" thickTop="1" x14ac:dyDescent="0.25">
      <c r="A95" s="40" t="str">
        <f>IFERROR(IF(Calc!E95&lt;=$C$4,Calc!D95,""),"")</f>
        <v/>
      </c>
      <c r="B95" s="40" t="str">
        <f>IFERROR(IF(Calc!E95&lt;=$C$4,CONCATENATE(TEXT(Calc!C95,"#0.000#")," || ",TEXT(INDEX(Calc!L95:P95,$B$4),"#0.000#")),""),"")</f>
        <v/>
      </c>
      <c r="C95" s="41" t="str">
        <f>IFERROR(IF(Calc!E95&lt;=$C$4,Calc!E95,""),"")</f>
        <v/>
      </c>
      <c r="D95" s="33" t="str">
        <f>IFERROR(IF(Calc!E95&lt;=$D$4,"Nice",""),"")</f>
        <v/>
      </c>
      <c r="E95" s="40" t="str">
        <f>IFERROR(IF(Calc!J95&lt;=$C$4,Calc!I95,""),"")</f>
        <v/>
      </c>
      <c r="F95" s="40" t="str">
        <f>IFERROR(IF(Calc!J95&lt;=$C$4,CONCATENATE(TEXT(Calc!H95,"#0.000#")," + ",TEXT(INDEX(Calc!L95:P95,$B$4),"#0.000#")),""),"")</f>
        <v/>
      </c>
      <c r="G95" s="41" t="str">
        <f>IFERROR(IF(Calc!J95&lt;=$C$4,Calc!J95,""),"")</f>
        <v/>
      </c>
      <c r="H95" s="33" t="str">
        <f>IFERROR(IF(Calc!J95&lt;=$D$4,"Nice",""),"")</f>
        <v/>
      </c>
      <c r="J95" s="7" t="str">
        <f>CONCATENATE("[",TEXT(Show!A95,"#.0#"),":",TEXT(Show!B95,"#.0#"),"][",TEXT(Show!E95,"#.0#"),":",TEXT(Show!F95,"#.0#"),"]")</f>
        <v>[:][:]</v>
      </c>
    </row>
    <row r="96" spans="1:10" ht="16.5" hidden="1" thickTop="1" x14ac:dyDescent="0.25">
      <c r="A96" s="40" t="str">
        <f>IFERROR(IF(Calc!E96&lt;=$C$4,Calc!D96,""),"")</f>
        <v/>
      </c>
      <c r="B96" s="40" t="str">
        <f>IFERROR(IF(Calc!E96&lt;=$C$4,CONCATENATE(TEXT(Calc!C96,"#0.000#")," || ",TEXT(INDEX(Calc!L96:P96,$B$4),"#0.000#")),""),"")</f>
        <v/>
      </c>
      <c r="C96" s="41" t="str">
        <f>IFERROR(IF(Calc!E96&lt;=$C$4,Calc!E96,""),"")</f>
        <v/>
      </c>
      <c r="D96" s="33" t="str">
        <f>IFERROR(IF(Calc!E96&lt;=$D$4,"Nice",""),"")</f>
        <v/>
      </c>
      <c r="E96" s="40" t="str">
        <f>IFERROR(IF(Calc!J96&lt;=$C$4,Calc!I96,""),"")</f>
        <v/>
      </c>
      <c r="F96" s="40" t="str">
        <f>IFERROR(IF(Calc!J96&lt;=$C$4,CONCATENATE(TEXT(Calc!H96,"#0.000#")," + ",TEXT(INDEX(Calc!L96:P96,$B$4),"#0.000#")),""),"")</f>
        <v/>
      </c>
      <c r="G96" s="41" t="str">
        <f>IFERROR(IF(Calc!J96&lt;=$C$4,Calc!J96,""),"")</f>
        <v/>
      </c>
      <c r="H96" s="33" t="str">
        <f>IFERROR(IF(Calc!J96&lt;=$D$4,"Nice",""),"")</f>
        <v/>
      </c>
      <c r="J96" s="7" t="str">
        <f>CONCATENATE("[",TEXT(Show!A96,"#.0#"),":",TEXT(Show!B96,"#.0#"),"][",TEXT(Show!E96,"#.0#"),":",TEXT(Show!F96,"#.0#"),"]")</f>
        <v>[:][:]</v>
      </c>
    </row>
    <row r="97" spans="1:10" ht="16.5" hidden="1" thickTop="1" x14ac:dyDescent="0.25">
      <c r="A97" s="40" t="str">
        <f>IFERROR(IF(Calc!E97&lt;=$C$4,Calc!D97,""),"")</f>
        <v/>
      </c>
      <c r="B97" s="40" t="str">
        <f>IFERROR(IF(Calc!E97&lt;=$C$4,CONCATENATE(TEXT(Calc!C97,"#0.000#")," || ",TEXT(INDEX(Calc!L97:P97,$B$4),"#0.000#")),""),"")</f>
        <v/>
      </c>
      <c r="C97" s="41" t="str">
        <f>IFERROR(IF(Calc!E97&lt;=$C$4,Calc!E97,""),"")</f>
        <v/>
      </c>
      <c r="D97" s="33" t="str">
        <f>IFERROR(IF(Calc!E97&lt;=$D$4,"Nice",""),"")</f>
        <v/>
      </c>
      <c r="E97" s="40" t="str">
        <f>IFERROR(IF(Calc!J97&lt;=$C$4,Calc!I97,""),"")</f>
        <v/>
      </c>
      <c r="F97" s="40" t="str">
        <f>IFERROR(IF(Calc!J97&lt;=$C$4,CONCATENATE(TEXT(Calc!H97,"#0.000#")," + ",TEXT(INDEX(Calc!L97:P97,$B$4),"#0.000#")),""),"")</f>
        <v/>
      </c>
      <c r="G97" s="41" t="str">
        <f>IFERROR(IF(Calc!J97&lt;=$C$4,Calc!J97,""),"")</f>
        <v/>
      </c>
      <c r="H97" s="33" t="str">
        <f>IFERROR(IF(Calc!J97&lt;=$D$4,"Nice",""),"")</f>
        <v/>
      </c>
      <c r="J97" s="7" t="str">
        <f>CONCATENATE("[",TEXT(Show!A97,"#.0#"),":",TEXT(Show!B97,"#.0#"),"][",TEXT(Show!E97,"#.0#"),":",TEXT(Show!F97,"#.0#"),"]")</f>
        <v>[:][:]</v>
      </c>
    </row>
    <row r="98" spans="1:10" ht="16.5" hidden="1" thickTop="1" x14ac:dyDescent="0.25">
      <c r="A98" s="40" t="str">
        <f>IFERROR(IF(Calc!E98&lt;=$C$4,Calc!D98,""),"")</f>
        <v/>
      </c>
      <c r="B98" s="40" t="str">
        <f>IFERROR(IF(Calc!E98&lt;=$C$4,CONCATENATE(TEXT(Calc!C98,"#0.000#")," || ",TEXT(INDEX(Calc!L98:P98,$B$4),"#0.000#")),""),"")</f>
        <v/>
      </c>
      <c r="C98" s="41" t="str">
        <f>IFERROR(IF(Calc!E98&lt;=$C$4,Calc!E98,""),"")</f>
        <v/>
      </c>
      <c r="D98" s="33" t="str">
        <f>IFERROR(IF(Calc!E98&lt;=$D$4,"Nice",""),"")</f>
        <v/>
      </c>
      <c r="E98" s="40" t="str">
        <f>IFERROR(IF(Calc!J98&lt;=$C$4,Calc!I98,""),"")</f>
        <v/>
      </c>
      <c r="F98" s="40" t="str">
        <f>IFERROR(IF(Calc!J98&lt;=$C$4,CONCATENATE(TEXT(Calc!H98,"#0.000#")," + ",TEXT(INDEX(Calc!L98:P98,$B$4),"#0.000#")),""),"")</f>
        <v/>
      </c>
      <c r="G98" s="41" t="str">
        <f>IFERROR(IF(Calc!J98&lt;=$C$4,Calc!J98,""),"")</f>
        <v/>
      </c>
      <c r="H98" s="33" t="str">
        <f>IFERROR(IF(Calc!J98&lt;=$D$4,"Nice",""),"")</f>
        <v/>
      </c>
      <c r="J98" s="7" t="str">
        <f>CONCATENATE("[",TEXT(Show!A98,"#.0#"),":",TEXT(Show!B98,"#.0#"),"][",TEXT(Show!E98,"#.0#"),":",TEXT(Show!F98,"#.0#"),"]")</f>
        <v>[:][:]</v>
      </c>
    </row>
    <row r="99" spans="1:10" ht="16.5" hidden="1" thickTop="1" x14ac:dyDescent="0.25">
      <c r="A99" s="40" t="str">
        <f>IFERROR(IF(Calc!E99&lt;=$C$4,Calc!D99,""),"")</f>
        <v/>
      </c>
      <c r="B99" s="40" t="str">
        <f>IFERROR(IF(Calc!E99&lt;=$C$4,CONCATENATE(TEXT(Calc!C99,"#0.000#")," || ",TEXT(INDEX(Calc!L99:P99,$B$4),"#0.000#")),""),"")</f>
        <v/>
      </c>
      <c r="C99" s="41" t="str">
        <f>IFERROR(IF(Calc!E99&lt;=$C$4,Calc!E99,""),"")</f>
        <v/>
      </c>
      <c r="D99" s="33" t="str">
        <f>IFERROR(IF(Calc!E99&lt;=$D$4,"Nice",""),"")</f>
        <v/>
      </c>
      <c r="E99" s="40" t="str">
        <f>IFERROR(IF(Calc!J99&lt;=$C$4,Calc!I99,""),"")</f>
        <v/>
      </c>
      <c r="F99" s="40" t="str">
        <f>IFERROR(IF(Calc!J99&lt;=$C$4,CONCATENATE(TEXT(Calc!H99,"#0.000#")," + ",TEXT(INDEX(Calc!L99:P99,$B$4),"#0.000#")),""),"")</f>
        <v/>
      </c>
      <c r="G99" s="41" t="str">
        <f>IFERROR(IF(Calc!J99&lt;=$C$4,Calc!J99,""),"")</f>
        <v/>
      </c>
      <c r="H99" s="33" t="str">
        <f>IFERROR(IF(Calc!J99&lt;=$D$4,"Nice",""),"")</f>
        <v/>
      </c>
      <c r="J99" s="7" t="str">
        <f>CONCATENATE("[",TEXT(Show!A99,"#.0#"),":",TEXT(Show!B99,"#.0#"),"][",TEXT(Show!E99,"#.0#"),":",TEXT(Show!F99,"#.0#"),"]")</f>
        <v>[:][:]</v>
      </c>
    </row>
    <row r="100" spans="1:10" ht="16.5" hidden="1" thickTop="1" x14ac:dyDescent="0.25">
      <c r="A100" s="40" t="str">
        <f>IFERROR(IF(Calc!E100&lt;=$C$4,Calc!D100,""),"")</f>
        <v/>
      </c>
      <c r="B100" s="40" t="str">
        <f>IFERROR(IF(Calc!E100&lt;=$C$4,CONCATENATE(TEXT(Calc!C100,"#0.000#")," || ",TEXT(INDEX(Calc!L100:P100,$B$4),"#0.000#")),""),"")</f>
        <v/>
      </c>
      <c r="C100" s="41" t="str">
        <f>IFERROR(IF(Calc!E100&lt;=$C$4,Calc!E100,""),"")</f>
        <v/>
      </c>
      <c r="D100" s="33" t="str">
        <f>IFERROR(IF(Calc!E100&lt;=$D$4,"Nice",""),"")</f>
        <v/>
      </c>
      <c r="E100" s="40" t="str">
        <f>IFERROR(IF(Calc!J100&lt;=$C$4,Calc!I100,""),"")</f>
        <v/>
      </c>
      <c r="F100" s="40" t="str">
        <f>IFERROR(IF(Calc!J100&lt;=$C$4,CONCATENATE(TEXT(Calc!H100,"#0.000#")," + ",TEXT(INDEX(Calc!L100:P100,$B$4),"#0.000#")),""),"")</f>
        <v/>
      </c>
      <c r="G100" s="41" t="str">
        <f>IFERROR(IF(Calc!J100&lt;=$C$4,Calc!J100,""),"")</f>
        <v/>
      </c>
      <c r="H100" s="33" t="str">
        <f>IFERROR(IF(Calc!J100&lt;=$D$4,"Nice",""),"")</f>
        <v/>
      </c>
      <c r="J100" s="7" t="str">
        <f>CONCATENATE("[",TEXT(Show!A100,"#.0#"),":",TEXT(Show!B100,"#.0#"),"][",TEXT(Show!E100,"#.0#"),":",TEXT(Show!F100,"#.0#"),"]")</f>
        <v>[:][:]</v>
      </c>
    </row>
    <row r="101" spans="1:10" ht="16.5" hidden="1" thickTop="1" x14ac:dyDescent="0.25">
      <c r="A101" s="40" t="str">
        <f>IFERROR(IF(Calc!E101&lt;=$C$4,Calc!D101,""),"")</f>
        <v/>
      </c>
      <c r="B101" s="40" t="str">
        <f>IFERROR(IF(Calc!E101&lt;=$C$4,CONCATENATE(TEXT(Calc!C101,"#0.000#")," || ",TEXT(INDEX(Calc!L101:P101,$B$4),"#0.000#")),""),"")</f>
        <v/>
      </c>
      <c r="C101" s="41" t="str">
        <f>IFERROR(IF(Calc!E101&lt;=$C$4,Calc!E101,""),"")</f>
        <v/>
      </c>
      <c r="D101" s="33" t="str">
        <f>IFERROR(IF(Calc!E101&lt;=$D$4,"Nice",""),"")</f>
        <v/>
      </c>
      <c r="E101" s="40" t="str">
        <f>IFERROR(IF(Calc!J101&lt;=$C$4,Calc!I101,""),"")</f>
        <v/>
      </c>
      <c r="F101" s="40" t="str">
        <f>IFERROR(IF(Calc!J101&lt;=$C$4,CONCATENATE(TEXT(Calc!H101,"#0.000#")," + ",TEXT(INDEX(Calc!L101:P101,$B$4),"#0.000#")),""),"")</f>
        <v/>
      </c>
      <c r="G101" s="41" t="str">
        <f>IFERROR(IF(Calc!J101&lt;=$C$4,Calc!J101,""),"")</f>
        <v/>
      </c>
      <c r="H101" s="33" t="str">
        <f>IFERROR(IF(Calc!J101&lt;=$D$4,"Nice",""),"")</f>
        <v/>
      </c>
      <c r="J101" s="7" t="str">
        <f>CONCATENATE("[",TEXT(Show!A101,"#.0#"),":",TEXT(Show!B101,"#.0#"),"][",TEXT(Show!E101,"#.0#"),":",TEXT(Show!F101,"#.0#"),"]")</f>
        <v>[:][:]</v>
      </c>
    </row>
    <row r="102" spans="1:10" ht="16.5" hidden="1" thickTop="1" x14ac:dyDescent="0.25">
      <c r="A102" s="40" t="str">
        <f>IFERROR(IF(Calc!E102&lt;=$C$4,Calc!D102,""),"")</f>
        <v/>
      </c>
      <c r="B102" s="40" t="str">
        <f>IFERROR(IF(Calc!E102&lt;=$C$4,CONCATENATE(TEXT(Calc!C102,"#0.000#")," || ",TEXT(INDEX(Calc!L102:P102,$B$4),"#0.000#")),""),"")</f>
        <v/>
      </c>
      <c r="C102" s="41" t="str">
        <f>IFERROR(IF(Calc!E102&lt;=$C$4,Calc!E102,""),"")</f>
        <v/>
      </c>
      <c r="D102" s="33" t="str">
        <f>IFERROR(IF(Calc!E102&lt;=$D$4,"Nice",""),"")</f>
        <v/>
      </c>
      <c r="E102" s="40" t="str">
        <f>IFERROR(IF(Calc!J102&lt;=$C$4,Calc!I102,""),"")</f>
        <v/>
      </c>
      <c r="F102" s="40" t="str">
        <f>IFERROR(IF(Calc!J102&lt;=$C$4,CONCATENATE(TEXT(Calc!H102,"#0.000#")," + ",TEXT(INDEX(Calc!L102:P102,$B$4),"#0.000#")),""),"")</f>
        <v/>
      </c>
      <c r="G102" s="41" t="str">
        <f>IFERROR(IF(Calc!J102&lt;=$C$4,Calc!J102,""),"")</f>
        <v/>
      </c>
      <c r="H102" s="33" t="str">
        <f>IFERROR(IF(Calc!J102&lt;=$D$4,"Nice",""),"")</f>
        <v/>
      </c>
      <c r="J102" s="7" t="str">
        <f>CONCATENATE("[",TEXT(Show!A102,"#.0#"),":",TEXT(Show!B102,"#.0#"),"][",TEXT(Show!E102,"#.0#"),":",TEXT(Show!F102,"#.0#"),"]")</f>
        <v>[:][:]</v>
      </c>
    </row>
    <row r="103" spans="1:10" ht="16.5" hidden="1" thickTop="1" x14ac:dyDescent="0.25">
      <c r="A103" s="40" t="str">
        <f>IFERROR(IF(Calc!E103&lt;=$C$4,Calc!D103,""),"")</f>
        <v/>
      </c>
      <c r="B103" s="40" t="str">
        <f>IFERROR(IF(Calc!E103&lt;=$C$4,CONCATENATE(TEXT(Calc!C103,"#0.000#")," || ",TEXT(INDEX(Calc!L103:P103,$B$4),"#0.000#")),""),"")</f>
        <v/>
      </c>
      <c r="C103" s="41" t="str">
        <f>IFERROR(IF(Calc!E103&lt;=$C$4,Calc!E103,""),"")</f>
        <v/>
      </c>
      <c r="D103" s="33" t="str">
        <f>IFERROR(IF(Calc!E103&lt;=$D$4,"Nice",""),"")</f>
        <v/>
      </c>
      <c r="E103" s="40" t="str">
        <f>IFERROR(IF(Calc!J103&lt;=$C$4,Calc!I103,""),"")</f>
        <v/>
      </c>
      <c r="F103" s="40" t="str">
        <f>IFERROR(IF(Calc!J103&lt;=$C$4,CONCATENATE(TEXT(Calc!H103,"#0.000#")," + ",TEXT(INDEX(Calc!L103:P103,$B$4),"#0.000#")),""),"")</f>
        <v/>
      </c>
      <c r="G103" s="41" t="str">
        <f>IFERROR(IF(Calc!J103&lt;=$C$4,Calc!J103,""),"")</f>
        <v/>
      </c>
      <c r="H103" s="33" t="str">
        <f>IFERROR(IF(Calc!J103&lt;=$D$4,"Nice",""),"")</f>
        <v/>
      </c>
      <c r="J103" s="7" t="str">
        <f>CONCATENATE("[",TEXT(Show!A103,"#.0#"),":",TEXT(Show!B103,"#.0#"),"][",TEXT(Show!E103,"#.0#"),":",TEXT(Show!F103,"#.0#"),"]")</f>
        <v>[:][:]</v>
      </c>
    </row>
    <row r="104" spans="1:10" ht="16.5" hidden="1" thickTop="1" x14ac:dyDescent="0.25">
      <c r="A104" s="40" t="str">
        <f>IFERROR(IF(Calc!E104&lt;=$C$4,Calc!D104,""),"")</f>
        <v/>
      </c>
      <c r="B104" s="40" t="str">
        <f>IFERROR(IF(Calc!E104&lt;=$C$4,CONCATENATE(TEXT(Calc!C104,"#0.000#")," || ",TEXT(INDEX(Calc!L104:P104,$B$4),"#0.000#")),""),"")</f>
        <v/>
      </c>
      <c r="C104" s="41" t="str">
        <f>IFERROR(IF(Calc!E104&lt;=$C$4,Calc!E104,""),"")</f>
        <v/>
      </c>
      <c r="D104" s="33" t="str">
        <f>IFERROR(IF(Calc!E104&lt;=$D$4,"Nice",""),"")</f>
        <v/>
      </c>
      <c r="E104" s="40" t="str">
        <f>IFERROR(IF(Calc!J104&lt;=$C$4,Calc!I104,""),"")</f>
        <v/>
      </c>
      <c r="F104" s="40" t="str">
        <f>IFERROR(IF(Calc!J104&lt;=$C$4,CONCATENATE(TEXT(Calc!H104,"#0.000#")," + ",TEXT(INDEX(Calc!L104:P104,$B$4),"#0.000#")),""),"")</f>
        <v/>
      </c>
      <c r="G104" s="41" t="str">
        <f>IFERROR(IF(Calc!J104&lt;=$C$4,Calc!J104,""),"")</f>
        <v/>
      </c>
      <c r="H104" s="33" t="str">
        <f>IFERROR(IF(Calc!J104&lt;=$D$4,"Nice",""),"")</f>
        <v/>
      </c>
      <c r="J104" s="7" t="str">
        <f>CONCATENATE("[",TEXT(Show!A104,"#.0#"),":",TEXT(Show!B104,"#.0#"),"][",TEXT(Show!E104,"#.0#"),":",TEXT(Show!F104,"#.0#"),"]")</f>
        <v>[:][:]</v>
      </c>
    </row>
    <row r="105" spans="1:10" ht="16.5" hidden="1" thickTop="1" x14ac:dyDescent="0.25">
      <c r="A105" s="40" t="str">
        <f>IFERROR(IF(Calc!E105&lt;=$C$4,Calc!D105,""),"")</f>
        <v/>
      </c>
      <c r="B105" s="40" t="str">
        <f>IFERROR(IF(Calc!E105&lt;=$C$4,CONCATENATE(TEXT(Calc!C105,"#0.000#")," || ",TEXT(INDEX(Calc!L105:P105,$B$4),"#0.000#")),""),"")</f>
        <v/>
      </c>
      <c r="C105" s="41" t="str">
        <f>IFERROR(IF(Calc!E105&lt;=$C$4,Calc!E105,""),"")</f>
        <v/>
      </c>
      <c r="D105" s="33" t="str">
        <f>IFERROR(IF(Calc!E105&lt;=$D$4,"Nice",""),"")</f>
        <v/>
      </c>
      <c r="E105" s="40" t="str">
        <f>IFERROR(IF(Calc!J105&lt;=$C$4,Calc!I105,""),"")</f>
        <v/>
      </c>
      <c r="F105" s="40" t="str">
        <f>IFERROR(IF(Calc!J105&lt;=$C$4,CONCATENATE(TEXT(Calc!H105,"#0.000#")," + ",TEXT(INDEX(Calc!L105:P105,$B$4),"#0.000#")),""),"")</f>
        <v/>
      </c>
      <c r="G105" s="41" t="str">
        <f>IFERROR(IF(Calc!J105&lt;=$C$4,Calc!J105,""),"")</f>
        <v/>
      </c>
      <c r="H105" s="33" t="str">
        <f>IFERROR(IF(Calc!J105&lt;=$D$4,"Nice",""),"")</f>
        <v/>
      </c>
      <c r="J105" s="7" t="str">
        <f>CONCATENATE("[",TEXT(Show!A105,"#.0#"),":",TEXT(Show!B105,"#.0#"),"][",TEXT(Show!E105,"#.0#"),":",TEXT(Show!F105,"#.0#"),"]")</f>
        <v>[:][:]</v>
      </c>
    </row>
    <row r="106" spans="1:10" ht="16.5" hidden="1" thickTop="1" x14ac:dyDescent="0.25">
      <c r="A106" s="40" t="str">
        <f>IFERROR(IF(Calc!E106&lt;=$C$4,Calc!D106,""),"")</f>
        <v/>
      </c>
      <c r="B106" s="40" t="str">
        <f>IFERROR(IF(Calc!E106&lt;=$C$4,CONCATENATE(TEXT(Calc!C106,"#0.000#")," || ",TEXT(INDEX(Calc!L106:P106,$B$4),"#0.000#")),""),"")</f>
        <v/>
      </c>
      <c r="C106" s="41" t="str">
        <f>IFERROR(IF(Calc!E106&lt;=$C$4,Calc!E106,""),"")</f>
        <v/>
      </c>
      <c r="D106" s="33" t="str">
        <f>IFERROR(IF(Calc!E106&lt;=$D$4,"Nice",""),"")</f>
        <v/>
      </c>
      <c r="E106" s="40" t="str">
        <f>IFERROR(IF(Calc!J106&lt;=$C$4,Calc!I106,""),"")</f>
        <v/>
      </c>
      <c r="F106" s="40" t="str">
        <f>IFERROR(IF(Calc!J106&lt;=$C$4,CONCATENATE(TEXT(Calc!H106,"#0.000#")," + ",TEXT(INDEX(Calc!L106:P106,$B$4),"#0.000#")),""),"")</f>
        <v/>
      </c>
      <c r="G106" s="41" t="str">
        <f>IFERROR(IF(Calc!J106&lt;=$C$4,Calc!J106,""),"")</f>
        <v/>
      </c>
      <c r="H106" s="33" t="str">
        <f>IFERROR(IF(Calc!J106&lt;=$D$4,"Nice",""),"")</f>
        <v/>
      </c>
      <c r="J106" s="7" t="str">
        <f>CONCATENATE("[",TEXT(Show!A106,"#.0#"),":",TEXT(Show!B106,"#.0#"),"][",TEXT(Show!E106,"#.0#"),":",TEXT(Show!F106,"#.0#"),"]")</f>
        <v>[:][:]</v>
      </c>
    </row>
    <row r="107" spans="1:10" ht="16.5" hidden="1" thickTop="1" x14ac:dyDescent="0.25">
      <c r="A107" s="40" t="str">
        <f>IFERROR(IF(Calc!E107&lt;=$C$4,Calc!D107,""),"")</f>
        <v/>
      </c>
      <c r="B107" s="40" t="str">
        <f>IFERROR(IF(Calc!E107&lt;=$C$4,CONCATENATE(TEXT(Calc!C107,"#0.000#")," || ",TEXT(INDEX(Calc!L107:P107,$B$4),"#0.000#")),""),"")</f>
        <v/>
      </c>
      <c r="C107" s="41" t="str">
        <f>IFERROR(IF(Calc!E107&lt;=$C$4,Calc!E107,""),"")</f>
        <v/>
      </c>
      <c r="D107" s="33" t="str">
        <f>IFERROR(IF(Calc!E107&lt;=$D$4,"Nice",""),"")</f>
        <v/>
      </c>
      <c r="E107" s="40" t="str">
        <f>IFERROR(IF(Calc!J107&lt;=$C$4,Calc!I107,""),"")</f>
        <v/>
      </c>
      <c r="F107" s="40" t="str">
        <f>IFERROR(IF(Calc!J107&lt;=$C$4,CONCATENATE(TEXT(Calc!H107,"#0.000#")," + ",TEXT(INDEX(Calc!L107:P107,$B$4),"#0.000#")),""),"")</f>
        <v/>
      </c>
      <c r="G107" s="41" t="str">
        <f>IFERROR(IF(Calc!J107&lt;=$C$4,Calc!J107,""),"")</f>
        <v/>
      </c>
      <c r="H107" s="33" t="str">
        <f>IFERROR(IF(Calc!J107&lt;=$D$4,"Nice",""),"")</f>
        <v/>
      </c>
      <c r="J107" s="7" t="str">
        <f>CONCATENATE("[",TEXT(Show!A107,"#.0#"),":",TEXT(Show!B107,"#.0#"),"][",TEXT(Show!E107,"#.0#"),":",TEXT(Show!F107,"#.0#"),"]")</f>
        <v>[:][:]</v>
      </c>
    </row>
    <row r="108" spans="1:10" ht="16.5" hidden="1" thickTop="1" x14ac:dyDescent="0.25">
      <c r="A108" s="40" t="str">
        <f>IFERROR(IF(Calc!E108&lt;=$C$4,Calc!D108,""),"")</f>
        <v/>
      </c>
      <c r="B108" s="40" t="str">
        <f>IFERROR(IF(Calc!E108&lt;=$C$4,CONCATENATE(TEXT(Calc!C108,"#0.000#")," || ",TEXT(INDEX(Calc!L108:P108,$B$4),"#0.000#")),""),"")</f>
        <v/>
      </c>
      <c r="C108" s="41" t="str">
        <f>IFERROR(IF(Calc!E108&lt;=$C$4,Calc!E108,""),"")</f>
        <v/>
      </c>
      <c r="D108" s="33" t="str">
        <f>IFERROR(IF(Calc!E108&lt;=$D$4,"Nice",""),"")</f>
        <v/>
      </c>
      <c r="E108" s="40" t="str">
        <f>IFERROR(IF(Calc!J108&lt;=$C$4,Calc!I108,""),"")</f>
        <v/>
      </c>
      <c r="F108" s="40" t="str">
        <f>IFERROR(IF(Calc!J108&lt;=$C$4,CONCATENATE(TEXT(Calc!H108,"#0.000#")," + ",TEXT(INDEX(Calc!L108:P108,$B$4),"#0.000#")),""),"")</f>
        <v/>
      </c>
      <c r="G108" s="41" t="str">
        <f>IFERROR(IF(Calc!J108&lt;=$C$4,Calc!J108,""),"")</f>
        <v/>
      </c>
      <c r="H108" s="33" t="str">
        <f>IFERROR(IF(Calc!J108&lt;=$D$4,"Nice",""),"")</f>
        <v/>
      </c>
      <c r="J108" s="7" t="str">
        <f>CONCATENATE("[",TEXT(Show!A108,"#.0#"),":",TEXT(Show!B108,"#.0#"),"][",TEXT(Show!E108,"#.0#"),":",TEXT(Show!F108,"#.0#"),"]")</f>
        <v>[:][:]</v>
      </c>
    </row>
    <row r="109" spans="1:10" ht="16.5" hidden="1" thickTop="1" x14ac:dyDescent="0.25">
      <c r="A109" s="40" t="str">
        <f>IFERROR(IF(Calc!E109&lt;=$C$4,Calc!D109,""),"")</f>
        <v/>
      </c>
      <c r="B109" s="40" t="str">
        <f>IFERROR(IF(Calc!E109&lt;=$C$4,CONCATENATE(TEXT(Calc!C109,"#0.000#")," || ",TEXT(INDEX(Calc!L109:P109,$B$4),"#0.000#")),""),"")</f>
        <v/>
      </c>
      <c r="C109" s="41" t="str">
        <f>IFERROR(IF(Calc!E109&lt;=$C$4,Calc!E109,""),"")</f>
        <v/>
      </c>
      <c r="D109" s="33" t="str">
        <f>IFERROR(IF(Calc!E109&lt;=$D$4,"Nice",""),"")</f>
        <v/>
      </c>
      <c r="E109" s="40" t="str">
        <f>IFERROR(IF(Calc!J109&lt;=$C$4,Calc!I109,""),"")</f>
        <v/>
      </c>
      <c r="F109" s="40" t="str">
        <f>IFERROR(IF(Calc!J109&lt;=$C$4,CONCATENATE(TEXT(Calc!H109,"#0.000#")," + ",TEXT(INDEX(Calc!L109:P109,$B$4),"#0.000#")),""),"")</f>
        <v/>
      </c>
      <c r="G109" s="41" t="str">
        <f>IFERROR(IF(Calc!J109&lt;=$C$4,Calc!J109,""),"")</f>
        <v/>
      </c>
      <c r="H109" s="33" t="str">
        <f>IFERROR(IF(Calc!J109&lt;=$D$4,"Nice",""),"")</f>
        <v/>
      </c>
      <c r="J109" s="7" t="str">
        <f>CONCATENATE("[",TEXT(Show!A109,"#.0#"),":",TEXT(Show!B109,"#.0#"),"][",TEXT(Show!E109,"#.0#"),":",TEXT(Show!F109,"#.0#"),"]")</f>
        <v>[:][:]</v>
      </c>
    </row>
    <row r="110" spans="1:10" ht="16.5" hidden="1" thickTop="1" x14ac:dyDescent="0.25">
      <c r="A110" s="40" t="str">
        <f>IFERROR(IF(Calc!E110&lt;=$C$4,Calc!D110,""),"")</f>
        <v/>
      </c>
      <c r="B110" s="40" t="str">
        <f>IFERROR(IF(Calc!E110&lt;=$C$4,CONCATENATE(TEXT(Calc!C110,"#0.000#")," || ",TEXT(INDEX(Calc!L110:P110,$B$4),"#0.000#")),""),"")</f>
        <v/>
      </c>
      <c r="C110" s="41" t="str">
        <f>IFERROR(IF(Calc!E110&lt;=$C$4,Calc!E110,""),"")</f>
        <v/>
      </c>
      <c r="D110" s="33" t="str">
        <f>IFERROR(IF(Calc!E110&lt;=$D$4,"Nice",""),"")</f>
        <v/>
      </c>
      <c r="E110" s="40" t="str">
        <f>IFERROR(IF(Calc!J110&lt;=$C$4,Calc!I110,""),"")</f>
        <v/>
      </c>
      <c r="F110" s="40" t="str">
        <f>IFERROR(IF(Calc!J110&lt;=$C$4,CONCATENATE(TEXT(Calc!H110,"#0.000#")," + ",TEXT(INDEX(Calc!L110:P110,$B$4),"#0.000#")),""),"")</f>
        <v/>
      </c>
      <c r="G110" s="41" t="str">
        <f>IFERROR(IF(Calc!J110&lt;=$C$4,Calc!J110,""),"")</f>
        <v/>
      </c>
      <c r="H110" s="33" t="str">
        <f>IFERROR(IF(Calc!J110&lt;=$D$4,"Nice",""),"")</f>
        <v/>
      </c>
      <c r="J110" s="7" t="str">
        <f>CONCATENATE("[",TEXT(Show!A110,"#.0#"),":",TEXT(Show!B110,"#.0#"),"][",TEXT(Show!E110,"#.0#"),":",TEXT(Show!F110,"#.0#"),"]")</f>
        <v>[:][:]</v>
      </c>
    </row>
    <row r="111" spans="1:10" ht="16.5" hidden="1" thickTop="1" x14ac:dyDescent="0.25">
      <c r="A111" s="40" t="str">
        <f>IFERROR(IF(Calc!E111&lt;=$C$4,Calc!D111,""),"")</f>
        <v/>
      </c>
      <c r="B111" s="40" t="str">
        <f>IFERROR(IF(Calc!E111&lt;=$C$4,CONCATENATE(TEXT(Calc!C111,"#0.000#")," || ",TEXT(INDEX(Calc!L111:P111,$B$4),"#0.000#")),""),"")</f>
        <v/>
      </c>
      <c r="C111" s="41" t="str">
        <f>IFERROR(IF(Calc!E111&lt;=$C$4,Calc!E111,""),"")</f>
        <v/>
      </c>
      <c r="D111" s="33" t="str">
        <f>IFERROR(IF(Calc!E111&lt;=$D$4,"Nice",""),"")</f>
        <v/>
      </c>
      <c r="E111" s="40" t="str">
        <f>IFERROR(IF(Calc!J111&lt;=$C$4,Calc!I111,""),"")</f>
        <v/>
      </c>
      <c r="F111" s="40" t="str">
        <f>IFERROR(IF(Calc!J111&lt;=$C$4,CONCATENATE(TEXT(Calc!H111,"#0.000#")," + ",TEXT(INDEX(Calc!L111:P111,$B$4),"#0.000#")),""),"")</f>
        <v/>
      </c>
      <c r="G111" s="41" t="str">
        <f>IFERROR(IF(Calc!J111&lt;=$C$4,Calc!J111,""),"")</f>
        <v/>
      </c>
      <c r="H111" s="33" t="str">
        <f>IFERROR(IF(Calc!J111&lt;=$D$4,"Nice",""),"")</f>
        <v/>
      </c>
      <c r="J111" s="7" t="str">
        <f>CONCATENATE("[",TEXT(Show!A111,"#.0#"),":",TEXT(Show!B111,"#.0#"),"][",TEXT(Show!E111,"#.0#"),":",TEXT(Show!F111,"#.0#"),"]")</f>
        <v>[:][:]</v>
      </c>
    </row>
    <row r="112" spans="1:10" ht="16.5" hidden="1" thickTop="1" x14ac:dyDescent="0.25">
      <c r="A112" s="40" t="str">
        <f>IFERROR(IF(Calc!E112&lt;=$C$4,Calc!D112,""),"")</f>
        <v/>
      </c>
      <c r="B112" s="40" t="str">
        <f>IFERROR(IF(Calc!E112&lt;=$C$4,CONCATENATE(TEXT(Calc!C112,"#0.000#")," || ",TEXT(INDEX(Calc!L112:P112,$B$4),"#0.000#")),""),"")</f>
        <v/>
      </c>
      <c r="C112" s="41" t="str">
        <f>IFERROR(IF(Calc!E112&lt;=$C$4,Calc!E112,""),"")</f>
        <v/>
      </c>
      <c r="D112" s="33" t="str">
        <f>IFERROR(IF(Calc!E112&lt;=$D$4,"Nice",""),"")</f>
        <v/>
      </c>
      <c r="E112" s="40" t="str">
        <f>IFERROR(IF(Calc!J112&lt;=$C$4,Calc!I112,""),"")</f>
        <v/>
      </c>
      <c r="F112" s="40" t="str">
        <f>IFERROR(IF(Calc!J112&lt;=$C$4,CONCATENATE(TEXT(Calc!H112,"#0.000#")," + ",TEXT(INDEX(Calc!L112:P112,$B$4),"#0.000#")),""),"")</f>
        <v/>
      </c>
      <c r="G112" s="41" t="str">
        <f>IFERROR(IF(Calc!J112&lt;=$C$4,Calc!J112,""),"")</f>
        <v/>
      </c>
      <c r="H112" s="33" t="str">
        <f>IFERROR(IF(Calc!J112&lt;=$D$4,"Nice",""),"")</f>
        <v/>
      </c>
      <c r="J112" s="7" t="str">
        <f>CONCATENATE("[",TEXT(Show!A112,"#.0#"),":",TEXT(Show!B112,"#.0#"),"][",TEXT(Show!E112,"#.0#"),":",TEXT(Show!F112,"#.0#"),"]")</f>
        <v>[:][:]</v>
      </c>
    </row>
    <row r="113" spans="1:10" ht="16.5" thickTop="1" x14ac:dyDescent="0.25">
      <c r="A113" s="40" t="str">
        <f>IFERROR(IF(Calc!E113&lt;=$C$4,Calc!D113,""),"")</f>
        <v/>
      </c>
      <c r="B113" s="40" t="str">
        <f>IFERROR(IF(Calc!E113&lt;=$C$4,CONCATENATE(TEXT(Calc!C113,"#0.000#")," || ",TEXT(INDEX(Calc!L113:P113,$B$4),"#0.000#")),""),"")</f>
        <v/>
      </c>
      <c r="C113" s="41" t="str">
        <f>IFERROR(IF(Calc!E113&lt;=$C$4,Calc!E113,""),"")</f>
        <v/>
      </c>
      <c r="D113" s="33" t="str">
        <f>IFERROR(IF(Calc!E113&lt;=$D$4,"Nice",""),"")</f>
        <v/>
      </c>
      <c r="E113" s="40">
        <f>IFERROR(IF(Calc!J113&lt;=$C$4,Calc!I113,""),"")</f>
        <v>39.629999999999995</v>
      </c>
      <c r="F113" s="40" t="str">
        <f>IFERROR(IF(Calc!J113&lt;=$C$4,CONCATENATE(TEXT(Calc!H113,"#0.000#")," + ",TEXT(INDEX(Calc!L113:P113,$B$4),"#0.000#")),""),"")</f>
        <v>38.300 + 1.330</v>
      </c>
      <c r="G113" s="41">
        <f>IFERROR(IF(Calc!J113&lt;=$C$4,Calc!J113,""),"")</f>
        <v>0.92500000000001137</v>
      </c>
      <c r="H113" s="33" t="str">
        <f>IFERROR(IF(Calc!J113&lt;=$D$4,"Nice",""),"")</f>
        <v/>
      </c>
      <c r="J113" s="7" t="str">
        <f>CONCATENATE("[",TEXT(Show!A113,"#.0#"),":",TEXT(Show!B113,"#.0#"),"][",TEXT(Show!E113,"#.0#"),":",TEXT(Show!F113,"#.0#"),"]")</f>
        <v>[:][39.63:38.300 + 1.330]</v>
      </c>
    </row>
    <row r="114" spans="1:10" hidden="1" x14ac:dyDescent="0.25">
      <c r="A114" s="40" t="str">
        <f>IFERROR(IF(Calc!E114&lt;=$C$4,Calc!D114,""),"")</f>
        <v/>
      </c>
      <c r="B114" s="40" t="str">
        <f>IFERROR(IF(Calc!E114&lt;=$C$4,CONCATENATE(TEXT(Calc!C114,"#0.000#")," || ",TEXT(INDEX(Calc!L114:P114,$B$4),"#0.000#")),""),"")</f>
        <v/>
      </c>
      <c r="C114" s="41" t="str">
        <f>IFERROR(IF(Calc!E114&lt;=$C$4,Calc!E114,""),"")</f>
        <v/>
      </c>
      <c r="D114" s="33" t="str">
        <f>IFERROR(IF(Calc!E114&lt;=$D$4,"Nice",""),"")</f>
        <v/>
      </c>
      <c r="E114" s="40">
        <f>IFERROR(IF(Calc!J114&lt;=$C$4,Calc!I114,""),"")</f>
        <v>39.629999999999995</v>
      </c>
      <c r="F114" s="40" t="str">
        <f>IFERROR(IF(Calc!J114&lt;=$C$4,CONCATENATE(TEXT(Calc!H114,"#0.000#")," + ",TEXT(INDEX(Calc!L114:P114,$B$4),"#0.000#")),""),"")</f>
        <v>38.300 + 1.330</v>
      </c>
      <c r="G114" s="41">
        <f>IFERROR(IF(Calc!J114&lt;=$C$4,Calc!J114,""),"")</f>
        <v>0.92500000000001137</v>
      </c>
      <c r="H114" s="33" t="str">
        <f>IFERROR(IF(Calc!J114&lt;=$D$4,"Nice",""),"")</f>
        <v/>
      </c>
      <c r="J114" s="7" t="str">
        <f>CONCATENATE("[",TEXT(Show!A114,"#.0#"),":",TEXT(Show!B114,"#.0#"),"][",TEXT(Show!E114,"#.0#"),":",TEXT(Show!F114,"#.0#"),"]")</f>
        <v>[:][39.63:38.300 + 1.330]</v>
      </c>
    </row>
    <row r="115" spans="1:10" hidden="1" x14ac:dyDescent="0.25">
      <c r="A115" s="40" t="str">
        <f>IFERROR(IF(Calc!E115&lt;=$C$4,Calc!D115,""),"")</f>
        <v/>
      </c>
      <c r="B115" s="40" t="str">
        <f>IFERROR(IF(Calc!E115&lt;=$C$4,CONCATENATE(TEXT(Calc!C115,"#0.000#")," || ",TEXT(INDEX(Calc!L115:P115,$B$4),"#0.000#")),""),"")</f>
        <v/>
      </c>
      <c r="C115" s="41" t="str">
        <f>IFERROR(IF(Calc!E115&lt;=$C$4,Calc!E115,""),"")</f>
        <v/>
      </c>
      <c r="D115" s="33" t="str">
        <f>IFERROR(IF(Calc!E115&lt;=$D$4,"Nice",""),"")</f>
        <v/>
      </c>
      <c r="E115" s="40">
        <f>IFERROR(IF(Calc!J115&lt;=$C$4,Calc!I115,""),"")</f>
        <v>39.629999999999995</v>
      </c>
      <c r="F115" s="40" t="str">
        <f>IFERROR(IF(Calc!J115&lt;=$C$4,CONCATENATE(TEXT(Calc!H115,"#0.000#")," + ",TEXT(INDEX(Calc!L115:P115,$B$4),"#0.000#")),""),"")</f>
        <v>38.300 + 1.330</v>
      </c>
      <c r="G115" s="41">
        <f>IFERROR(IF(Calc!J115&lt;=$C$4,Calc!J115,""),"")</f>
        <v>0.92500000000001137</v>
      </c>
      <c r="H115" s="33" t="str">
        <f>IFERROR(IF(Calc!J115&lt;=$D$4,"Nice",""),"")</f>
        <v/>
      </c>
      <c r="J115" s="7" t="str">
        <f>CONCATENATE("[",TEXT(Show!A115,"#.0#"),":",TEXT(Show!B115,"#.0#"),"][",TEXT(Show!E115,"#.0#"),":",TEXT(Show!F115,"#.0#"),"]")</f>
        <v>[:][39.63:38.300 + 1.330]</v>
      </c>
    </row>
    <row r="116" spans="1:10" hidden="1" x14ac:dyDescent="0.25">
      <c r="A116" s="40" t="str">
        <f>IFERROR(IF(Calc!E116&lt;=$C$4,Calc!D116,""),"")</f>
        <v/>
      </c>
      <c r="B116" s="40" t="str">
        <f>IFERROR(IF(Calc!E116&lt;=$C$4,CONCATENATE(TEXT(Calc!C116,"#0.000#")," || ",TEXT(INDEX(Calc!L116:P116,$B$4),"#0.000#")),""),"")</f>
        <v/>
      </c>
      <c r="C116" s="41" t="str">
        <f>IFERROR(IF(Calc!E116&lt;=$C$4,Calc!E116,""),"")</f>
        <v/>
      </c>
      <c r="D116" s="33" t="str">
        <f>IFERROR(IF(Calc!E116&lt;=$D$4,"Nice",""),"")</f>
        <v/>
      </c>
      <c r="E116" s="40">
        <f>IFERROR(IF(Calc!J116&lt;=$C$4,Calc!I116,""),"")</f>
        <v>39.629999999999995</v>
      </c>
      <c r="F116" s="40" t="str">
        <f>IFERROR(IF(Calc!J116&lt;=$C$4,CONCATENATE(TEXT(Calc!H116,"#0.000#")," + ",TEXT(INDEX(Calc!L116:P116,$B$4),"#0.000#")),""),"")</f>
        <v>38.300 + 1.330</v>
      </c>
      <c r="G116" s="41">
        <f>IFERROR(IF(Calc!J116&lt;=$C$4,Calc!J116,""),"")</f>
        <v>0.92500000000001137</v>
      </c>
      <c r="H116" s="33" t="str">
        <f>IFERROR(IF(Calc!J116&lt;=$D$4,"Nice",""),"")</f>
        <v/>
      </c>
      <c r="J116" s="7" t="str">
        <f>CONCATENATE("[",TEXT(Show!A116,"#.0#"),":",TEXT(Show!B116,"#.0#"),"][",TEXT(Show!E116,"#.0#"),":",TEXT(Show!F116,"#.0#"),"]")</f>
        <v>[:][39.63:38.300 + 1.330]</v>
      </c>
    </row>
    <row r="117" spans="1:10" x14ac:dyDescent="0.25">
      <c r="A117" s="40" t="str">
        <f>IFERROR(IF(Calc!E117&lt;=$C$4,Calc!D117,""),"")</f>
        <v/>
      </c>
      <c r="B117" s="40" t="str">
        <f>IFERROR(IF(Calc!E117&lt;=$C$4,CONCATENATE(TEXT(Calc!C117,"#0.000#")," || ",TEXT(INDEX(Calc!L117:P117,$B$4),"#0.000#")),""),"")</f>
        <v/>
      </c>
      <c r="C117" s="41" t="str">
        <f>IFERROR(IF(Calc!E117&lt;=$C$4,Calc!E117,""),"")</f>
        <v/>
      </c>
      <c r="D117" s="33" t="str">
        <f>IFERROR(IF(Calc!E117&lt;=$D$4,"Nice",""),"")</f>
        <v/>
      </c>
      <c r="E117" s="40">
        <f>IFERROR(IF(Calc!J117&lt;=$C$4,Calc!I117,""),"")</f>
        <v>39.769999999999996</v>
      </c>
      <c r="F117" s="40" t="str">
        <f>IFERROR(IF(Calc!J117&lt;=$C$4,CONCATENATE(TEXT(Calc!H117,"#0.000#")," + ",TEXT(INDEX(Calc!L117:P117,$B$4),"#0.000#")),""),"")</f>
        <v>38.300 + 1.470</v>
      </c>
      <c r="G117" s="41">
        <f>IFERROR(IF(Calc!J117&lt;=$C$4,Calc!J117,""),"")</f>
        <v>0.57500000000000995</v>
      </c>
      <c r="H117" s="33" t="str">
        <f>IFERROR(IF(Calc!J117&lt;=$D$4,"Nice",""),"")</f>
        <v/>
      </c>
      <c r="J117" s="7" t="str">
        <f>CONCATENATE("[",TEXT(Show!A117,"#.0#"),":",TEXT(Show!B117,"#.0#"),"][",TEXT(Show!E117,"#.0#"),":",TEXT(Show!F117,"#.0#"),"]")</f>
        <v>[:][39.77:38.300 + 1.470]</v>
      </c>
    </row>
    <row r="118" spans="1:10" hidden="1" x14ac:dyDescent="0.25">
      <c r="A118" s="40" t="str">
        <f>IFERROR(IF(Calc!E118&lt;=$C$4,Calc!D118,""),"")</f>
        <v/>
      </c>
      <c r="B118" s="40" t="str">
        <f>IFERROR(IF(Calc!E118&lt;=$C$4,CONCATENATE(TEXT(Calc!C118,"#0.000#")," || ",TEXT(INDEX(Calc!L118:P118,$B$4),"#0.000#")),""),"")</f>
        <v/>
      </c>
      <c r="C118" s="41" t="str">
        <f>IFERROR(IF(Calc!E118&lt;=$C$4,Calc!E118,""),"")</f>
        <v/>
      </c>
      <c r="D118" s="33" t="str">
        <f>IFERROR(IF(Calc!E118&lt;=$D$4,"Nice",""),"")</f>
        <v/>
      </c>
      <c r="E118" s="40">
        <f>IFERROR(IF(Calc!J118&lt;=$C$4,Calc!I118,""),"")</f>
        <v>39.769999999999996</v>
      </c>
      <c r="F118" s="40" t="str">
        <f>IFERROR(IF(Calc!J118&lt;=$C$4,CONCATENATE(TEXT(Calc!H118,"#0.000#")," + ",TEXT(INDEX(Calc!L118:P118,$B$4),"#0.000#")),""),"")</f>
        <v>38.300 + 1.470</v>
      </c>
      <c r="G118" s="41">
        <f>IFERROR(IF(Calc!J118&lt;=$C$4,Calc!J118,""),"")</f>
        <v>0.57500000000000995</v>
      </c>
      <c r="H118" s="33" t="str">
        <f>IFERROR(IF(Calc!J118&lt;=$D$4,"Nice",""),"")</f>
        <v/>
      </c>
      <c r="J118" s="7" t="str">
        <f>CONCATENATE("[",TEXT(Show!A118,"#.0#"),":",TEXT(Show!B118,"#.0#"),"][",TEXT(Show!E118,"#.0#"),":",TEXT(Show!F118,"#.0#"),"]")</f>
        <v>[:][39.77:38.300 + 1.470]</v>
      </c>
    </row>
    <row r="119" spans="1:10" hidden="1" x14ac:dyDescent="0.25">
      <c r="A119" s="40" t="str">
        <f>IFERROR(IF(Calc!E119&lt;=$C$4,Calc!D119,""),"")</f>
        <v/>
      </c>
      <c r="B119" s="40" t="str">
        <f>IFERROR(IF(Calc!E119&lt;=$C$4,CONCATENATE(TEXT(Calc!C119,"#0.000#")," || ",TEXT(INDEX(Calc!L119:P119,$B$4),"#0.000#")),""),"")</f>
        <v/>
      </c>
      <c r="C119" s="41" t="str">
        <f>IFERROR(IF(Calc!E119&lt;=$C$4,Calc!E119,""),"")</f>
        <v/>
      </c>
      <c r="D119" s="33" t="str">
        <f>IFERROR(IF(Calc!E119&lt;=$D$4,"Nice",""),"")</f>
        <v/>
      </c>
      <c r="E119" s="40">
        <f>IFERROR(IF(Calc!J119&lt;=$C$4,Calc!I119,""),"")</f>
        <v>39.769999999999996</v>
      </c>
      <c r="F119" s="40" t="str">
        <f>IFERROR(IF(Calc!J119&lt;=$C$4,CONCATENATE(TEXT(Calc!H119,"#0.000#")," + ",TEXT(INDEX(Calc!L119:P119,$B$4),"#0.000#")),""),"")</f>
        <v>38.300 + 1.470</v>
      </c>
      <c r="G119" s="41">
        <f>IFERROR(IF(Calc!J119&lt;=$C$4,Calc!J119,""),"")</f>
        <v>0.57500000000000995</v>
      </c>
      <c r="H119" s="33" t="str">
        <f>IFERROR(IF(Calc!J119&lt;=$D$4,"Nice",""),"")</f>
        <v/>
      </c>
      <c r="J119" s="7" t="str">
        <f>CONCATENATE("[",TEXT(Show!A119,"#.0#"),":",TEXT(Show!B119,"#.0#"),"][",TEXT(Show!E119,"#.0#"),":",TEXT(Show!F119,"#.0#"),"]")</f>
        <v>[:][39.77:38.300 + 1.470]</v>
      </c>
    </row>
    <row r="120" spans="1:10" hidden="1" x14ac:dyDescent="0.25">
      <c r="A120" s="40" t="str">
        <f>IFERROR(IF(Calc!E120&lt;=$C$4,Calc!D120,""),"")</f>
        <v/>
      </c>
      <c r="B120" s="40" t="str">
        <f>IFERROR(IF(Calc!E120&lt;=$C$4,CONCATENATE(TEXT(Calc!C120,"#0.000#")," || ",TEXT(INDEX(Calc!L120:P120,$B$4),"#0.000#")),""),"")</f>
        <v/>
      </c>
      <c r="C120" s="41" t="str">
        <f>IFERROR(IF(Calc!E120&lt;=$C$4,Calc!E120,""),"")</f>
        <v/>
      </c>
      <c r="D120" s="33" t="str">
        <f>IFERROR(IF(Calc!E120&lt;=$D$4,"Nice",""),"")</f>
        <v/>
      </c>
      <c r="E120" s="40">
        <f>IFERROR(IF(Calc!J120&lt;=$C$4,Calc!I120,""),"")</f>
        <v>39.769999999999996</v>
      </c>
      <c r="F120" s="40" t="str">
        <f>IFERROR(IF(Calc!J120&lt;=$C$4,CONCATENATE(TEXT(Calc!H120,"#0.000#")," + ",TEXT(INDEX(Calc!L120:P120,$B$4),"#0.000#")),""),"")</f>
        <v>38.300 + 1.470</v>
      </c>
      <c r="G120" s="41">
        <f>IFERROR(IF(Calc!J120&lt;=$C$4,Calc!J120,""),"")</f>
        <v>0.57500000000000995</v>
      </c>
      <c r="H120" s="33" t="str">
        <f>IFERROR(IF(Calc!J120&lt;=$D$4,"Nice",""),"")</f>
        <v/>
      </c>
      <c r="J120" s="7" t="str">
        <f>CONCATENATE("[",TEXT(Show!A120,"#.0#"),":",TEXT(Show!B120,"#.0#"),"][",TEXT(Show!E120,"#.0#"),":",TEXT(Show!F120,"#.0#"),"]")</f>
        <v>[:][39.77:38.300 + 1.470]</v>
      </c>
    </row>
    <row r="121" spans="1:10" x14ac:dyDescent="0.25">
      <c r="A121" s="40" t="str">
        <f>IFERROR(IF(Calc!E121&lt;=$C$4,Calc!D121,""),"")</f>
        <v/>
      </c>
      <c r="B121" s="40" t="str">
        <f>IFERROR(IF(Calc!E121&lt;=$C$4,CONCATENATE(TEXT(Calc!C121,"#0.000#")," || ",TEXT(INDEX(Calc!L121:P121,$B$4),"#0.000#")),""),"")</f>
        <v/>
      </c>
      <c r="C121" s="41" t="str">
        <f>IFERROR(IF(Calc!E121&lt;=$C$4,Calc!E121,""),"")</f>
        <v/>
      </c>
      <c r="D121" s="33" t="str">
        <f>IFERROR(IF(Calc!E121&lt;=$D$4,"Nice",""),"")</f>
        <v/>
      </c>
      <c r="E121" s="40">
        <f>IFERROR(IF(Calc!J121&lt;=$C$4,Calc!I121,""),"")</f>
        <v>39.919999999999995</v>
      </c>
      <c r="F121" s="40" t="str">
        <f>IFERROR(IF(Calc!J121&lt;=$C$4,CONCATENATE(TEXT(Calc!H121,"#0.000#")," + ",TEXT(INDEX(Calc!L121:P121,$B$4),"#0.000#")),""),"")</f>
        <v>38.300 + 1.620</v>
      </c>
      <c r="G121" s="41">
        <f>IFERROR(IF(Calc!J121&lt;=$C$4,Calc!J121,""),"")</f>
        <v>0.2000000000000135</v>
      </c>
      <c r="H121" s="33" t="str">
        <f>IFERROR(IF(Calc!J121&lt;=$D$4,"Nice",""),"")</f>
        <v/>
      </c>
      <c r="J121" s="7" t="str">
        <f>CONCATENATE("[",TEXT(Show!A121,"#.0#"),":",TEXT(Show!B121,"#.0#"),"][",TEXT(Show!E121,"#.0#"),":",TEXT(Show!F121,"#.0#"),"]")</f>
        <v>[:][39.92:38.300 + 1.620]</v>
      </c>
    </row>
    <row r="122" spans="1:10" hidden="1" x14ac:dyDescent="0.25">
      <c r="A122" s="40" t="str">
        <f>IFERROR(IF(Calc!E122&lt;=$C$4,Calc!D122,""),"")</f>
        <v/>
      </c>
      <c r="B122" s="40" t="str">
        <f>IFERROR(IF(Calc!E122&lt;=$C$4,CONCATENATE(TEXT(Calc!C122,"#0.000#")," || ",TEXT(INDEX(Calc!L122:P122,$B$4),"#0.000#")),""),"")</f>
        <v/>
      </c>
      <c r="C122" s="41" t="str">
        <f>IFERROR(IF(Calc!E122&lt;=$C$4,Calc!E122,""),"")</f>
        <v/>
      </c>
      <c r="D122" s="33" t="str">
        <f>IFERROR(IF(Calc!E122&lt;=$D$4,"Nice",""),"")</f>
        <v/>
      </c>
      <c r="E122" s="40">
        <f>IFERROR(IF(Calc!J122&lt;=$C$4,Calc!I122,""),"")</f>
        <v>39.919999999999995</v>
      </c>
      <c r="F122" s="40" t="str">
        <f>IFERROR(IF(Calc!J122&lt;=$C$4,CONCATENATE(TEXT(Calc!H122,"#0.000#")," + ",TEXT(INDEX(Calc!L122:P122,$B$4),"#0.000#")),""),"")</f>
        <v>38.300 + 1.620</v>
      </c>
      <c r="G122" s="41">
        <f>IFERROR(IF(Calc!J122&lt;=$C$4,Calc!J122,""),"")</f>
        <v>0.2000000000000135</v>
      </c>
      <c r="H122" s="33" t="str">
        <f>IFERROR(IF(Calc!J122&lt;=$D$4,"Nice",""),"")</f>
        <v/>
      </c>
      <c r="J122" s="7" t="str">
        <f>CONCATENATE("[",TEXT(Show!A122,"#.0#"),":",TEXT(Show!B122,"#.0#"),"][",TEXT(Show!E122,"#.0#"),":",TEXT(Show!F122,"#.0#"),"]")</f>
        <v>[:][39.92:38.300 + 1.620]</v>
      </c>
    </row>
    <row r="123" spans="1:10" hidden="1" x14ac:dyDescent="0.25">
      <c r="A123" s="40" t="str">
        <f>IFERROR(IF(Calc!E123&lt;=$C$4,Calc!D123,""),"")</f>
        <v/>
      </c>
      <c r="B123" s="40" t="str">
        <f>IFERROR(IF(Calc!E123&lt;=$C$4,CONCATENATE(TEXT(Calc!C123,"#0.000#")," || ",TEXT(INDEX(Calc!L123:P123,$B$4),"#0.000#")),""),"")</f>
        <v/>
      </c>
      <c r="C123" s="41" t="str">
        <f>IFERROR(IF(Calc!E123&lt;=$C$4,Calc!E123,""),"")</f>
        <v/>
      </c>
      <c r="D123" s="33" t="str">
        <f>IFERROR(IF(Calc!E123&lt;=$D$4,"Nice",""),"")</f>
        <v/>
      </c>
      <c r="E123" s="40">
        <f>IFERROR(IF(Calc!J123&lt;=$C$4,Calc!I123,""),"")</f>
        <v>39.919999999999995</v>
      </c>
      <c r="F123" s="40" t="str">
        <f>IFERROR(IF(Calc!J123&lt;=$C$4,CONCATENATE(TEXT(Calc!H123,"#0.000#")," + ",TEXT(INDEX(Calc!L123:P123,$B$4),"#0.000#")),""),"")</f>
        <v>38.300 + 1.620</v>
      </c>
      <c r="G123" s="41">
        <f>IFERROR(IF(Calc!J123&lt;=$C$4,Calc!J123,""),"")</f>
        <v>0.2000000000000135</v>
      </c>
      <c r="H123" s="33" t="str">
        <f>IFERROR(IF(Calc!J123&lt;=$D$4,"Nice",""),"")</f>
        <v/>
      </c>
      <c r="J123" s="7" t="str">
        <f>CONCATENATE("[",TEXT(Show!A123,"#.0#"),":",TEXT(Show!B123,"#.0#"),"][",TEXT(Show!E123,"#.0#"),":",TEXT(Show!F123,"#.0#"),"]")</f>
        <v>[:][39.92:38.300 + 1.620]</v>
      </c>
    </row>
    <row r="124" spans="1:10" hidden="1" x14ac:dyDescent="0.25">
      <c r="A124" s="40" t="str">
        <f>IFERROR(IF(Calc!E124&lt;=$C$4,Calc!D124,""),"")</f>
        <v/>
      </c>
      <c r="B124" s="40" t="str">
        <f>IFERROR(IF(Calc!E124&lt;=$C$4,CONCATENATE(TEXT(Calc!C124,"#0.000#")," || ",TEXT(INDEX(Calc!L124:P124,$B$4),"#0.000#")),""),"")</f>
        <v/>
      </c>
      <c r="C124" s="41" t="str">
        <f>IFERROR(IF(Calc!E124&lt;=$C$4,Calc!E124,""),"")</f>
        <v/>
      </c>
      <c r="D124" s="33" t="str">
        <f>IFERROR(IF(Calc!E124&lt;=$D$4,"Nice",""),"")</f>
        <v/>
      </c>
      <c r="E124" s="40">
        <f>IFERROR(IF(Calc!J124&lt;=$C$4,Calc!I124,""),"")</f>
        <v>39.919999999999995</v>
      </c>
      <c r="F124" s="40" t="str">
        <f>IFERROR(IF(Calc!J124&lt;=$C$4,CONCATENATE(TEXT(Calc!H124,"#0.000#")," + ",TEXT(INDEX(Calc!L124:P124,$B$4),"#0.000#")),""),"")</f>
        <v>38.300 + 1.620</v>
      </c>
      <c r="G124" s="41">
        <f>IFERROR(IF(Calc!J124&lt;=$C$4,Calc!J124,""),"")</f>
        <v>0.2000000000000135</v>
      </c>
      <c r="H124" s="33" t="str">
        <f>IFERROR(IF(Calc!J124&lt;=$D$4,"Nice",""),"")</f>
        <v/>
      </c>
      <c r="J124" s="7" t="str">
        <f>CONCATENATE("[",TEXT(Show!A124,"#.0#"),":",TEXT(Show!B124,"#.0#"),"][",TEXT(Show!E124,"#.0#"),":",TEXT(Show!F124,"#.0#"),"]")</f>
        <v>[:][39.92:38.300 + 1.620]</v>
      </c>
    </row>
    <row r="125" spans="1:10" x14ac:dyDescent="0.25">
      <c r="A125" s="40" t="str">
        <f>IFERROR(IF(Calc!E125&lt;=$C$4,Calc!D125,""),"")</f>
        <v/>
      </c>
      <c r="B125" s="40" t="str">
        <f>IFERROR(IF(Calc!E125&lt;=$C$4,CONCATENATE(TEXT(Calc!C125,"#0.000#")," || ",TEXT(INDEX(Calc!L125:P125,$B$4),"#0.000#")),""),"")</f>
        <v/>
      </c>
      <c r="C125" s="41" t="str">
        <f>IFERROR(IF(Calc!E125&lt;=$C$4,Calc!E125,""),"")</f>
        <v/>
      </c>
      <c r="D125" s="33" t="str">
        <f>IFERROR(IF(Calc!E125&lt;=$D$4,"Nice",""),"")</f>
        <v/>
      </c>
      <c r="E125" s="40">
        <f>IFERROR(IF(Calc!J125&lt;=$C$4,Calc!I125,""),"")</f>
        <v>40.08</v>
      </c>
      <c r="F125" s="40" t="str">
        <f>IFERROR(IF(Calc!J125&lt;=$C$4,CONCATENATE(TEXT(Calc!H125,"#0.000#")," + ",TEXT(INDEX(Calc!L125:P125,$B$4),"#0.000#")),""),"")</f>
        <v>38.300 + 1.780</v>
      </c>
      <c r="G125" s="41">
        <f>IFERROR(IF(Calc!J125&lt;=$C$4,Calc!J125,""),"")</f>
        <v>0.19999999999999574</v>
      </c>
      <c r="H125" s="33" t="str">
        <f>IFERROR(IF(Calc!J125&lt;=$D$4,"Nice",""),"")</f>
        <v>Nice</v>
      </c>
      <c r="J125" s="7" t="str">
        <f>CONCATENATE("[",TEXT(Show!A125,"#.0#"),":",TEXT(Show!B125,"#.0#"),"][",TEXT(Show!E125,"#.0#"),":",TEXT(Show!F125,"#.0#"),"]")</f>
        <v>[:][40.08:38.300 + 1.780]</v>
      </c>
    </row>
    <row r="126" spans="1:10" hidden="1" x14ac:dyDescent="0.25">
      <c r="A126" s="40" t="str">
        <f>IFERROR(IF(Calc!E126&lt;=$C$4,Calc!D126,""),"")</f>
        <v/>
      </c>
      <c r="B126" s="40" t="str">
        <f>IFERROR(IF(Calc!E126&lt;=$C$4,CONCATENATE(TEXT(Calc!C126,"#0.000#")," || ",TEXT(INDEX(Calc!L126:P126,$B$4),"#0.000#")),""),"")</f>
        <v/>
      </c>
      <c r="C126" s="41" t="str">
        <f>IFERROR(IF(Calc!E126&lt;=$C$4,Calc!E126,""),"")</f>
        <v/>
      </c>
      <c r="D126" s="33" t="str">
        <f>IFERROR(IF(Calc!E126&lt;=$D$4,"Nice",""),"")</f>
        <v/>
      </c>
      <c r="E126" s="40">
        <f>IFERROR(IF(Calc!J126&lt;=$C$4,Calc!I126,""),"")</f>
        <v>40.08</v>
      </c>
      <c r="F126" s="40" t="str">
        <f>IFERROR(IF(Calc!J126&lt;=$C$4,CONCATENATE(TEXT(Calc!H126,"#0.000#")," + ",TEXT(INDEX(Calc!L126:P126,$B$4),"#0.000#")),""),"")</f>
        <v>38.300 + 1.780</v>
      </c>
      <c r="G126" s="41">
        <f>IFERROR(IF(Calc!J126&lt;=$C$4,Calc!J126,""),"")</f>
        <v>0.19999999999999574</v>
      </c>
      <c r="H126" s="33" t="str">
        <f>IFERROR(IF(Calc!J126&lt;=$D$4,"Nice",""),"")</f>
        <v>Nice</v>
      </c>
      <c r="J126" s="7" t="str">
        <f>CONCATENATE("[",TEXT(Show!A126,"#.0#"),":",TEXT(Show!B126,"#.0#"),"][",TEXT(Show!E126,"#.0#"),":",TEXT(Show!F126,"#.0#"),"]")</f>
        <v>[:][40.08:38.300 + 1.780]</v>
      </c>
    </row>
    <row r="127" spans="1:10" hidden="1" x14ac:dyDescent="0.25">
      <c r="A127" s="40" t="str">
        <f>IFERROR(IF(Calc!E127&lt;=$C$4,Calc!D127,""),"")</f>
        <v/>
      </c>
      <c r="B127" s="40" t="str">
        <f>IFERROR(IF(Calc!E127&lt;=$C$4,CONCATENATE(TEXT(Calc!C127,"#0.000#")," || ",TEXT(INDEX(Calc!L127:P127,$B$4),"#0.000#")),""),"")</f>
        <v/>
      </c>
      <c r="C127" s="41" t="str">
        <f>IFERROR(IF(Calc!E127&lt;=$C$4,Calc!E127,""),"")</f>
        <v/>
      </c>
      <c r="D127" s="33" t="str">
        <f>IFERROR(IF(Calc!E127&lt;=$D$4,"Nice",""),"")</f>
        <v/>
      </c>
      <c r="E127" s="40">
        <f>IFERROR(IF(Calc!J127&lt;=$C$4,Calc!I127,""),"")</f>
        <v>40.08</v>
      </c>
      <c r="F127" s="40" t="str">
        <f>IFERROR(IF(Calc!J127&lt;=$C$4,CONCATENATE(TEXT(Calc!H127,"#0.000#")," + ",TEXT(INDEX(Calc!L127:P127,$B$4),"#0.000#")),""),"")</f>
        <v>38.300 + 1.780</v>
      </c>
      <c r="G127" s="41">
        <f>IFERROR(IF(Calc!J127&lt;=$C$4,Calc!J127,""),"")</f>
        <v>0.19999999999999574</v>
      </c>
      <c r="H127" s="33" t="str">
        <f>IFERROR(IF(Calc!J127&lt;=$D$4,"Nice",""),"")</f>
        <v>Nice</v>
      </c>
      <c r="J127" s="7" t="str">
        <f>CONCATENATE("[",TEXT(Show!A127,"#.0#"),":",TEXT(Show!B127,"#.0#"),"][",TEXT(Show!E127,"#.0#"),":",TEXT(Show!F127,"#.0#"),"]")</f>
        <v>[:][40.08:38.300 + 1.780]</v>
      </c>
    </row>
    <row r="128" spans="1:10" hidden="1" x14ac:dyDescent="0.25">
      <c r="A128" s="40" t="str">
        <f>IFERROR(IF(Calc!E128&lt;=$C$4,Calc!D128,""),"")</f>
        <v/>
      </c>
      <c r="B128" s="40" t="str">
        <f>IFERROR(IF(Calc!E128&lt;=$C$4,CONCATENATE(TEXT(Calc!C128,"#0.000#")," || ",TEXT(INDEX(Calc!L128:P128,$B$4),"#0.000#")),""),"")</f>
        <v/>
      </c>
      <c r="C128" s="41" t="str">
        <f>IFERROR(IF(Calc!E128&lt;=$C$4,Calc!E128,""),"")</f>
        <v/>
      </c>
      <c r="D128" s="33" t="str">
        <f>IFERROR(IF(Calc!E128&lt;=$D$4,"Nice",""),"")</f>
        <v/>
      </c>
      <c r="E128" s="40">
        <f>IFERROR(IF(Calc!J128&lt;=$C$4,Calc!I128,""),"")</f>
        <v>40.08</v>
      </c>
      <c r="F128" s="40" t="str">
        <f>IFERROR(IF(Calc!J128&lt;=$C$4,CONCATENATE(TEXT(Calc!H128,"#0.000#")," + ",TEXT(INDEX(Calc!L128:P128,$B$4),"#0.000#")),""),"")</f>
        <v>38.300 + 1.780</v>
      </c>
      <c r="G128" s="41">
        <f>IFERROR(IF(Calc!J128&lt;=$C$4,Calc!J128,""),"")</f>
        <v>0.19999999999999574</v>
      </c>
      <c r="H128" s="33" t="str">
        <f>IFERROR(IF(Calc!J128&lt;=$D$4,"Nice",""),"")</f>
        <v>Nice</v>
      </c>
      <c r="J128" s="7" t="str">
        <f>CONCATENATE("[",TEXT(Show!A128,"#.0#"),":",TEXT(Show!B128,"#.0#"),"][",TEXT(Show!E128,"#.0#"),":",TEXT(Show!F128,"#.0#"),"]")</f>
        <v>[:][40.08:38.300 + 1.780]</v>
      </c>
    </row>
    <row r="129" spans="1:10" x14ac:dyDescent="0.25">
      <c r="A129" s="40" t="str">
        <f>IFERROR(IF(Calc!E129&lt;=$C$4,Calc!D129,""),"")</f>
        <v/>
      </c>
      <c r="B129" s="40" t="str">
        <f>IFERROR(IF(Calc!E129&lt;=$C$4,CONCATENATE(TEXT(Calc!C129,"#0.000#")," || ",TEXT(INDEX(Calc!L129:P129,$B$4),"#0.000#")),""),"")</f>
        <v/>
      </c>
      <c r="C129" s="41" t="str">
        <f>IFERROR(IF(Calc!E129&lt;=$C$4,Calc!E129,""),"")</f>
        <v/>
      </c>
      <c r="D129" s="33" t="str">
        <f>IFERROR(IF(Calc!E129&lt;=$D$4,"Nice",""),"")</f>
        <v/>
      </c>
      <c r="E129" s="40">
        <f>IFERROR(IF(Calc!J129&lt;=$C$4,Calc!I129,""),"")</f>
        <v>40.26</v>
      </c>
      <c r="F129" s="40" t="str">
        <f>IFERROR(IF(Calc!J129&lt;=$C$4,CONCATENATE(TEXT(Calc!H129,"#0.000#")," + ",TEXT(INDEX(Calc!L129:P129,$B$4),"#0.000#")),""),"")</f>
        <v>38.300 + 1.960</v>
      </c>
      <c r="G129" s="41">
        <f>IFERROR(IF(Calc!J129&lt;=$C$4,Calc!J129,""),"")</f>
        <v>0.64999999999999503</v>
      </c>
      <c r="H129" s="33" t="str">
        <f>IFERROR(IF(Calc!J129&lt;=$D$4,"Nice",""),"")</f>
        <v/>
      </c>
      <c r="J129" s="7" t="str">
        <f>CONCATENATE("[",TEXT(Show!A129,"#.0#"),":",TEXT(Show!B129,"#.0#"),"][",TEXT(Show!E129,"#.0#"),":",TEXT(Show!F129,"#.0#"),"]")</f>
        <v>[:][40.26:38.300 + 1.960]</v>
      </c>
    </row>
    <row r="130" spans="1:10" hidden="1" x14ac:dyDescent="0.25">
      <c r="A130" s="40" t="str">
        <f>IFERROR(IF(Calc!E130&lt;=$C$4,Calc!D130,""),"")</f>
        <v/>
      </c>
      <c r="B130" s="40" t="str">
        <f>IFERROR(IF(Calc!E130&lt;=$C$4,CONCATENATE(TEXT(Calc!C130,"#0.000#")," || ",TEXT(INDEX(Calc!L130:P130,$B$4),"#0.000#")),""),"")</f>
        <v/>
      </c>
      <c r="C130" s="41" t="str">
        <f>IFERROR(IF(Calc!E130&lt;=$C$4,Calc!E130,""),"")</f>
        <v/>
      </c>
      <c r="D130" s="33" t="str">
        <f>IFERROR(IF(Calc!E130&lt;=$D$4,"Nice",""),"")</f>
        <v/>
      </c>
      <c r="E130" s="40">
        <f>IFERROR(IF(Calc!J130&lt;=$C$4,Calc!I130,""),"")</f>
        <v>40.26</v>
      </c>
      <c r="F130" s="40" t="str">
        <f>IFERROR(IF(Calc!J130&lt;=$C$4,CONCATENATE(TEXT(Calc!H130,"#0.000#")," + ",TEXT(INDEX(Calc!L130:P130,$B$4),"#0.000#")),""),"")</f>
        <v>38.300 + 1.960</v>
      </c>
      <c r="G130" s="41">
        <f>IFERROR(IF(Calc!J130&lt;=$C$4,Calc!J130,""),"")</f>
        <v>0.64999999999999503</v>
      </c>
      <c r="H130" s="33" t="str">
        <f>IFERROR(IF(Calc!J130&lt;=$D$4,"Nice",""),"")</f>
        <v/>
      </c>
      <c r="J130" s="7" t="str">
        <f>CONCATENATE("[",TEXT(Show!A130,"#.0#"),":",TEXT(Show!B130,"#.0#"),"][",TEXT(Show!E130,"#.0#"),":",TEXT(Show!F130,"#.0#"),"]")</f>
        <v>[:][40.26:38.300 + 1.960]</v>
      </c>
    </row>
    <row r="131" spans="1:10" hidden="1" x14ac:dyDescent="0.25">
      <c r="A131" s="40" t="str">
        <f>IFERROR(IF(Calc!E131&lt;=$C$4,Calc!D131,""),"")</f>
        <v/>
      </c>
      <c r="B131" s="40" t="str">
        <f>IFERROR(IF(Calc!E131&lt;=$C$4,CONCATENATE(TEXT(Calc!C131,"#0.000#")," || ",TEXT(INDEX(Calc!L131:P131,$B$4),"#0.000#")),""),"")</f>
        <v/>
      </c>
      <c r="C131" s="41" t="str">
        <f>IFERROR(IF(Calc!E131&lt;=$C$4,Calc!E131,""),"")</f>
        <v/>
      </c>
      <c r="D131" s="33" t="str">
        <f>IFERROR(IF(Calc!E131&lt;=$D$4,"Nice",""),"")</f>
        <v/>
      </c>
      <c r="E131" s="40">
        <f>IFERROR(IF(Calc!J131&lt;=$C$4,Calc!I131,""),"")</f>
        <v>40.26</v>
      </c>
      <c r="F131" s="40" t="str">
        <f>IFERROR(IF(Calc!J131&lt;=$C$4,CONCATENATE(TEXT(Calc!H131,"#0.000#")," + ",TEXT(INDEX(Calc!L131:P131,$B$4),"#0.000#")),""),"")</f>
        <v>38.300 + 1.960</v>
      </c>
      <c r="G131" s="41">
        <f>IFERROR(IF(Calc!J131&lt;=$C$4,Calc!J131,""),"")</f>
        <v>0.64999999999999503</v>
      </c>
      <c r="H131" s="33" t="str">
        <f>IFERROR(IF(Calc!J131&lt;=$D$4,"Nice",""),"")</f>
        <v/>
      </c>
      <c r="J131" s="7" t="str">
        <f>CONCATENATE("[",TEXT(Show!A131,"#.0#"),":",TEXT(Show!B131,"#.0#"),"][",TEXT(Show!E131,"#.0#"),":",TEXT(Show!F131,"#.0#"),"]")</f>
        <v>[:][40.26:38.300 + 1.960]</v>
      </c>
    </row>
    <row r="132" spans="1:10" hidden="1" x14ac:dyDescent="0.25">
      <c r="A132" s="40" t="str">
        <f>IFERROR(IF(Calc!E132&lt;=$C$4,Calc!D132,""),"")</f>
        <v/>
      </c>
      <c r="B132" s="40" t="str">
        <f>IFERROR(IF(Calc!E132&lt;=$C$4,CONCATENATE(TEXT(Calc!C132,"#0.000#")," || ",TEXT(INDEX(Calc!L132:P132,$B$4),"#0.000#")),""),"")</f>
        <v/>
      </c>
      <c r="C132" s="41" t="str">
        <f>IFERROR(IF(Calc!E132&lt;=$C$4,Calc!E132,""),"")</f>
        <v/>
      </c>
      <c r="D132" s="33" t="str">
        <f>IFERROR(IF(Calc!E132&lt;=$D$4,"Nice",""),"")</f>
        <v/>
      </c>
      <c r="E132" s="40">
        <f>IFERROR(IF(Calc!J132&lt;=$C$4,Calc!I132,""),"")</f>
        <v>40.26</v>
      </c>
      <c r="F132" s="40" t="str">
        <f>IFERROR(IF(Calc!J132&lt;=$C$4,CONCATENATE(TEXT(Calc!H132,"#0.000#")," + ",TEXT(INDEX(Calc!L132:P132,$B$4),"#0.000#")),""),"")</f>
        <v>38.300 + 1.960</v>
      </c>
      <c r="G132" s="41">
        <f>IFERROR(IF(Calc!J132&lt;=$C$4,Calc!J132,""),"")</f>
        <v>0.64999999999999503</v>
      </c>
      <c r="H132" s="33" t="str">
        <f>IFERROR(IF(Calc!J132&lt;=$D$4,"Nice",""),"")</f>
        <v/>
      </c>
      <c r="J132" s="7" t="str">
        <f>CONCATENATE("[",TEXT(Show!A132,"#.0#"),":",TEXT(Show!B132,"#.0#"),"][",TEXT(Show!E132,"#.0#"),":",TEXT(Show!F132,"#.0#"),"]")</f>
        <v>[:][40.26:38.300 + 1.960]</v>
      </c>
    </row>
    <row r="133" spans="1:10" hidden="1" x14ac:dyDescent="0.25">
      <c r="A133" s="40" t="str">
        <f>IFERROR(IF(Calc!E133&lt;=$C$4,Calc!D133,""),"")</f>
        <v/>
      </c>
      <c r="B133" s="40" t="str">
        <f>IFERROR(IF(Calc!E133&lt;=$C$4,CONCATENATE(TEXT(Calc!C133,"#0.000#")," || ",TEXT(INDEX(Calc!L133:P133,$B$4),"#0.000#")),""),"")</f>
        <v/>
      </c>
      <c r="C133" s="41" t="str">
        <f>IFERROR(IF(Calc!E133&lt;=$C$4,Calc!E133,""),"")</f>
        <v/>
      </c>
      <c r="D133" s="33" t="str">
        <f>IFERROR(IF(Calc!E133&lt;=$D$4,"Nice",""),"")</f>
        <v/>
      </c>
      <c r="E133" s="40" t="str">
        <f>IFERROR(IF(Calc!J133&lt;=$C$4,Calc!I133,""),"")</f>
        <v/>
      </c>
      <c r="F133" s="40" t="str">
        <f>IFERROR(IF(Calc!J133&lt;=$C$4,CONCATENATE(TEXT(Calc!H133,"#0.000#")," + ",TEXT(INDEX(Calc!L133:P133,$B$4),"#0.000#")),""),"")</f>
        <v/>
      </c>
      <c r="G133" s="41" t="str">
        <f>IFERROR(IF(Calc!J133&lt;=$C$4,Calc!J133,""),"")</f>
        <v/>
      </c>
      <c r="H133" s="33" t="str">
        <f>IFERROR(IF(Calc!J133&lt;=$D$4,"Nice",""),"")</f>
        <v/>
      </c>
      <c r="J133" s="7" t="str">
        <f>CONCATENATE("[",TEXT(Show!A133,"#.0#"),":",TEXT(Show!B133,"#.0#"),"][",TEXT(Show!E133,"#.0#"),":",TEXT(Show!F133,"#.0#"),"]")</f>
        <v>[:][:]</v>
      </c>
    </row>
    <row r="134" spans="1:10" hidden="1" x14ac:dyDescent="0.25">
      <c r="A134" s="40" t="str">
        <f>IFERROR(IF(Calc!E134&lt;=$C$4,Calc!D134,""),"")</f>
        <v/>
      </c>
      <c r="B134" s="40" t="str">
        <f>IFERROR(IF(Calc!E134&lt;=$C$4,CONCATENATE(TEXT(Calc!C134,"#0.000#")," || ",TEXT(INDEX(Calc!L134:P134,$B$4),"#0.000#")),""),"")</f>
        <v/>
      </c>
      <c r="C134" s="41" t="str">
        <f>IFERROR(IF(Calc!E134&lt;=$C$4,Calc!E134,""),"")</f>
        <v/>
      </c>
      <c r="D134" s="33" t="str">
        <f>IFERROR(IF(Calc!E134&lt;=$D$4,"Nice",""),"")</f>
        <v/>
      </c>
      <c r="E134" s="40" t="str">
        <f>IFERROR(IF(Calc!J134&lt;=$C$4,Calc!I134,""),"")</f>
        <v/>
      </c>
      <c r="F134" s="40" t="str">
        <f>IFERROR(IF(Calc!J134&lt;=$C$4,CONCATENATE(TEXT(Calc!H134,"#0.000#")," + ",TEXT(INDEX(Calc!L134:P134,$B$4),"#0.000#")),""),"")</f>
        <v/>
      </c>
      <c r="G134" s="41" t="str">
        <f>IFERROR(IF(Calc!J134&lt;=$C$4,Calc!J134,""),"")</f>
        <v/>
      </c>
      <c r="H134" s="33" t="str">
        <f>IFERROR(IF(Calc!J134&lt;=$D$4,"Nice",""),"")</f>
        <v/>
      </c>
      <c r="J134" s="7" t="str">
        <f>CONCATENATE("[",TEXT(Show!A134,"#.0#"),":",TEXT(Show!B134,"#.0#"),"][",TEXT(Show!E134,"#.0#"),":",TEXT(Show!F134,"#.0#"),"]")</f>
        <v>[:][:]</v>
      </c>
    </row>
    <row r="135" spans="1:10" hidden="1" x14ac:dyDescent="0.25">
      <c r="A135" s="40" t="str">
        <f>IFERROR(IF(Calc!E135&lt;=$C$4,Calc!D135,""),"")</f>
        <v/>
      </c>
      <c r="B135" s="40" t="str">
        <f>IFERROR(IF(Calc!E135&lt;=$C$4,CONCATENATE(TEXT(Calc!C135,"#0.000#")," || ",TEXT(INDEX(Calc!L135:P135,$B$4),"#0.000#")),""),"")</f>
        <v/>
      </c>
      <c r="C135" s="41" t="str">
        <f>IFERROR(IF(Calc!E135&lt;=$C$4,Calc!E135,""),"")</f>
        <v/>
      </c>
      <c r="D135" s="33" t="str">
        <f>IFERROR(IF(Calc!E135&lt;=$D$4,"Nice",""),"")</f>
        <v/>
      </c>
      <c r="E135" s="40" t="str">
        <f>IFERROR(IF(Calc!J135&lt;=$C$4,Calc!I135,""),"")</f>
        <v/>
      </c>
      <c r="F135" s="40" t="str">
        <f>IFERROR(IF(Calc!J135&lt;=$C$4,CONCATENATE(TEXT(Calc!H135,"#0.000#")," + ",TEXT(INDEX(Calc!L135:P135,$B$4),"#0.000#")),""),"")</f>
        <v/>
      </c>
      <c r="G135" s="41" t="str">
        <f>IFERROR(IF(Calc!J135&lt;=$C$4,Calc!J135,""),"")</f>
        <v/>
      </c>
      <c r="H135" s="33" t="str">
        <f>IFERROR(IF(Calc!J135&lt;=$D$4,"Nice",""),"")</f>
        <v/>
      </c>
      <c r="J135" s="7" t="str">
        <f>CONCATENATE("[",TEXT(Show!A135,"#.0#"),":",TEXT(Show!B135,"#.0#"),"][",TEXT(Show!E135,"#.0#"),":",TEXT(Show!F135,"#.0#"),"]")</f>
        <v>[:][:]</v>
      </c>
    </row>
    <row r="136" spans="1:10" hidden="1" x14ac:dyDescent="0.25">
      <c r="A136" s="40" t="str">
        <f>IFERROR(IF(Calc!E136&lt;=$C$4,Calc!D136,""),"")</f>
        <v/>
      </c>
      <c r="B136" s="40" t="str">
        <f>IFERROR(IF(Calc!E136&lt;=$C$4,CONCATENATE(TEXT(Calc!C136,"#0.000#")," || ",TEXT(INDEX(Calc!L136:P136,$B$4),"#0.000#")),""),"")</f>
        <v/>
      </c>
      <c r="C136" s="41" t="str">
        <f>IFERROR(IF(Calc!E136&lt;=$C$4,Calc!E136,""),"")</f>
        <v/>
      </c>
      <c r="D136" s="33" t="str">
        <f>IFERROR(IF(Calc!E136&lt;=$D$4,"Nice",""),"")</f>
        <v/>
      </c>
      <c r="E136" s="40" t="str">
        <f>IFERROR(IF(Calc!J136&lt;=$C$4,Calc!I136,""),"")</f>
        <v/>
      </c>
      <c r="F136" s="40" t="str">
        <f>IFERROR(IF(Calc!J136&lt;=$C$4,CONCATENATE(TEXT(Calc!H136,"#0.000#")," + ",TEXT(INDEX(Calc!L136:P136,$B$4),"#0.000#")),""),"")</f>
        <v/>
      </c>
      <c r="G136" s="41" t="str">
        <f>IFERROR(IF(Calc!J136&lt;=$C$4,Calc!J136,""),"")</f>
        <v/>
      </c>
      <c r="H136" s="33" t="str">
        <f>IFERROR(IF(Calc!J136&lt;=$D$4,"Nice",""),"")</f>
        <v/>
      </c>
      <c r="J136" s="7" t="str">
        <f>CONCATENATE("[",TEXT(Show!A136,"#.0#"),":",TEXT(Show!B136,"#.0#"),"][",TEXT(Show!E136,"#.0#"),":",TEXT(Show!F136,"#.0#"),"]")</f>
        <v>[:][:]</v>
      </c>
    </row>
    <row r="137" spans="1:10" hidden="1" x14ac:dyDescent="0.25">
      <c r="A137" s="40" t="str">
        <f>IFERROR(IF(Calc!E137&lt;=$C$4,Calc!D137,""),"")</f>
        <v/>
      </c>
      <c r="B137" s="40" t="str">
        <f>IFERROR(IF(Calc!E137&lt;=$C$4,CONCATENATE(TEXT(Calc!C137,"#0.000#")," || ",TEXT(INDEX(Calc!L137:P137,$B$4),"#0.000#")),""),"")</f>
        <v/>
      </c>
      <c r="C137" s="41" t="str">
        <f>IFERROR(IF(Calc!E137&lt;=$C$4,Calc!E137,""),"")</f>
        <v/>
      </c>
      <c r="D137" s="33" t="str">
        <f>IFERROR(IF(Calc!E137&lt;=$D$4,"Nice",""),"")</f>
        <v/>
      </c>
      <c r="E137" s="40" t="str">
        <f>IFERROR(IF(Calc!J137&lt;=$C$4,Calc!I137,""),"")</f>
        <v/>
      </c>
      <c r="F137" s="40" t="str">
        <f>IFERROR(IF(Calc!J137&lt;=$C$4,CONCATENATE(TEXT(Calc!H137,"#0.000#")," + ",TEXT(INDEX(Calc!L137:P137,$B$4),"#0.000#")),""),"")</f>
        <v/>
      </c>
      <c r="G137" s="41" t="str">
        <f>IFERROR(IF(Calc!J137&lt;=$C$4,Calc!J137,""),"")</f>
        <v/>
      </c>
      <c r="H137" s="33" t="str">
        <f>IFERROR(IF(Calc!J137&lt;=$D$4,"Nice",""),"")</f>
        <v/>
      </c>
      <c r="J137" s="7" t="str">
        <f>CONCATENATE("[",TEXT(Show!A137,"#.0#"),":",TEXT(Show!B137,"#.0#"),"][",TEXT(Show!E137,"#.0#"),":",TEXT(Show!F137,"#.0#"),"]")</f>
        <v>[:][:]</v>
      </c>
    </row>
    <row r="138" spans="1:10" hidden="1" x14ac:dyDescent="0.25">
      <c r="A138" s="40" t="str">
        <f>IFERROR(IF(Calc!E138&lt;=$C$4,Calc!D138,""),"")</f>
        <v/>
      </c>
      <c r="B138" s="40" t="str">
        <f>IFERROR(IF(Calc!E138&lt;=$C$4,CONCATENATE(TEXT(Calc!C138,"#0.000#")," || ",TEXT(INDEX(Calc!L138:P138,$B$4),"#0.000#")),""),"")</f>
        <v/>
      </c>
      <c r="C138" s="41" t="str">
        <f>IFERROR(IF(Calc!E138&lt;=$C$4,Calc!E138,""),"")</f>
        <v/>
      </c>
      <c r="D138" s="33" t="str">
        <f>IFERROR(IF(Calc!E138&lt;=$D$4,"Nice",""),"")</f>
        <v/>
      </c>
      <c r="E138" s="40" t="str">
        <f>IFERROR(IF(Calc!J138&lt;=$C$4,Calc!I138,""),"")</f>
        <v/>
      </c>
      <c r="F138" s="40" t="str">
        <f>IFERROR(IF(Calc!J138&lt;=$C$4,CONCATENATE(TEXT(Calc!H138,"#0.000#")," + ",TEXT(INDEX(Calc!L138:P138,$B$4),"#0.000#")),""),"")</f>
        <v/>
      </c>
      <c r="G138" s="41" t="str">
        <f>IFERROR(IF(Calc!J138&lt;=$C$4,Calc!J138,""),"")</f>
        <v/>
      </c>
      <c r="H138" s="33" t="str">
        <f>IFERROR(IF(Calc!J138&lt;=$D$4,"Nice",""),"")</f>
        <v/>
      </c>
      <c r="J138" s="7" t="str">
        <f>CONCATENATE("[",TEXT(Show!A138,"#.0#"),":",TEXT(Show!B138,"#.0#"),"][",TEXT(Show!E138,"#.0#"),":",TEXT(Show!F138,"#.0#"),"]")</f>
        <v>[:][:]</v>
      </c>
    </row>
    <row r="139" spans="1:10" hidden="1" x14ac:dyDescent="0.25">
      <c r="A139" s="40" t="str">
        <f>IFERROR(IF(Calc!E139&lt;=$C$4,Calc!D139,""),"")</f>
        <v/>
      </c>
      <c r="B139" s="40" t="str">
        <f>IFERROR(IF(Calc!E139&lt;=$C$4,CONCATENATE(TEXT(Calc!C139,"#0.000#")," || ",TEXT(INDEX(Calc!L139:P139,$B$4),"#0.000#")),""),"")</f>
        <v/>
      </c>
      <c r="C139" s="41" t="str">
        <f>IFERROR(IF(Calc!E139&lt;=$C$4,Calc!E139,""),"")</f>
        <v/>
      </c>
      <c r="D139" s="33" t="str">
        <f>IFERROR(IF(Calc!E139&lt;=$D$4,"Nice",""),"")</f>
        <v/>
      </c>
      <c r="E139" s="40" t="str">
        <f>IFERROR(IF(Calc!J139&lt;=$C$4,Calc!I139,""),"")</f>
        <v/>
      </c>
      <c r="F139" s="40" t="str">
        <f>IFERROR(IF(Calc!J139&lt;=$C$4,CONCATENATE(TEXT(Calc!H139,"#0.000#")," + ",TEXT(INDEX(Calc!L139:P139,$B$4),"#0.000#")),""),"")</f>
        <v/>
      </c>
      <c r="G139" s="41" t="str">
        <f>IFERROR(IF(Calc!J139&lt;=$C$4,Calc!J139,""),"")</f>
        <v/>
      </c>
      <c r="H139" s="33" t="str">
        <f>IFERROR(IF(Calc!J139&lt;=$D$4,"Nice",""),"")</f>
        <v/>
      </c>
      <c r="J139" s="7" t="str">
        <f>CONCATENATE("[",TEXT(Show!A139,"#.0#"),":",TEXT(Show!B139,"#.0#"),"][",TEXT(Show!E139,"#.0#"),":",TEXT(Show!F139,"#.0#"),"]")</f>
        <v>[:][:]</v>
      </c>
    </row>
    <row r="140" spans="1:10" hidden="1" x14ac:dyDescent="0.25">
      <c r="A140" s="40" t="str">
        <f>IFERROR(IF(Calc!E140&lt;=$C$4,Calc!D140,""),"")</f>
        <v/>
      </c>
      <c r="B140" s="40" t="str">
        <f>IFERROR(IF(Calc!E140&lt;=$C$4,CONCATENATE(TEXT(Calc!C140,"#0.000#")," || ",TEXT(INDEX(Calc!L140:P140,$B$4),"#0.000#")),""),"")</f>
        <v/>
      </c>
      <c r="C140" s="41" t="str">
        <f>IFERROR(IF(Calc!E140&lt;=$C$4,Calc!E140,""),"")</f>
        <v/>
      </c>
      <c r="D140" s="33" t="str">
        <f>IFERROR(IF(Calc!E140&lt;=$D$4,"Nice",""),"")</f>
        <v/>
      </c>
      <c r="E140" s="40" t="str">
        <f>IFERROR(IF(Calc!J140&lt;=$C$4,Calc!I140,""),"")</f>
        <v/>
      </c>
      <c r="F140" s="40" t="str">
        <f>IFERROR(IF(Calc!J140&lt;=$C$4,CONCATENATE(TEXT(Calc!H140,"#0.000#")," + ",TEXT(INDEX(Calc!L140:P140,$B$4),"#0.000#")),""),"")</f>
        <v/>
      </c>
      <c r="G140" s="41" t="str">
        <f>IFERROR(IF(Calc!J140&lt;=$C$4,Calc!J140,""),"")</f>
        <v/>
      </c>
      <c r="H140" s="33" t="str">
        <f>IFERROR(IF(Calc!J140&lt;=$D$4,"Nice",""),"")</f>
        <v/>
      </c>
      <c r="J140" s="7" t="str">
        <f>CONCATENATE("[",TEXT(Show!A140,"#.0#"),":",TEXT(Show!B140,"#.0#"),"][",TEXT(Show!E140,"#.0#"),":",TEXT(Show!F140,"#.0#"),"]")</f>
        <v>[:][:]</v>
      </c>
    </row>
    <row r="141" spans="1:10" hidden="1" x14ac:dyDescent="0.25">
      <c r="A141" s="40" t="str">
        <f>IFERROR(IF(Calc!E141&lt;=$C$4,Calc!D141,""),"")</f>
        <v/>
      </c>
      <c r="B141" s="40" t="str">
        <f>IFERROR(IF(Calc!E141&lt;=$C$4,CONCATENATE(TEXT(Calc!C141,"#0.000#")," || ",TEXT(INDEX(Calc!L141:P141,$B$4),"#0.000#")),""),"")</f>
        <v/>
      </c>
      <c r="C141" s="41" t="str">
        <f>IFERROR(IF(Calc!E141&lt;=$C$4,Calc!E141,""),"")</f>
        <v/>
      </c>
      <c r="D141" s="33" t="str">
        <f>IFERROR(IF(Calc!E141&lt;=$D$4,"Nice",""),"")</f>
        <v/>
      </c>
      <c r="E141" s="40" t="str">
        <f>IFERROR(IF(Calc!J141&lt;=$C$4,Calc!I141,""),"")</f>
        <v/>
      </c>
      <c r="F141" s="40" t="str">
        <f>IFERROR(IF(Calc!J141&lt;=$C$4,CONCATENATE(TEXT(Calc!H141,"#0.000#")," + ",TEXT(INDEX(Calc!L141:P141,$B$4),"#0.000#")),""),"")</f>
        <v/>
      </c>
      <c r="G141" s="41" t="str">
        <f>IFERROR(IF(Calc!J141&lt;=$C$4,Calc!J141,""),"")</f>
        <v/>
      </c>
      <c r="H141" s="33" t="str">
        <f>IFERROR(IF(Calc!J141&lt;=$D$4,"Nice",""),"")</f>
        <v/>
      </c>
      <c r="J141" s="7" t="str">
        <f>CONCATENATE("[",TEXT(Show!A141,"#.0#"),":",TEXT(Show!B141,"#.0#"),"][",TEXT(Show!E141,"#.0#"),":",TEXT(Show!F141,"#.0#"),"]")</f>
        <v>[:][:]</v>
      </c>
    </row>
    <row r="142" spans="1:10" hidden="1" x14ac:dyDescent="0.25">
      <c r="A142" s="40" t="str">
        <f>IFERROR(IF(Calc!E142&lt;=$C$4,Calc!D142,""),"")</f>
        <v/>
      </c>
      <c r="B142" s="40" t="str">
        <f>IFERROR(IF(Calc!E142&lt;=$C$4,CONCATENATE(TEXT(Calc!C142,"#0.000#")," || ",TEXT(INDEX(Calc!L142:P142,$B$4),"#0.000#")),""),"")</f>
        <v/>
      </c>
      <c r="C142" s="41" t="str">
        <f>IFERROR(IF(Calc!E142&lt;=$C$4,Calc!E142,""),"")</f>
        <v/>
      </c>
      <c r="D142" s="33" t="str">
        <f>IFERROR(IF(Calc!E142&lt;=$D$4,"Nice",""),"")</f>
        <v/>
      </c>
      <c r="E142" s="40" t="str">
        <f>IFERROR(IF(Calc!J142&lt;=$C$4,Calc!I142,""),"")</f>
        <v/>
      </c>
      <c r="F142" s="40" t="str">
        <f>IFERROR(IF(Calc!J142&lt;=$C$4,CONCATENATE(TEXT(Calc!H142,"#0.000#")," + ",TEXT(INDEX(Calc!L142:P142,$B$4),"#0.000#")),""),"")</f>
        <v/>
      </c>
      <c r="G142" s="41" t="str">
        <f>IFERROR(IF(Calc!J142&lt;=$C$4,Calc!J142,""),"")</f>
        <v/>
      </c>
      <c r="H142" s="33" t="str">
        <f>IFERROR(IF(Calc!J142&lt;=$D$4,"Nice",""),"")</f>
        <v/>
      </c>
      <c r="J142" s="7" t="str">
        <f>CONCATENATE("[",TEXT(Show!A142,"#.0#"),":",TEXT(Show!B142,"#.0#"),"][",TEXT(Show!E142,"#.0#"),":",TEXT(Show!F142,"#.0#"),"]")</f>
        <v>[:][:]</v>
      </c>
    </row>
    <row r="143" spans="1:10" hidden="1" x14ac:dyDescent="0.25">
      <c r="A143" s="40" t="str">
        <f>IFERROR(IF(Calc!E143&lt;=$C$4,Calc!D143,""),"")</f>
        <v/>
      </c>
      <c r="B143" s="40" t="str">
        <f>IFERROR(IF(Calc!E143&lt;=$C$4,CONCATENATE(TEXT(Calc!C143,"#0.000#")," || ",TEXT(INDEX(Calc!L143:P143,$B$4),"#0.000#")),""),"")</f>
        <v/>
      </c>
      <c r="C143" s="41" t="str">
        <f>IFERROR(IF(Calc!E143&lt;=$C$4,Calc!E143,""),"")</f>
        <v/>
      </c>
      <c r="D143" s="33" t="str">
        <f>IFERROR(IF(Calc!E143&lt;=$D$4,"Nice",""),"")</f>
        <v/>
      </c>
      <c r="E143" s="40" t="str">
        <f>IFERROR(IF(Calc!J143&lt;=$C$4,Calc!I143,""),"")</f>
        <v/>
      </c>
      <c r="F143" s="40" t="str">
        <f>IFERROR(IF(Calc!J143&lt;=$C$4,CONCATENATE(TEXT(Calc!H143,"#0.000#")," + ",TEXT(INDEX(Calc!L143:P143,$B$4),"#0.000#")),""),"")</f>
        <v/>
      </c>
      <c r="G143" s="41" t="str">
        <f>IFERROR(IF(Calc!J143&lt;=$C$4,Calc!J143,""),"")</f>
        <v/>
      </c>
      <c r="H143" s="33" t="str">
        <f>IFERROR(IF(Calc!J143&lt;=$D$4,"Nice",""),"")</f>
        <v/>
      </c>
      <c r="J143" s="7" t="str">
        <f>CONCATENATE("[",TEXT(Show!A143,"#.0#"),":",TEXT(Show!B143,"#.0#"),"][",TEXT(Show!E143,"#.0#"),":",TEXT(Show!F143,"#.0#"),"]")</f>
        <v>[:][:]</v>
      </c>
    </row>
    <row r="144" spans="1:10" hidden="1" x14ac:dyDescent="0.25">
      <c r="A144" s="40" t="str">
        <f>IFERROR(IF(Calc!E144&lt;=$C$4,Calc!D144,""),"")</f>
        <v/>
      </c>
      <c r="B144" s="40" t="str">
        <f>IFERROR(IF(Calc!E144&lt;=$C$4,CONCATENATE(TEXT(Calc!C144,"#0.000#")," || ",TEXT(INDEX(Calc!L144:P144,$B$4),"#0.000#")),""),"")</f>
        <v/>
      </c>
      <c r="C144" s="41" t="str">
        <f>IFERROR(IF(Calc!E144&lt;=$C$4,Calc!E144,""),"")</f>
        <v/>
      </c>
      <c r="D144" s="33" t="str">
        <f>IFERROR(IF(Calc!E144&lt;=$D$4,"Nice",""),"")</f>
        <v/>
      </c>
      <c r="E144" s="40" t="str">
        <f>IFERROR(IF(Calc!J144&lt;=$C$4,Calc!I144,""),"")</f>
        <v/>
      </c>
      <c r="F144" s="40" t="str">
        <f>IFERROR(IF(Calc!J144&lt;=$C$4,CONCATENATE(TEXT(Calc!H144,"#0.000#")," + ",TEXT(INDEX(Calc!L144:P144,$B$4),"#0.000#")),""),"")</f>
        <v/>
      </c>
      <c r="G144" s="41" t="str">
        <f>IFERROR(IF(Calc!J144&lt;=$C$4,Calc!J144,""),"")</f>
        <v/>
      </c>
      <c r="H144" s="33" t="str">
        <f>IFERROR(IF(Calc!J144&lt;=$D$4,"Nice",""),"")</f>
        <v/>
      </c>
      <c r="J144" s="7" t="str">
        <f>CONCATENATE("[",TEXT(Show!A144,"#.0#"),":",TEXT(Show!B144,"#.0#"),"][",TEXT(Show!E144,"#.0#"),":",TEXT(Show!F144,"#.0#"),"]")</f>
        <v>[:][:]</v>
      </c>
    </row>
    <row r="145" spans="1:10" hidden="1" x14ac:dyDescent="0.25">
      <c r="A145" s="40" t="str">
        <f>IFERROR(IF(Calc!E145&lt;=$C$4,Calc!D145,""),"")</f>
        <v/>
      </c>
      <c r="B145" s="40" t="str">
        <f>IFERROR(IF(Calc!E145&lt;=$C$4,CONCATENATE(TEXT(Calc!C145,"#0.000#")," || ",TEXT(INDEX(Calc!L145:P145,$B$4),"#0.000#")),""),"")</f>
        <v/>
      </c>
      <c r="C145" s="41" t="str">
        <f>IFERROR(IF(Calc!E145&lt;=$C$4,Calc!E145,""),"")</f>
        <v/>
      </c>
      <c r="D145" s="33" t="str">
        <f>IFERROR(IF(Calc!E145&lt;=$D$4,"Nice",""),"")</f>
        <v/>
      </c>
      <c r="E145" s="40" t="str">
        <f>IFERROR(IF(Calc!J145&lt;=$C$4,Calc!I145,""),"")</f>
        <v/>
      </c>
      <c r="F145" s="40" t="str">
        <f>IFERROR(IF(Calc!J145&lt;=$C$4,CONCATENATE(TEXT(Calc!H145,"#0.000#")," + ",TEXT(INDEX(Calc!L145:P145,$B$4),"#0.000#")),""),"")</f>
        <v/>
      </c>
      <c r="G145" s="41" t="str">
        <f>IFERROR(IF(Calc!J145&lt;=$C$4,Calc!J145,""),"")</f>
        <v/>
      </c>
      <c r="H145" s="33" t="str">
        <f>IFERROR(IF(Calc!J145&lt;=$D$4,"Nice",""),"")</f>
        <v/>
      </c>
      <c r="J145" s="7" t="str">
        <f>CONCATENATE("[",TEXT(Show!A145,"#.0#"),":",TEXT(Show!B145,"#.0#"),"][",TEXT(Show!E145,"#.0#"),":",TEXT(Show!F145,"#.0#"),"]")</f>
        <v>[:][:]</v>
      </c>
    </row>
    <row r="146" spans="1:10" hidden="1" x14ac:dyDescent="0.25">
      <c r="A146" s="40" t="str">
        <f>IFERROR(IF(Calc!E146&lt;=$C$4,Calc!D146,""),"")</f>
        <v/>
      </c>
      <c r="B146" s="40" t="str">
        <f>IFERROR(IF(Calc!E146&lt;=$C$4,CONCATENATE(TEXT(Calc!C146,"#0.000#")," || ",TEXT(INDEX(Calc!L146:P146,$B$4),"#0.000#")),""),"")</f>
        <v/>
      </c>
      <c r="C146" s="41" t="str">
        <f>IFERROR(IF(Calc!E146&lt;=$C$4,Calc!E146,""),"")</f>
        <v/>
      </c>
      <c r="D146" s="33" t="str">
        <f>IFERROR(IF(Calc!E146&lt;=$D$4,"Nice",""),"")</f>
        <v/>
      </c>
      <c r="E146" s="40" t="str">
        <f>IFERROR(IF(Calc!J146&lt;=$C$4,Calc!I146,""),"")</f>
        <v/>
      </c>
      <c r="F146" s="40" t="str">
        <f>IFERROR(IF(Calc!J146&lt;=$C$4,CONCATENATE(TEXT(Calc!H146,"#0.000#")," + ",TEXT(INDEX(Calc!L146:P146,$B$4),"#0.000#")),""),"")</f>
        <v/>
      </c>
      <c r="G146" s="41" t="str">
        <f>IFERROR(IF(Calc!J146&lt;=$C$4,Calc!J146,""),"")</f>
        <v/>
      </c>
      <c r="H146" s="33" t="str">
        <f>IFERROR(IF(Calc!J146&lt;=$D$4,"Nice",""),"")</f>
        <v/>
      </c>
      <c r="J146" s="7" t="str">
        <f>CONCATENATE("[",TEXT(Show!A146,"#.0#"),":",TEXT(Show!B146,"#.0#"),"][",TEXT(Show!E146,"#.0#"),":",TEXT(Show!F146,"#.0#"),"]")</f>
        <v>[:][:]</v>
      </c>
    </row>
    <row r="147" spans="1:10" hidden="1" x14ac:dyDescent="0.25">
      <c r="A147" s="40" t="str">
        <f>IFERROR(IF(Calc!E147&lt;=$C$4,Calc!D147,""),"")</f>
        <v/>
      </c>
      <c r="B147" s="40" t="str">
        <f>IFERROR(IF(Calc!E147&lt;=$C$4,CONCATENATE(TEXT(Calc!C147,"#0.000#")," || ",TEXT(INDEX(Calc!L147:P147,$B$4),"#0.000#")),""),"")</f>
        <v/>
      </c>
      <c r="C147" s="41" t="str">
        <f>IFERROR(IF(Calc!E147&lt;=$C$4,Calc!E147,""),"")</f>
        <v/>
      </c>
      <c r="D147" s="33" t="str">
        <f>IFERROR(IF(Calc!E147&lt;=$D$4,"Nice",""),"")</f>
        <v/>
      </c>
      <c r="E147" s="40" t="str">
        <f>IFERROR(IF(Calc!J147&lt;=$C$4,Calc!I147,""),"")</f>
        <v/>
      </c>
      <c r="F147" s="40" t="str">
        <f>IFERROR(IF(Calc!J147&lt;=$C$4,CONCATENATE(TEXT(Calc!H147,"#0.000#")," + ",TEXT(INDEX(Calc!L147:P147,$B$4),"#0.000#")),""),"")</f>
        <v/>
      </c>
      <c r="G147" s="41" t="str">
        <f>IFERROR(IF(Calc!J147&lt;=$C$4,Calc!J147,""),"")</f>
        <v/>
      </c>
      <c r="H147" s="33" t="str">
        <f>IFERROR(IF(Calc!J147&lt;=$D$4,"Nice",""),"")</f>
        <v/>
      </c>
      <c r="J147" s="7" t="str">
        <f>CONCATENATE("[",TEXT(Show!A147,"#.0#"),":",TEXT(Show!B147,"#.0#"),"][",TEXT(Show!E147,"#.0#"),":",TEXT(Show!F147,"#.0#"),"]")</f>
        <v>[:][:]</v>
      </c>
    </row>
    <row r="148" spans="1:10" hidden="1" x14ac:dyDescent="0.25">
      <c r="A148" s="40" t="str">
        <f>IFERROR(IF(Calc!E148&lt;=$C$4,Calc!D148,""),"")</f>
        <v/>
      </c>
      <c r="B148" s="40" t="str">
        <f>IFERROR(IF(Calc!E148&lt;=$C$4,CONCATENATE(TEXT(Calc!C148,"#0.000#")," || ",TEXT(INDEX(Calc!L148:P148,$B$4),"#0.000#")),""),"")</f>
        <v/>
      </c>
      <c r="C148" s="41" t="str">
        <f>IFERROR(IF(Calc!E148&lt;=$C$4,Calc!E148,""),"")</f>
        <v/>
      </c>
      <c r="D148" s="33" t="str">
        <f>IFERROR(IF(Calc!E148&lt;=$D$4,"Nice",""),"")</f>
        <v/>
      </c>
      <c r="E148" s="40" t="str">
        <f>IFERROR(IF(Calc!J148&lt;=$C$4,Calc!I148,""),"")</f>
        <v/>
      </c>
      <c r="F148" s="40" t="str">
        <f>IFERROR(IF(Calc!J148&lt;=$C$4,CONCATENATE(TEXT(Calc!H148,"#0.000#")," + ",TEXT(INDEX(Calc!L148:P148,$B$4),"#0.000#")),""),"")</f>
        <v/>
      </c>
      <c r="G148" s="41" t="str">
        <f>IFERROR(IF(Calc!J148&lt;=$C$4,Calc!J148,""),"")</f>
        <v/>
      </c>
      <c r="H148" s="33" t="str">
        <f>IFERROR(IF(Calc!J148&lt;=$D$4,"Nice",""),"")</f>
        <v/>
      </c>
      <c r="J148" s="7" t="str">
        <f>CONCATENATE("[",TEXT(Show!A148,"#.0#"),":",TEXT(Show!B148,"#.0#"),"][",TEXT(Show!E148,"#.0#"),":",TEXT(Show!F148,"#.0#"),"]")</f>
        <v>[:][:]</v>
      </c>
    </row>
    <row r="149" spans="1:10" hidden="1" x14ac:dyDescent="0.25">
      <c r="A149" s="40" t="str">
        <f>IFERROR(IF(Calc!E149&lt;=$C$4,Calc!D149,""),"")</f>
        <v/>
      </c>
      <c r="B149" s="40" t="str">
        <f>IFERROR(IF(Calc!E149&lt;=$C$4,CONCATENATE(TEXT(Calc!C149,"#0.000#")," || ",TEXT(INDEX(Calc!L149:P149,$B$4),"#0.000#")),""),"")</f>
        <v/>
      </c>
      <c r="C149" s="41" t="str">
        <f>IFERROR(IF(Calc!E149&lt;=$C$4,Calc!E149,""),"")</f>
        <v/>
      </c>
      <c r="D149" s="33" t="str">
        <f>IFERROR(IF(Calc!E149&lt;=$D$4,"Nice",""),"")</f>
        <v/>
      </c>
      <c r="E149" s="40" t="str">
        <f>IFERROR(IF(Calc!J149&lt;=$C$4,Calc!I149,""),"")</f>
        <v/>
      </c>
      <c r="F149" s="40" t="str">
        <f>IFERROR(IF(Calc!J149&lt;=$C$4,CONCATENATE(TEXT(Calc!H149,"#0.000#")," + ",TEXT(INDEX(Calc!L149:P149,$B$4),"#0.000#")),""),"")</f>
        <v/>
      </c>
      <c r="G149" s="41" t="str">
        <f>IFERROR(IF(Calc!J149&lt;=$C$4,Calc!J149,""),"")</f>
        <v/>
      </c>
      <c r="H149" s="33" t="str">
        <f>IFERROR(IF(Calc!J149&lt;=$D$4,"Nice",""),"")</f>
        <v/>
      </c>
      <c r="J149" s="7" t="str">
        <f>CONCATENATE("[",TEXT(Show!A149,"#.0#"),":",TEXT(Show!B149,"#.0#"),"][",TEXT(Show!E149,"#.0#"),":",TEXT(Show!F149,"#.0#"),"]")</f>
        <v>[:][:]</v>
      </c>
    </row>
    <row r="150" spans="1:10" hidden="1" x14ac:dyDescent="0.25">
      <c r="A150" s="40" t="str">
        <f>IFERROR(IF(Calc!E150&lt;=$C$4,Calc!D150,""),"")</f>
        <v/>
      </c>
      <c r="B150" s="40" t="str">
        <f>IFERROR(IF(Calc!E150&lt;=$C$4,CONCATENATE(TEXT(Calc!C150,"#0.000#")," || ",TEXT(INDEX(Calc!L150:P150,$B$4),"#0.000#")),""),"")</f>
        <v/>
      </c>
      <c r="C150" s="41" t="str">
        <f>IFERROR(IF(Calc!E150&lt;=$C$4,Calc!E150,""),"")</f>
        <v/>
      </c>
      <c r="D150" s="33" t="str">
        <f>IFERROR(IF(Calc!E150&lt;=$D$4,"Nice",""),"")</f>
        <v/>
      </c>
      <c r="E150" s="40" t="str">
        <f>IFERROR(IF(Calc!J150&lt;=$C$4,Calc!I150,""),"")</f>
        <v/>
      </c>
      <c r="F150" s="40" t="str">
        <f>IFERROR(IF(Calc!J150&lt;=$C$4,CONCATENATE(TEXT(Calc!H150,"#0.000#")," + ",TEXT(INDEX(Calc!L150:P150,$B$4),"#0.000#")),""),"")</f>
        <v/>
      </c>
      <c r="G150" s="41" t="str">
        <f>IFERROR(IF(Calc!J150&lt;=$C$4,Calc!J150,""),"")</f>
        <v/>
      </c>
      <c r="H150" s="33" t="str">
        <f>IFERROR(IF(Calc!J150&lt;=$D$4,"Nice",""),"")</f>
        <v/>
      </c>
      <c r="J150" s="7" t="str">
        <f>CONCATENATE("[",TEXT(Show!A150,"#.0#"),":",TEXT(Show!B150,"#.0#"),"][",TEXT(Show!E150,"#.0#"),":",TEXT(Show!F150,"#.0#"),"]")</f>
        <v>[:][:]</v>
      </c>
    </row>
    <row r="151" spans="1:10" hidden="1" x14ac:dyDescent="0.25">
      <c r="A151" s="40" t="str">
        <f>IFERROR(IF(Calc!E151&lt;=$C$4,Calc!D151,""),"")</f>
        <v/>
      </c>
      <c r="B151" s="40" t="str">
        <f>IFERROR(IF(Calc!E151&lt;=$C$4,CONCATENATE(TEXT(Calc!C151,"#0.000#")," || ",TEXT(INDEX(Calc!L151:P151,$B$4),"#0.000#")),""),"")</f>
        <v/>
      </c>
      <c r="C151" s="41" t="str">
        <f>IFERROR(IF(Calc!E151&lt;=$C$4,Calc!E151,""),"")</f>
        <v/>
      </c>
      <c r="D151" s="33" t="str">
        <f>IFERROR(IF(Calc!E151&lt;=$D$4,"Nice",""),"")</f>
        <v/>
      </c>
      <c r="E151" s="40" t="str">
        <f>IFERROR(IF(Calc!J151&lt;=$C$4,Calc!I151,""),"")</f>
        <v/>
      </c>
      <c r="F151" s="40" t="str">
        <f>IFERROR(IF(Calc!J151&lt;=$C$4,CONCATENATE(TEXT(Calc!H151,"#0.000#")," + ",TEXT(INDEX(Calc!L151:P151,$B$4),"#0.000#")),""),"")</f>
        <v/>
      </c>
      <c r="G151" s="41" t="str">
        <f>IFERROR(IF(Calc!J151&lt;=$C$4,Calc!J151,""),"")</f>
        <v/>
      </c>
      <c r="H151" s="33" t="str">
        <f>IFERROR(IF(Calc!J151&lt;=$D$4,"Nice",""),"")</f>
        <v/>
      </c>
      <c r="J151" s="7" t="str">
        <f>CONCATENATE("[",TEXT(Show!A151,"#.0#"),":",TEXT(Show!B151,"#.0#"),"][",TEXT(Show!E151,"#.0#"),":",TEXT(Show!F151,"#.0#"),"]")</f>
        <v>[:][:]</v>
      </c>
    </row>
    <row r="152" spans="1:10" hidden="1" x14ac:dyDescent="0.25">
      <c r="A152" s="40" t="str">
        <f>IFERROR(IF(Calc!E152&lt;=$C$4,Calc!D152,""),"")</f>
        <v/>
      </c>
      <c r="B152" s="40" t="str">
        <f>IFERROR(IF(Calc!E152&lt;=$C$4,CONCATENATE(TEXT(Calc!C152,"#0.000#")," || ",TEXT(INDEX(Calc!L152:P152,$B$4),"#0.000#")),""),"")</f>
        <v/>
      </c>
      <c r="C152" s="41" t="str">
        <f>IFERROR(IF(Calc!E152&lt;=$C$4,Calc!E152,""),"")</f>
        <v/>
      </c>
      <c r="D152" s="33" t="str">
        <f>IFERROR(IF(Calc!E152&lt;=$D$4,"Nice",""),"")</f>
        <v/>
      </c>
      <c r="E152" s="40" t="str">
        <f>IFERROR(IF(Calc!J152&lt;=$C$4,Calc!I152,""),"")</f>
        <v/>
      </c>
      <c r="F152" s="40" t="str">
        <f>IFERROR(IF(Calc!J152&lt;=$C$4,CONCATENATE(TEXT(Calc!H152,"#0.000#")," + ",TEXT(INDEX(Calc!L152:P152,$B$4),"#0.000#")),""),"")</f>
        <v/>
      </c>
      <c r="G152" s="41" t="str">
        <f>IFERROR(IF(Calc!J152&lt;=$C$4,Calc!J152,""),"")</f>
        <v/>
      </c>
      <c r="H152" s="33" t="str">
        <f>IFERROR(IF(Calc!J152&lt;=$D$4,"Nice",""),"")</f>
        <v/>
      </c>
      <c r="J152" s="7" t="str">
        <f>CONCATENATE("[",TEXT(Show!A152,"#.0#"),":",TEXT(Show!B152,"#.0#"),"][",TEXT(Show!E152,"#.0#"),":",TEXT(Show!F152,"#.0#"),"]")</f>
        <v>[:][:]</v>
      </c>
    </row>
    <row r="153" spans="1:10" hidden="1" x14ac:dyDescent="0.25">
      <c r="A153" s="40" t="str">
        <f>IFERROR(IF(Calc!E153&lt;=$C$4,Calc!D153,""),"")</f>
        <v/>
      </c>
      <c r="B153" s="40" t="str">
        <f>IFERROR(IF(Calc!E153&lt;=$C$4,CONCATENATE(TEXT(Calc!C153,"#0.000#")," || ",TEXT(INDEX(Calc!L153:P153,$B$4),"#0.000#")),""),"")</f>
        <v/>
      </c>
      <c r="C153" s="41" t="str">
        <f>IFERROR(IF(Calc!E153&lt;=$C$4,Calc!E153,""),"")</f>
        <v/>
      </c>
      <c r="D153" s="33" t="str">
        <f>IFERROR(IF(Calc!E153&lt;=$D$4,"Nice",""),"")</f>
        <v/>
      </c>
      <c r="E153" s="40" t="str">
        <f>IFERROR(IF(Calc!J153&lt;=$C$4,Calc!I153,""),"")</f>
        <v/>
      </c>
      <c r="F153" s="40" t="str">
        <f>IFERROR(IF(Calc!J153&lt;=$C$4,CONCATENATE(TEXT(Calc!H153,"#0.000#")," + ",TEXT(INDEX(Calc!L153:P153,$B$4),"#0.000#")),""),"")</f>
        <v/>
      </c>
      <c r="G153" s="41" t="str">
        <f>IFERROR(IF(Calc!J153&lt;=$C$4,Calc!J153,""),"")</f>
        <v/>
      </c>
      <c r="H153" s="33" t="str">
        <f>IFERROR(IF(Calc!J153&lt;=$D$4,"Nice",""),"")</f>
        <v/>
      </c>
      <c r="J153" s="7" t="str">
        <f>CONCATENATE("[",TEXT(Show!A153,"#.0#"),":",TEXT(Show!B153,"#.0#"),"][",TEXT(Show!E153,"#.0#"),":",TEXT(Show!F153,"#.0#"),"]")</f>
        <v>[:][:]</v>
      </c>
    </row>
    <row r="154" spans="1:10" hidden="1" x14ac:dyDescent="0.25">
      <c r="A154" s="40" t="str">
        <f>IFERROR(IF(Calc!E154&lt;=$C$4,Calc!D154,""),"")</f>
        <v/>
      </c>
      <c r="B154" s="40" t="str">
        <f>IFERROR(IF(Calc!E154&lt;=$C$4,CONCATENATE(TEXT(Calc!C154,"#0.000#")," || ",TEXT(INDEX(Calc!L154:P154,$B$4),"#0.000#")),""),"")</f>
        <v/>
      </c>
      <c r="C154" s="41" t="str">
        <f>IFERROR(IF(Calc!E154&lt;=$C$4,Calc!E154,""),"")</f>
        <v/>
      </c>
      <c r="D154" s="33" t="str">
        <f>IFERROR(IF(Calc!E154&lt;=$D$4,"Nice",""),"")</f>
        <v/>
      </c>
      <c r="E154" s="40" t="str">
        <f>IFERROR(IF(Calc!J154&lt;=$C$4,Calc!I154,""),"")</f>
        <v/>
      </c>
      <c r="F154" s="40" t="str">
        <f>IFERROR(IF(Calc!J154&lt;=$C$4,CONCATENATE(TEXT(Calc!H154,"#0.000#")," + ",TEXT(INDEX(Calc!L154:P154,$B$4),"#0.000#")),""),"")</f>
        <v/>
      </c>
      <c r="G154" s="41" t="str">
        <f>IFERROR(IF(Calc!J154&lt;=$C$4,Calc!J154,""),"")</f>
        <v/>
      </c>
      <c r="H154" s="33" t="str">
        <f>IFERROR(IF(Calc!J154&lt;=$D$4,"Nice",""),"")</f>
        <v/>
      </c>
      <c r="J154" s="7" t="str">
        <f>CONCATENATE("[",TEXT(Show!A154,"#.0#"),":",TEXT(Show!B154,"#.0#"),"][",TEXT(Show!E154,"#.0#"),":",TEXT(Show!F154,"#.0#"),"]")</f>
        <v>[:][:]</v>
      </c>
    </row>
    <row r="155" spans="1:10" hidden="1" x14ac:dyDescent="0.25">
      <c r="A155" s="40" t="str">
        <f>IFERROR(IF(Calc!E155&lt;=$C$4,Calc!D155,""),"")</f>
        <v/>
      </c>
      <c r="B155" s="40" t="str">
        <f>IFERROR(IF(Calc!E155&lt;=$C$4,CONCATENATE(TEXT(Calc!C155,"#0.000#")," || ",TEXT(INDEX(Calc!L155:P155,$B$4),"#0.000#")),""),"")</f>
        <v/>
      </c>
      <c r="C155" s="41" t="str">
        <f>IFERROR(IF(Calc!E155&lt;=$C$4,Calc!E155,""),"")</f>
        <v/>
      </c>
      <c r="D155" s="33" t="str">
        <f>IFERROR(IF(Calc!E155&lt;=$D$4,"Nice",""),"")</f>
        <v/>
      </c>
      <c r="E155" s="40" t="str">
        <f>IFERROR(IF(Calc!J155&lt;=$C$4,Calc!I155,""),"")</f>
        <v/>
      </c>
      <c r="F155" s="40" t="str">
        <f>IFERROR(IF(Calc!J155&lt;=$C$4,CONCATENATE(TEXT(Calc!H155,"#0.000#")," + ",TEXT(INDEX(Calc!L155:P155,$B$4),"#0.000#")),""),"")</f>
        <v/>
      </c>
      <c r="G155" s="41" t="str">
        <f>IFERROR(IF(Calc!J155&lt;=$C$4,Calc!J155,""),"")</f>
        <v/>
      </c>
      <c r="H155" s="33" t="str">
        <f>IFERROR(IF(Calc!J155&lt;=$D$4,"Nice",""),"")</f>
        <v/>
      </c>
      <c r="J155" s="7" t="str">
        <f>CONCATENATE("[",TEXT(Show!A155,"#.0#"),":",TEXT(Show!B155,"#.0#"),"][",TEXT(Show!E155,"#.0#"),":",TEXT(Show!F155,"#.0#"),"]")</f>
        <v>[:][:]</v>
      </c>
    </row>
    <row r="156" spans="1:10" hidden="1" x14ac:dyDescent="0.25">
      <c r="A156" s="40" t="str">
        <f>IFERROR(IF(Calc!E156&lt;=$C$4,Calc!D156,""),"")</f>
        <v/>
      </c>
      <c r="B156" s="40" t="str">
        <f>IFERROR(IF(Calc!E156&lt;=$C$4,CONCATENATE(TEXT(Calc!C156,"#0.000#")," || ",TEXT(INDEX(Calc!L156:P156,$B$4),"#0.000#")),""),"")</f>
        <v/>
      </c>
      <c r="C156" s="41" t="str">
        <f>IFERROR(IF(Calc!E156&lt;=$C$4,Calc!E156,""),"")</f>
        <v/>
      </c>
      <c r="D156" s="33" t="str">
        <f>IFERROR(IF(Calc!E156&lt;=$D$4,"Nice",""),"")</f>
        <v/>
      </c>
      <c r="E156" s="40" t="str">
        <f>IFERROR(IF(Calc!J156&lt;=$C$4,Calc!I156,""),"")</f>
        <v/>
      </c>
      <c r="F156" s="40" t="str">
        <f>IFERROR(IF(Calc!J156&lt;=$C$4,CONCATENATE(TEXT(Calc!H156,"#0.000#")," + ",TEXT(INDEX(Calc!L156:P156,$B$4),"#0.000#")),""),"")</f>
        <v/>
      </c>
      <c r="G156" s="41" t="str">
        <f>IFERROR(IF(Calc!J156&lt;=$C$4,Calc!J156,""),"")</f>
        <v/>
      </c>
      <c r="H156" s="33" t="str">
        <f>IFERROR(IF(Calc!J156&lt;=$D$4,"Nice",""),"")</f>
        <v/>
      </c>
      <c r="J156" s="7" t="str">
        <f>CONCATENATE("[",TEXT(Show!A156,"#.0#"),":",TEXT(Show!B156,"#.0#"),"][",TEXT(Show!E156,"#.0#"),":",TEXT(Show!F156,"#.0#"),"]")</f>
        <v>[:][:]</v>
      </c>
    </row>
    <row r="157" spans="1:10" hidden="1" x14ac:dyDescent="0.25">
      <c r="A157" s="40" t="str">
        <f>IFERROR(IF(Calc!E157&lt;=$C$4,Calc!D157,""),"")</f>
        <v/>
      </c>
      <c r="B157" s="40" t="str">
        <f>IFERROR(IF(Calc!E157&lt;=$C$4,CONCATENATE(TEXT(Calc!C157,"#0.000#")," || ",TEXT(INDEX(Calc!L157:P157,$B$4),"#0.000#")),""),"")</f>
        <v/>
      </c>
      <c r="C157" s="41" t="str">
        <f>IFERROR(IF(Calc!E157&lt;=$C$4,Calc!E157,""),"")</f>
        <v/>
      </c>
      <c r="D157" s="33" t="str">
        <f>IFERROR(IF(Calc!E157&lt;=$D$4,"Nice",""),"")</f>
        <v/>
      </c>
      <c r="E157" s="40" t="str">
        <f>IFERROR(IF(Calc!J157&lt;=$C$4,Calc!I157,""),"")</f>
        <v/>
      </c>
      <c r="F157" s="40" t="str">
        <f>IFERROR(IF(Calc!J157&lt;=$C$4,CONCATENATE(TEXT(Calc!H157,"#0.000#")," + ",TEXT(INDEX(Calc!L157:P157,$B$4),"#0.000#")),""),"")</f>
        <v/>
      </c>
      <c r="G157" s="41" t="str">
        <f>IFERROR(IF(Calc!J157&lt;=$C$4,Calc!J157,""),"")</f>
        <v/>
      </c>
      <c r="H157" s="33" t="str">
        <f>IFERROR(IF(Calc!J157&lt;=$D$4,"Nice",""),"")</f>
        <v/>
      </c>
      <c r="J157" s="7" t="str">
        <f>CONCATENATE("[",TEXT(Show!A157,"#.0#"),":",TEXT(Show!B157,"#.0#"),"][",TEXT(Show!E157,"#.0#"),":",TEXT(Show!F157,"#.0#"),"]")</f>
        <v>[:][:]</v>
      </c>
    </row>
    <row r="158" spans="1:10" hidden="1" x14ac:dyDescent="0.25">
      <c r="A158" s="40" t="str">
        <f>IFERROR(IF(Calc!E158&lt;=$C$4,Calc!D158,""),"")</f>
        <v/>
      </c>
      <c r="B158" s="40" t="str">
        <f>IFERROR(IF(Calc!E158&lt;=$C$4,CONCATENATE(TEXT(Calc!C158,"#0.000#")," || ",TEXT(INDEX(Calc!L158:P158,$B$4),"#0.000#")),""),"")</f>
        <v/>
      </c>
      <c r="C158" s="41" t="str">
        <f>IFERROR(IF(Calc!E158&lt;=$C$4,Calc!E158,""),"")</f>
        <v/>
      </c>
      <c r="D158" s="33" t="str">
        <f>IFERROR(IF(Calc!E158&lt;=$D$4,"Nice",""),"")</f>
        <v/>
      </c>
      <c r="E158" s="40" t="str">
        <f>IFERROR(IF(Calc!J158&lt;=$C$4,Calc!I158,""),"")</f>
        <v/>
      </c>
      <c r="F158" s="40" t="str">
        <f>IFERROR(IF(Calc!J158&lt;=$C$4,CONCATENATE(TEXT(Calc!H158,"#0.000#")," + ",TEXT(INDEX(Calc!L158:P158,$B$4),"#0.000#")),""),"")</f>
        <v/>
      </c>
      <c r="G158" s="41" t="str">
        <f>IFERROR(IF(Calc!J158&lt;=$C$4,Calc!J158,""),"")</f>
        <v/>
      </c>
      <c r="H158" s="33" t="str">
        <f>IFERROR(IF(Calc!J158&lt;=$D$4,"Nice",""),"")</f>
        <v/>
      </c>
      <c r="J158" s="7" t="str">
        <f>CONCATENATE("[",TEXT(Show!A158,"#.0#"),":",TEXT(Show!B158,"#.0#"),"][",TEXT(Show!E158,"#.0#"),":",TEXT(Show!F158,"#.0#"),"]")</f>
        <v>[:][:]</v>
      </c>
    </row>
    <row r="159" spans="1:10" hidden="1" x14ac:dyDescent="0.25">
      <c r="A159" s="40" t="str">
        <f>IFERROR(IF(Calc!E159&lt;=$C$4,Calc!D159,""),"")</f>
        <v/>
      </c>
      <c r="B159" s="40" t="str">
        <f>IFERROR(IF(Calc!E159&lt;=$C$4,CONCATENATE(TEXT(Calc!C159,"#0.000#")," || ",TEXT(INDEX(Calc!L159:P159,$B$4),"#0.000#")),""),"")</f>
        <v/>
      </c>
      <c r="C159" s="41" t="str">
        <f>IFERROR(IF(Calc!E159&lt;=$C$4,Calc!E159,""),"")</f>
        <v/>
      </c>
      <c r="D159" s="33" t="str">
        <f>IFERROR(IF(Calc!E159&lt;=$D$4,"Nice",""),"")</f>
        <v/>
      </c>
      <c r="E159" s="40" t="str">
        <f>IFERROR(IF(Calc!J159&lt;=$C$4,Calc!I159,""),"")</f>
        <v/>
      </c>
      <c r="F159" s="40" t="str">
        <f>IFERROR(IF(Calc!J159&lt;=$C$4,CONCATENATE(TEXT(Calc!H159,"#0.000#")," + ",TEXT(INDEX(Calc!L159:P159,$B$4),"#0.000#")),""),"")</f>
        <v/>
      </c>
      <c r="G159" s="41" t="str">
        <f>IFERROR(IF(Calc!J159&lt;=$C$4,Calc!J159,""),"")</f>
        <v/>
      </c>
      <c r="H159" s="33" t="str">
        <f>IFERROR(IF(Calc!J159&lt;=$D$4,"Nice",""),"")</f>
        <v/>
      </c>
      <c r="J159" s="7" t="str">
        <f>CONCATENATE("[",TEXT(Show!A159,"#.0#"),":",TEXT(Show!B159,"#.0#"),"][",TEXT(Show!E159,"#.0#"),":",TEXT(Show!F159,"#.0#"),"]")</f>
        <v>[:][:]</v>
      </c>
    </row>
    <row r="160" spans="1:10" hidden="1" x14ac:dyDescent="0.25">
      <c r="A160" s="40" t="str">
        <f>IFERROR(IF(Calc!E160&lt;=$C$4,Calc!D160,""),"")</f>
        <v/>
      </c>
      <c r="B160" s="40" t="str">
        <f>IFERROR(IF(Calc!E160&lt;=$C$4,CONCATENATE(TEXT(Calc!C160,"#0.000#")," || ",TEXT(INDEX(Calc!L160:P160,$B$4),"#0.000#")),""),"")</f>
        <v/>
      </c>
      <c r="C160" s="41" t="str">
        <f>IFERROR(IF(Calc!E160&lt;=$C$4,Calc!E160,""),"")</f>
        <v/>
      </c>
      <c r="D160" s="33" t="str">
        <f>IFERROR(IF(Calc!E160&lt;=$D$4,"Nice",""),"")</f>
        <v/>
      </c>
      <c r="E160" s="40" t="str">
        <f>IFERROR(IF(Calc!J160&lt;=$C$4,Calc!I160,""),"")</f>
        <v/>
      </c>
      <c r="F160" s="40" t="str">
        <f>IFERROR(IF(Calc!J160&lt;=$C$4,CONCATENATE(TEXT(Calc!H160,"#0.000#")," + ",TEXT(INDEX(Calc!L160:P160,$B$4),"#0.000#")),""),"")</f>
        <v/>
      </c>
      <c r="G160" s="41" t="str">
        <f>IFERROR(IF(Calc!J160&lt;=$C$4,Calc!J160,""),"")</f>
        <v/>
      </c>
      <c r="H160" s="33" t="str">
        <f>IFERROR(IF(Calc!J160&lt;=$D$4,"Nice",""),"")</f>
        <v/>
      </c>
      <c r="J160" s="7" t="str">
        <f>CONCATENATE("[",TEXT(Show!A160,"#.0#"),":",TEXT(Show!B160,"#.0#"),"][",TEXT(Show!E160,"#.0#"),":",TEXT(Show!F160,"#.0#"),"]")</f>
        <v>[:][:]</v>
      </c>
    </row>
    <row r="161" spans="1:10" hidden="1" x14ac:dyDescent="0.25">
      <c r="A161" s="40" t="str">
        <f>IFERROR(IF(Calc!E161&lt;=$C$4,Calc!D161,""),"")</f>
        <v/>
      </c>
      <c r="B161" s="40" t="str">
        <f>IFERROR(IF(Calc!E161&lt;=$C$4,CONCATENATE(TEXT(Calc!C161,"#0.000#")," || ",TEXT(INDEX(Calc!L161:P161,$B$4),"#0.000#")),""),"")</f>
        <v/>
      </c>
      <c r="C161" s="41" t="str">
        <f>IFERROR(IF(Calc!E161&lt;=$C$4,Calc!E161,""),"")</f>
        <v/>
      </c>
      <c r="D161" s="33" t="str">
        <f>IFERROR(IF(Calc!E161&lt;=$D$4,"Nice",""),"")</f>
        <v/>
      </c>
      <c r="E161" s="40" t="str">
        <f>IFERROR(IF(Calc!J161&lt;=$C$4,Calc!I161,""),"")</f>
        <v/>
      </c>
      <c r="F161" s="40" t="str">
        <f>IFERROR(IF(Calc!J161&lt;=$C$4,CONCATENATE(TEXT(Calc!H161,"#0.000#")," + ",TEXT(INDEX(Calc!L161:P161,$B$4),"#0.000#")),""),"")</f>
        <v/>
      </c>
      <c r="G161" s="41" t="str">
        <f>IFERROR(IF(Calc!J161&lt;=$C$4,Calc!J161,""),"")</f>
        <v/>
      </c>
      <c r="H161" s="33" t="str">
        <f>IFERROR(IF(Calc!J161&lt;=$D$4,"Nice",""),"")</f>
        <v/>
      </c>
      <c r="J161" s="7" t="str">
        <f>CONCATENATE("[",TEXT(Show!A161,"#.0#"),":",TEXT(Show!B161,"#.0#"),"][",TEXT(Show!E161,"#.0#"),":",TEXT(Show!F161,"#.0#"),"]")</f>
        <v>[:][:]</v>
      </c>
    </row>
    <row r="162" spans="1:10" hidden="1" x14ac:dyDescent="0.25">
      <c r="A162" s="40" t="str">
        <f>IFERROR(IF(Calc!E162&lt;=$C$4,Calc!D162,""),"")</f>
        <v/>
      </c>
      <c r="B162" s="40" t="str">
        <f>IFERROR(IF(Calc!E162&lt;=$C$4,CONCATENATE(TEXT(Calc!C162,"#0.000#")," || ",TEXT(INDEX(Calc!L162:P162,$B$4),"#0.000#")),""),"")</f>
        <v/>
      </c>
      <c r="C162" s="41" t="str">
        <f>IFERROR(IF(Calc!E162&lt;=$C$4,Calc!E162,""),"")</f>
        <v/>
      </c>
      <c r="D162" s="33" t="str">
        <f>IFERROR(IF(Calc!E162&lt;=$D$4,"Nice",""),"")</f>
        <v/>
      </c>
      <c r="E162" s="40" t="str">
        <f>IFERROR(IF(Calc!J162&lt;=$C$4,Calc!I162,""),"")</f>
        <v/>
      </c>
      <c r="F162" s="40" t="str">
        <f>IFERROR(IF(Calc!J162&lt;=$C$4,CONCATENATE(TEXT(Calc!H162,"#0.000#")," + ",TEXT(INDEX(Calc!L162:P162,$B$4),"#0.000#")),""),"")</f>
        <v/>
      </c>
      <c r="G162" s="41" t="str">
        <f>IFERROR(IF(Calc!J162&lt;=$C$4,Calc!J162,""),"")</f>
        <v/>
      </c>
      <c r="H162" s="33" t="str">
        <f>IFERROR(IF(Calc!J162&lt;=$D$4,"Nice",""),"")</f>
        <v/>
      </c>
      <c r="J162" s="7" t="str">
        <f>CONCATENATE("[",TEXT(Show!A162,"#.0#"),":",TEXT(Show!B162,"#.0#"),"][",TEXT(Show!E162,"#.0#"),":",TEXT(Show!F162,"#.0#"),"]")</f>
        <v>[:][:]</v>
      </c>
    </row>
    <row r="163" spans="1:10" hidden="1" x14ac:dyDescent="0.25">
      <c r="A163" s="40" t="str">
        <f>IFERROR(IF(Calc!E163&lt;=$C$4,Calc!D163,""),"")</f>
        <v/>
      </c>
      <c r="B163" s="40" t="str">
        <f>IFERROR(IF(Calc!E163&lt;=$C$4,CONCATENATE(TEXT(Calc!C163,"#0.000#")," || ",TEXT(INDEX(Calc!L163:P163,$B$4),"#0.000#")),""),"")</f>
        <v/>
      </c>
      <c r="C163" s="41" t="str">
        <f>IFERROR(IF(Calc!E163&lt;=$C$4,Calc!E163,""),"")</f>
        <v/>
      </c>
      <c r="D163" s="33" t="str">
        <f>IFERROR(IF(Calc!E163&lt;=$D$4,"Nice",""),"")</f>
        <v/>
      </c>
      <c r="E163" s="40" t="str">
        <f>IFERROR(IF(Calc!J163&lt;=$C$4,Calc!I163,""),"")</f>
        <v/>
      </c>
      <c r="F163" s="40" t="str">
        <f>IFERROR(IF(Calc!J163&lt;=$C$4,CONCATENATE(TEXT(Calc!H163,"#0.000#")," + ",TEXT(INDEX(Calc!L163:P163,$B$4),"#0.000#")),""),"")</f>
        <v/>
      </c>
      <c r="G163" s="41" t="str">
        <f>IFERROR(IF(Calc!J163&lt;=$C$4,Calc!J163,""),"")</f>
        <v/>
      </c>
      <c r="H163" s="33" t="str">
        <f>IFERROR(IF(Calc!J163&lt;=$D$4,"Nice",""),"")</f>
        <v/>
      </c>
      <c r="J163" s="7" t="str">
        <f>CONCATENATE("[",TEXT(Show!A163,"#.0#"),":",TEXT(Show!B163,"#.0#"),"][",TEXT(Show!E163,"#.0#"),":",TEXT(Show!F163,"#.0#"),"]")</f>
        <v>[:][:]</v>
      </c>
    </row>
    <row r="164" spans="1:10" hidden="1" x14ac:dyDescent="0.25">
      <c r="A164" s="40" t="str">
        <f>IFERROR(IF(Calc!E164&lt;=$C$4,Calc!D164,""),"")</f>
        <v/>
      </c>
      <c r="B164" s="40" t="str">
        <f>IFERROR(IF(Calc!E164&lt;=$C$4,CONCATENATE(TEXT(Calc!C164,"#0.000#")," || ",TEXT(INDEX(Calc!L164:P164,$B$4),"#0.000#")),""),"")</f>
        <v/>
      </c>
      <c r="C164" s="41" t="str">
        <f>IFERROR(IF(Calc!E164&lt;=$C$4,Calc!E164,""),"")</f>
        <v/>
      </c>
      <c r="D164" s="33" t="str">
        <f>IFERROR(IF(Calc!E164&lt;=$D$4,"Nice",""),"")</f>
        <v/>
      </c>
      <c r="E164" s="40" t="str">
        <f>IFERROR(IF(Calc!J164&lt;=$C$4,Calc!I164,""),"")</f>
        <v/>
      </c>
      <c r="F164" s="40" t="str">
        <f>IFERROR(IF(Calc!J164&lt;=$C$4,CONCATENATE(TEXT(Calc!H164,"#0.000#")," + ",TEXT(INDEX(Calc!L164:P164,$B$4),"#0.000#")),""),"")</f>
        <v/>
      </c>
      <c r="G164" s="41" t="str">
        <f>IFERROR(IF(Calc!J164&lt;=$C$4,Calc!J164,""),"")</f>
        <v/>
      </c>
      <c r="H164" s="33" t="str">
        <f>IFERROR(IF(Calc!J164&lt;=$D$4,"Nice",""),"")</f>
        <v/>
      </c>
      <c r="J164" s="7" t="str">
        <f>CONCATENATE("[",TEXT(Show!A164,"#.0#"),":",TEXT(Show!B164,"#.0#"),"][",TEXT(Show!E164,"#.0#"),":",TEXT(Show!F164,"#.0#"),"]")</f>
        <v>[:][:]</v>
      </c>
    </row>
    <row r="165" spans="1:10" hidden="1" x14ac:dyDescent="0.25">
      <c r="A165" s="40" t="str">
        <f>IFERROR(IF(Calc!E165&lt;=$C$4,Calc!D165,""),"")</f>
        <v/>
      </c>
      <c r="B165" s="40" t="str">
        <f>IFERROR(IF(Calc!E165&lt;=$C$4,CONCATENATE(TEXT(Calc!C165,"#0.000#")," || ",TEXT(INDEX(Calc!L165:P165,$B$4),"#0.000#")),""),"")</f>
        <v/>
      </c>
      <c r="C165" s="41" t="str">
        <f>IFERROR(IF(Calc!E165&lt;=$C$4,Calc!E165,""),"")</f>
        <v/>
      </c>
      <c r="D165" s="33" t="str">
        <f>IFERROR(IF(Calc!E165&lt;=$D$4,"Nice",""),"")</f>
        <v/>
      </c>
      <c r="E165" s="40" t="str">
        <f>IFERROR(IF(Calc!J165&lt;=$C$4,Calc!I165,""),"")</f>
        <v/>
      </c>
      <c r="F165" s="40" t="str">
        <f>IFERROR(IF(Calc!J165&lt;=$C$4,CONCATENATE(TEXT(Calc!H165,"#0.000#")," + ",TEXT(INDEX(Calc!L165:P165,$B$4),"#0.000#")),""),"")</f>
        <v/>
      </c>
      <c r="G165" s="41" t="str">
        <f>IFERROR(IF(Calc!J165&lt;=$C$4,Calc!J165,""),"")</f>
        <v/>
      </c>
      <c r="H165" s="33" t="str">
        <f>IFERROR(IF(Calc!J165&lt;=$D$4,"Nice",""),"")</f>
        <v/>
      </c>
      <c r="J165" s="7" t="str">
        <f>CONCATENATE("[",TEXT(Show!A165,"#.0#"),":",TEXT(Show!B165,"#.0#"),"][",TEXT(Show!E165,"#.0#"),":",TEXT(Show!F165,"#.0#"),"]")</f>
        <v>[:][:]</v>
      </c>
    </row>
    <row r="166" spans="1:10" hidden="1" x14ac:dyDescent="0.25">
      <c r="A166" s="40" t="str">
        <f>IFERROR(IF(Calc!E166&lt;=$C$4,Calc!D166,""),"")</f>
        <v/>
      </c>
      <c r="B166" s="40" t="str">
        <f>IFERROR(IF(Calc!E166&lt;=$C$4,CONCATENATE(TEXT(Calc!C166,"#0.000#")," || ",TEXT(INDEX(Calc!L166:P166,$B$4),"#0.000#")),""),"")</f>
        <v/>
      </c>
      <c r="C166" s="41" t="str">
        <f>IFERROR(IF(Calc!E166&lt;=$C$4,Calc!E166,""),"")</f>
        <v/>
      </c>
      <c r="D166" s="33" t="str">
        <f>IFERROR(IF(Calc!E166&lt;=$D$4,"Nice",""),"")</f>
        <v/>
      </c>
      <c r="E166" s="40" t="str">
        <f>IFERROR(IF(Calc!J166&lt;=$C$4,Calc!I166,""),"")</f>
        <v/>
      </c>
      <c r="F166" s="40" t="str">
        <f>IFERROR(IF(Calc!J166&lt;=$C$4,CONCATENATE(TEXT(Calc!H166,"#0.000#")," + ",TEXT(INDEX(Calc!L166:P166,$B$4),"#0.000#")),""),"")</f>
        <v/>
      </c>
      <c r="G166" s="41" t="str">
        <f>IFERROR(IF(Calc!J166&lt;=$C$4,Calc!J166,""),"")</f>
        <v/>
      </c>
      <c r="H166" s="33" t="str">
        <f>IFERROR(IF(Calc!J166&lt;=$D$4,"Nice",""),"")</f>
        <v/>
      </c>
      <c r="J166" s="7" t="str">
        <f>CONCATENATE("[",TEXT(Show!A166,"#.0#"),":",TEXT(Show!B166,"#.0#"),"][",TEXT(Show!E166,"#.0#"),":",TEXT(Show!F166,"#.0#"),"]")</f>
        <v>[:][:]</v>
      </c>
    </row>
    <row r="167" spans="1:10" hidden="1" x14ac:dyDescent="0.25">
      <c r="A167" s="40" t="str">
        <f>IFERROR(IF(Calc!E167&lt;=$C$4,Calc!D167,""),"")</f>
        <v/>
      </c>
      <c r="B167" s="40" t="str">
        <f>IFERROR(IF(Calc!E167&lt;=$C$4,CONCATENATE(TEXT(Calc!C167,"#0.000#")," || ",TEXT(INDEX(Calc!L167:P167,$B$4),"#0.000#")),""),"")</f>
        <v/>
      </c>
      <c r="C167" s="41" t="str">
        <f>IFERROR(IF(Calc!E167&lt;=$C$4,Calc!E167,""),"")</f>
        <v/>
      </c>
      <c r="D167" s="33" t="str">
        <f>IFERROR(IF(Calc!E167&lt;=$D$4,"Nice",""),"")</f>
        <v/>
      </c>
      <c r="E167" s="40" t="str">
        <f>IFERROR(IF(Calc!J167&lt;=$C$4,Calc!I167,""),"")</f>
        <v/>
      </c>
      <c r="F167" s="40" t="str">
        <f>IFERROR(IF(Calc!J167&lt;=$C$4,CONCATENATE(TEXT(Calc!H167,"#0.000#")," + ",TEXT(INDEX(Calc!L167:P167,$B$4),"#0.000#")),""),"")</f>
        <v/>
      </c>
      <c r="G167" s="41" t="str">
        <f>IFERROR(IF(Calc!J167&lt;=$C$4,Calc!J167,""),"")</f>
        <v/>
      </c>
      <c r="H167" s="33" t="str">
        <f>IFERROR(IF(Calc!J167&lt;=$D$4,"Nice",""),"")</f>
        <v/>
      </c>
      <c r="J167" s="7" t="str">
        <f>CONCATENATE("[",TEXT(Show!A167,"#.0#"),":",TEXT(Show!B167,"#.0#"),"][",TEXT(Show!E167,"#.0#"),":",TEXT(Show!F167,"#.0#"),"]")</f>
        <v>[:][:]</v>
      </c>
    </row>
    <row r="168" spans="1:10" hidden="1" x14ac:dyDescent="0.25">
      <c r="A168" s="40" t="str">
        <f>IFERROR(IF(Calc!E168&lt;=$C$4,Calc!D168,""),"")</f>
        <v/>
      </c>
      <c r="B168" s="40" t="str">
        <f>IFERROR(IF(Calc!E168&lt;=$C$4,CONCATENATE(TEXT(Calc!C168,"#0.000#")," || ",TEXT(INDEX(Calc!L168:P168,$B$4),"#0.000#")),""),"")</f>
        <v/>
      </c>
      <c r="C168" s="41" t="str">
        <f>IFERROR(IF(Calc!E168&lt;=$C$4,Calc!E168,""),"")</f>
        <v/>
      </c>
      <c r="D168" s="33" t="str">
        <f>IFERROR(IF(Calc!E168&lt;=$D$4,"Nice",""),"")</f>
        <v/>
      </c>
      <c r="E168" s="40" t="str">
        <f>IFERROR(IF(Calc!J168&lt;=$C$4,Calc!I168,""),"")</f>
        <v/>
      </c>
      <c r="F168" s="40" t="str">
        <f>IFERROR(IF(Calc!J168&lt;=$C$4,CONCATENATE(TEXT(Calc!H168,"#0.000#")," + ",TEXT(INDEX(Calc!L168:P168,$B$4),"#0.000#")),""),"")</f>
        <v/>
      </c>
      <c r="G168" s="41" t="str">
        <f>IFERROR(IF(Calc!J168&lt;=$C$4,Calc!J168,""),"")</f>
        <v/>
      </c>
      <c r="H168" s="33" t="str">
        <f>IFERROR(IF(Calc!J168&lt;=$D$4,"Nice",""),"")</f>
        <v/>
      </c>
      <c r="J168" s="7" t="str">
        <f>CONCATENATE("[",TEXT(Show!A168,"#.0#"),":",TEXT(Show!B168,"#.0#"),"][",TEXT(Show!E168,"#.0#"),":",TEXT(Show!F168,"#.0#"),"]")</f>
        <v>[:][:]</v>
      </c>
    </row>
    <row r="169" spans="1:10" x14ac:dyDescent="0.25">
      <c r="A169" s="40" t="str">
        <f>IFERROR(IF(Calc!E169&lt;=$C$4,Calc!D169,""),"")</f>
        <v/>
      </c>
      <c r="B169" s="40" t="str">
        <f>IFERROR(IF(Calc!E169&lt;=$C$4,CONCATENATE(TEXT(Calc!C169,"#0.000#")," || ",TEXT(INDEX(Calc!L169:P169,$B$4),"#0.000#")),""),"")</f>
        <v/>
      </c>
      <c r="C169" s="41" t="str">
        <f>IFERROR(IF(Calc!E169&lt;=$C$4,Calc!E169,""),"")</f>
        <v/>
      </c>
      <c r="D169" s="33" t="str">
        <f>IFERROR(IF(Calc!E169&lt;=$D$4,"Nice",""),"")</f>
        <v/>
      </c>
      <c r="E169" s="40">
        <f>IFERROR(IF(Calc!J169&lt;=$C$4,Calc!I169,""),"")</f>
        <v>39.909999999999997</v>
      </c>
      <c r="F169" s="40" t="str">
        <f>IFERROR(IF(Calc!J169&lt;=$C$4,CONCATENATE(TEXT(Calc!H169,"#0.000#")," + ",TEXT(INDEX(Calc!L169:P169,$B$4),"#0.000#")),""),"")</f>
        <v>34.800 + 5.110</v>
      </c>
      <c r="G169" s="41">
        <f>IFERROR(IF(Calc!J169&lt;=$C$4,Calc!J169,""),"")</f>
        <v>0.22500000000000853</v>
      </c>
      <c r="H169" s="33" t="str">
        <f>IFERROR(IF(Calc!J169&lt;=$D$4,"Nice",""),"")</f>
        <v/>
      </c>
      <c r="J169" s="7" t="str">
        <f>CONCATENATE("[",TEXT(Show!A169,"#.0#"),":",TEXT(Show!B169,"#.0#"),"][",TEXT(Show!E169,"#.0#"),":",TEXT(Show!F169,"#.0#"),"]")</f>
        <v>[:][39.91:34.800 + 5.110]</v>
      </c>
    </row>
    <row r="170" spans="1:10" hidden="1" x14ac:dyDescent="0.25">
      <c r="A170" s="40" t="str">
        <f>IFERROR(IF(Calc!E170&lt;=$C$4,Calc!D170,""),"")</f>
        <v/>
      </c>
      <c r="B170" s="40" t="str">
        <f>IFERROR(IF(Calc!E170&lt;=$C$4,CONCATENATE(TEXT(Calc!C170,"#0.000#")," || ",TEXT(INDEX(Calc!L170:P170,$B$4),"#0.000#")),""),"")</f>
        <v/>
      </c>
      <c r="C170" s="41" t="str">
        <f>IFERROR(IF(Calc!E170&lt;=$C$4,Calc!E170,""),"")</f>
        <v/>
      </c>
      <c r="D170" s="33" t="str">
        <f>IFERROR(IF(Calc!E170&lt;=$D$4,"Nice",""),"")</f>
        <v/>
      </c>
      <c r="E170" s="40">
        <f>IFERROR(IF(Calc!J170&lt;=$C$4,Calc!I170,""),"")</f>
        <v>39.909999999999997</v>
      </c>
      <c r="F170" s="40" t="str">
        <f>IFERROR(IF(Calc!J170&lt;=$C$4,CONCATENATE(TEXT(Calc!H170,"#0.000#")," + ",TEXT(INDEX(Calc!L170:P170,$B$4),"#0.000#")),""),"")</f>
        <v>34.800 + 5.110</v>
      </c>
      <c r="G170" s="41">
        <f>IFERROR(IF(Calc!J170&lt;=$C$4,Calc!J170,""),"")</f>
        <v>0.22500000000000853</v>
      </c>
      <c r="H170" s="33" t="str">
        <f>IFERROR(IF(Calc!J170&lt;=$D$4,"Nice",""),"")</f>
        <v/>
      </c>
      <c r="J170" s="7" t="str">
        <f>CONCATENATE("[",TEXT(Show!A170,"#.0#"),":",TEXT(Show!B170,"#.0#"),"][",TEXT(Show!E170,"#.0#"),":",TEXT(Show!F170,"#.0#"),"]")</f>
        <v>[:][39.91:34.800 + 5.110]</v>
      </c>
    </row>
    <row r="171" spans="1:10" hidden="1" x14ac:dyDescent="0.25">
      <c r="A171" s="40" t="str">
        <f>IFERROR(IF(Calc!E171&lt;=$C$4,Calc!D171,""),"")</f>
        <v/>
      </c>
      <c r="B171" s="40" t="str">
        <f>IFERROR(IF(Calc!E171&lt;=$C$4,CONCATENATE(TEXT(Calc!C171,"#0.000#")," || ",TEXT(INDEX(Calc!L171:P171,$B$4),"#0.000#")),""),"")</f>
        <v/>
      </c>
      <c r="C171" s="41" t="str">
        <f>IFERROR(IF(Calc!E171&lt;=$C$4,Calc!E171,""),"")</f>
        <v/>
      </c>
      <c r="D171" s="33" t="str">
        <f>IFERROR(IF(Calc!E171&lt;=$D$4,"Nice",""),"")</f>
        <v/>
      </c>
      <c r="E171" s="40">
        <f>IFERROR(IF(Calc!J171&lt;=$C$4,Calc!I171,""),"")</f>
        <v>39.909999999999997</v>
      </c>
      <c r="F171" s="40" t="str">
        <f>IFERROR(IF(Calc!J171&lt;=$C$4,CONCATENATE(TEXT(Calc!H171,"#0.000#")," + ",TEXT(INDEX(Calc!L171:P171,$B$4),"#0.000#")),""),"")</f>
        <v>34.800 + 5.110</v>
      </c>
      <c r="G171" s="41">
        <f>IFERROR(IF(Calc!J171&lt;=$C$4,Calc!J171,""),"")</f>
        <v>0.22500000000000853</v>
      </c>
      <c r="H171" s="33" t="str">
        <f>IFERROR(IF(Calc!J171&lt;=$D$4,"Nice",""),"")</f>
        <v/>
      </c>
      <c r="J171" s="7" t="str">
        <f>CONCATENATE("[",TEXT(Show!A171,"#.0#"),":",TEXT(Show!B171,"#.0#"),"][",TEXT(Show!E171,"#.0#"),":",TEXT(Show!F171,"#.0#"),"]")</f>
        <v>[:][39.91:34.800 + 5.110]</v>
      </c>
    </row>
    <row r="172" spans="1:10" hidden="1" x14ac:dyDescent="0.25">
      <c r="A172" s="40" t="str">
        <f>IFERROR(IF(Calc!E172&lt;=$C$4,Calc!D172,""),"")</f>
        <v/>
      </c>
      <c r="B172" s="40" t="str">
        <f>IFERROR(IF(Calc!E172&lt;=$C$4,CONCATENATE(TEXT(Calc!C172,"#0.000#")," || ",TEXT(INDEX(Calc!L172:P172,$B$4),"#0.000#")),""),"")</f>
        <v/>
      </c>
      <c r="C172" s="41" t="str">
        <f>IFERROR(IF(Calc!E172&lt;=$C$4,Calc!E172,""),"")</f>
        <v/>
      </c>
      <c r="D172" s="33" t="str">
        <f>IFERROR(IF(Calc!E172&lt;=$D$4,"Nice",""),"")</f>
        <v/>
      </c>
      <c r="E172" s="40">
        <f>IFERROR(IF(Calc!J172&lt;=$C$4,Calc!I172,""),"")</f>
        <v>39.909999999999997</v>
      </c>
      <c r="F172" s="40" t="str">
        <f>IFERROR(IF(Calc!J172&lt;=$C$4,CONCATENATE(TEXT(Calc!H172,"#0.000#")," + ",TEXT(INDEX(Calc!L172:P172,$B$4),"#0.000#")),""),"")</f>
        <v>34.800 + 5.110</v>
      </c>
      <c r="G172" s="41">
        <f>IFERROR(IF(Calc!J172&lt;=$C$4,Calc!J172,""),"")</f>
        <v>0.22500000000000853</v>
      </c>
      <c r="H172" s="33" t="str">
        <f>IFERROR(IF(Calc!J172&lt;=$D$4,"Nice",""),"")</f>
        <v/>
      </c>
      <c r="J172" s="7" t="str">
        <f>CONCATENATE("[",TEXT(Show!A172,"#.0#"),":",TEXT(Show!B172,"#.0#"),"][",TEXT(Show!E172,"#.0#"),":",TEXT(Show!F172,"#.0#"),"]")</f>
        <v>[:][39.91:34.800 + 5.110]</v>
      </c>
    </row>
    <row r="173" spans="1:10" hidden="1" x14ac:dyDescent="0.25">
      <c r="A173" s="40" t="str">
        <f>IFERROR(IF(Calc!E173&lt;=$C$4,Calc!D173,""),"")</f>
        <v/>
      </c>
      <c r="B173" s="40" t="str">
        <f>IFERROR(IF(Calc!E173&lt;=$C$4,CONCATENATE(TEXT(Calc!C173,"#0.000#")," || ",TEXT(INDEX(Calc!L173:P173,$B$4),"#0.000#")),""),"")</f>
        <v/>
      </c>
      <c r="C173" s="41" t="str">
        <f>IFERROR(IF(Calc!E173&lt;=$C$4,Calc!E173,""),"")</f>
        <v/>
      </c>
      <c r="D173" s="33" t="str">
        <f>IFERROR(IF(Calc!E173&lt;=$D$4,"Nice",""),"")</f>
        <v/>
      </c>
      <c r="E173" s="40" t="str">
        <f>IFERROR(IF(Calc!J173&lt;=$C$4,Calc!I173,""),"")</f>
        <v/>
      </c>
      <c r="F173" s="40" t="str">
        <f>IFERROR(IF(Calc!J173&lt;=$C$4,CONCATENATE(TEXT(Calc!H173,"#0.000#")," + ",TEXT(INDEX(Calc!L173:P173,$B$4),"#0.000#")),""),"")</f>
        <v/>
      </c>
      <c r="G173" s="41" t="str">
        <f>IFERROR(IF(Calc!J173&lt;=$C$4,Calc!J173,""),"")</f>
        <v/>
      </c>
      <c r="H173" s="33" t="str">
        <f>IFERROR(IF(Calc!J173&lt;=$D$4,"Nice",""),"")</f>
        <v/>
      </c>
      <c r="J173" s="7" t="str">
        <f>CONCATENATE("[",TEXT(Show!A173,"#.0#"),":",TEXT(Show!B173,"#.0#"),"][",TEXT(Show!E173,"#.0#"),":",TEXT(Show!F173,"#.0#"),"]")</f>
        <v>[:][:]</v>
      </c>
    </row>
    <row r="174" spans="1:10" hidden="1" x14ac:dyDescent="0.25">
      <c r="A174" s="40" t="str">
        <f>IFERROR(IF(Calc!E174&lt;=$C$4,Calc!D174,""),"")</f>
        <v/>
      </c>
      <c r="B174" s="40" t="str">
        <f>IFERROR(IF(Calc!E174&lt;=$C$4,CONCATENATE(TEXT(Calc!C174,"#0.000#")," || ",TEXT(INDEX(Calc!L174:P174,$B$4),"#0.000#")),""),"")</f>
        <v/>
      </c>
      <c r="C174" s="41" t="str">
        <f>IFERROR(IF(Calc!E174&lt;=$C$4,Calc!E174,""),"")</f>
        <v/>
      </c>
      <c r="D174" s="33" t="str">
        <f>IFERROR(IF(Calc!E174&lt;=$D$4,"Nice",""),"")</f>
        <v/>
      </c>
      <c r="E174" s="40" t="str">
        <f>IFERROR(IF(Calc!J174&lt;=$C$4,Calc!I174,""),"")</f>
        <v/>
      </c>
      <c r="F174" s="40" t="str">
        <f>IFERROR(IF(Calc!J174&lt;=$C$4,CONCATENATE(TEXT(Calc!H174,"#0.000#")," + ",TEXT(INDEX(Calc!L174:P174,$B$4),"#0.000#")),""),"")</f>
        <v/>
      </c>
      <c r="G174" s="41" t="str">
        <f>IFERROR(IF(Calc!J174&lt;=$C$4,Calc!J174,""),"")</f>
        <v/>
      </c>
      <c r="H174" s="33" t="str">
        <f>IFERROR(IF(Calc!J174&lt;=$D$4,"Nice",""),"")</f>
        <v/>
      </c>
      <c r="J174" s="7" t="str">
        <f>CONCATENATE("[",TEXT(Show!A174,"#.0#"),":",TEXT(Show!B174,"#.0#"),"][",TEXT(Show!E174,"#.0#"),":",TEXT(Show!F174,"#.0#"),"]")</f>
        <v>[:][:]</v>
      </c>
    </row>
    <row r="175" spans="1:10" hidden="1" x14ac:dyDescent="0.25">
      <c r="A175" s="40" t="str">
        <f>IFERROR(IF(Calc!E175&lt;=$C$4,Calc!D175,""),"")</f>
        <v/>
      </c>
      <c r="B175" s="40" t="str">
        <f>IFERROR(IF(Calc!E175&lt;=$C$4,CONCATENATE(TEXT(Calc!C175,"#0.000#")," || ",TEXT(INDEX(Calc!L175:P175,$B$4),"#0.000#")),""),"")</f>
        <v/>
      </c>
      <c r="C175" s="41" t="str">
        <f>IFERROR(IF(Calc!E175&lt;=$C$4,Calc!E175,""),"")</f>
        <v/>
      </c>
      <c r="D175" s="33" t="str">
        <f>IFERROR(IF(Calc!E175&lt;=$D$4,"Nice",""),"")</f>
        <v/>
      </c>
      <c r="E175" s="40" t="str">
        <f>IFERROR(IF(Calc!J175&lt;=$C$4,Calc!I175,""),"")</f>
        <v/>
      </c>
      <c r="F175" s="40" t="str">
        <f>IFERROR(IF(Calc!J175&lt;=$C$4,CONCATENATE(TEXT(Calc!H175,"#0.000#")," + ",TEXT(INDEX(Calc!L175:P175,$B$4),"#0.000#")),""),"")</f>
        <v/>
      </c>
      <c r="G175" s="41" t="str">
        <f>IFERROR(IF(Calc!J175&lt;=$C$4,Calc!J175,""),"")</f>
        <v/>
      </c>
      <c r="H175" s="33" t="str">
        <f>IFERROR(IF(Calc!J175&lt;=$D$4,"Nice",""),"")</f>
        <v/>
      </c>
      <c r="J175" s="7" t="str">
        <f>CONCATENATE("[",TEXT(Show!A175,"#.0#"),":",TEXT(Show!B175,"#.0#"),"][",TEXT(Show!E175,"#.0#"),":",TEXT(Show!F175,"#.0#"),"]")</f>
        <v>[:][:]</v>
      </c>
    </row>
    <row r="176" spans="1:10" hidden="1" x14ac:dyDescent="0.25">
      <c r="A176" s="40" t="str">
        <f>IFERROR(IF(Calc!E176&lt;=$C$4,Calc!D176,""),"")</f>
        <v/>
      </c>
      <c r="B176" s="40" t="str">
        <f>IFERROR(IF(Calc!E176&lt;=$C$4,CONCATENATE(TEXT(Calc!C176,"#0.000#")," || ",TEXT(INDEX(Calc!L176:P176,$B$4),"#0.000#")),""),"")</f>
        <v/>
      </c>
      <c r="C176" s="41" t="str">
        <f>IFERROR(IF(Calc!E176&lt;=$C$4,Calc!E176,""),"")</f>
        <v/>
      </c>
      <c r="D176" s="33" t="str">
        <f>IFERROR(IF(Calc!E176&lt;=$D$4,"Nice",""),"")</f>
        <v/>
      </c>
      <c r="E176" s="40" t="str">
        <f>IFERROR(IF(Calc!J176&lt;=$C$4,Calc!I176,""),"")</f>
        <v/>
      </c>
      <c r="F176" s="40" t="str">
        <f>IFERROR(IF(Calc!J176&lt;=$C$4,CONCATENATE(TEXT(Calc!H176,"#0.000#")," + ",TEXT(INDEX(Calc!L176:P176,$B$4),"#0.000#")),""),"")</f>
        <v/>
      </c>
      <c r="G176" s="41" t="str">
        <f>IFERROR(IF(Calc!J176&lt;=$C$4,Calc!J176,""),"")</f>
        <v/>
      </c>
      <c r="H176" s="33" t="str">
        <f>IFERROR(IF(Calc!J176&lt;=$D$4,"Nice",""),"")</f>
        <v/>
      </c>
      <c r="J176" s="7" t="str">
        <f>CONCATENATE("[",TEXT(Show!A176,"#.0#"),":",TEXT(Show!B176,"#.0#"),"][",TEXT(Show!E176,"#.0#"),":",TEXT(Show!F176,"#.0#"),"]")</f>
        <v>[:][:]</v>
      </c>
    </row>
    <row r="177" spans="1:10" hidden="1" x14ac:dyDescent="0.25">
      <c r="A177" s="40" t="str">
        <f>IFERROR(IF(Calc!E177&lt;=$C$4,Calc!D177,""),"")</f>
        <v/>
      </c>
      <c r="B177" s="40" t="str">
        <f>IFERROR(IF(Calc!E177&lt;=$C$4,CONCATENATE(TEXT(Calc!C177,"#0.000#")," || ",TEXT(INDEX(Calc!L177:P177,$B$4),"#0.000#")),""),"")</f>
        <v/>
      </c>
      <c r="C177" s="41" t="str">
        <f>IFERROR(IF(Calc!E177&lt;=$C$4,Calc!E177,""),"")</f>
        <v/>
      </c>
      <c r="D177" s="33" t="str">
        <f>IFERROR(IF(Calc!E177&lt;=$D$4,"Nice",""),"")</f>
        <v/>
      </c>
      <c r="E177" s="40" t="str">
        <f>IFERROR(IF(Calc!J177&lt;=$C$4,Calc!I177,""),"")</f>
        <v/>
      </c>
      <c r="F177" s="40" t="str">
        <f>IFERROR(IF(Calc!J177&lt;=$C$4,CONCATENATE(TEXT(Calc!H177,"#0.000#")," + ",TEXT(INDEX(Calc!L177:P177,$B$4),"#0.000#")),""),"")</f>
        <v/>
      </c>
      <c r="G177" s="41" t="str">
        <f>IFERROR(IF(Calc!J177&lt;=$C$4,Calc!J177,""),"")</f>
        <v/>
      </c>
      <c r="H177" s="33" t="str">
        <f>IFERROR(IF(Calc!J177&lt;=$D$4,"Nice",""),"")</f>
        <v/>
      </c>
      <c r="J177" s="7" t="str">
        <f>CONCATENATE("[",TEXT(Show!A177,"#.0#"),":",TEXT(Show!B177,"#.0#"),"][",TEXT(Show!E177,"#.0#"),":",TEXT(Show!F177,"#.0#"),"]")</f>
        <v>[:][:]</v>
      </c>
    </row>
    <row r="178" spans="1:10" hidden="1" x14ac:dyDescent="0.25">
      <c r="A178" s="40" t="str">
        <f>IFERROR(IF(Calc!E178&lt;=$C$4,Calc!D178,""),"")</f>
        <v/>
      </c>
      <c r="B178" s="40" t="str">
        <f>IFERROR(IF(Calc!E178&lt;=$C$4,CONCATENATE(TEXT(Calc!C178,"#0.000#")," || ",TEXT(INDEX(Calc!L178:P178,$B$4),"#0.000#")),""),"")</f>
        <v/>
      </c>
      <c r="C178" s="41" t="str">
        <f>IFERROR(IF(Calc!E178&lt;=$C$4,Calc!E178,""),"")</f>
        <v/>
      </c>
      <c r="D178" s="33" t="str">
        <f>IFERROR(IF(Calc!E178&lt;=$D$4,"Nice",""),"")</f>
        <v/>
      </c>
      <c r="E178" s="40" t="str">
        <f>IFERROR(IF(Calc!J178&lt;=$C$4,Calc!I178,""),"")</f>
        <v/>
      </c>
      <c r="F178" s="40" t="str">
        <f>IFERROR(IF(Calc!J178&lt;=$C$4,CONCATENATE(TEXT(Calc!H178,"#0.000#")," + ",TEXT(INDEX(Calc!L178:P178,$B$4),"#0.000#")),""),"")</f>
        <v/>
      </c>
      <c r="G178" s="41" t="str">
        <f>IFERROR(IF(Calc!J178&lt;=$C$4,Calc!J178,""),"")</f>
        <v/>
      </c>
      <c r="H178" s="33" t="str">
        <f>IFERROR(IF(Calc!J178&lt;=$D$4,"Nice",""),"")</f>
        <v/>
      </c>
      <c r="J178" s="7" t="str">
        <f>CONCATENATE("[",TEXT(Show!A178,"#.0#"),":",TEXT(Show!B178,"#.0#"),"][",TEXT(Show!E178,"#.0#"),":",TEXT(Show!F178,"#.0#"),"]")</f>
        <v>[:][:]</v>
      </c>
    </row>
    <row r="179" spans="1:10" hidden="1" x14ac:dyDescent="0.25">
      <c r="A179" s="40" t="str">
        <f>IFERROR(IF(Calc!E179&lt;=$C$4,Calc!D179,""),"")</f>
        <v/>
      </c>
      <c r="B179" s="40" t="str">
        <f>IFERROR(IF(Calc!E179&lt;=$C$4,CONCATENATE(TEXT(Calc!C179,"#0.000#")," || ",TEXT(INDEX(Calc!L179:P179,$B$4),"#0.000#")),""),"")</f>
        <v/>
      </c>
      <c r="C179" s="41" t="str">
        <f>IFERROR(IF(Calc!E179&lt;=$C$4,Calc!E179,""),"")</f>
        <v/>
      </c>
      <c r="D179" s="33" t="str">
        <f>IFERROR(IF(Calc!E179&lt;=$D$4,"Nice",""),"")</f>
        <v/>
      </c>
      <c r="E179" s="40" t="str">
        <f>IFERROR(IF(Calc!J179&lt;=$C$4,Calc!I179,""),"")</f>
        <v/>
      </c>
      <c r="F179" s="40" t="str">
        <f>IFERROR(IF(Calc!J179&lt;=$C$4,CONCATENATE(TEXT(Calc!H179,"#0.000#")," + ",TEXT(INDEX(Calc!L179:P179,$B$4),"#0.000#")),""),"")</f>
        <v/>
      </c>
      <c r="G179" s="41" t="str">
        <f>IFERROR(IF(Calc!J179&lt;=$C$4,Calc!J179,""),"")</f>
        <v/>
      </c>
      <c r="H179" s="33" t="str">
        <f>IFERROR(IF(Calc!J179&lt;=$D$4,"Nice",""),"")</f>
        <v/>
      </c>
      <c r="J179" s="7" t="str">
        <f>CONCATENATE("[",TEXT(Show!A179,"#.0#"),":",TEXT(Show!B179,"#.0#"),"][",TEXT(Show!E179,"#.0#"),":",TEXT(Show!F179,"#.0#"),"]")</f>
        <v>[:][:]</v>
      </c>
    </row>
    <row r="180" spans="1:10" hidden="1" x14ac:dyDescent="0.25">
      <c r="A180" s="40" t="str">
        <f>IFERROR(IF(Calc!E180&lt;=$C$4,Calc!D180,""),"")</f>
        <v/>
      </c>
      <c r="B180" s="40" t="str">
        <f>IFERROR(IF(Calc!E180&lt;=$C$4,CONCATENATE(TEXT(Calc!C180,"#0.000#")," || ",TEXT(INDEX(Calc!L180:P180,$B$4),"#0.000#")),""),"")</f>
        <v/>
      </c>
      <c r="C180" s="41" t="str">
        <f>IFERROR(IF(Calc!E180&lt;=$C$4,Calc!E180,""),"")</f>
        <v/>
      </c>
      <c r="D180" s="33" t="str">
        <f>IFERROR(IF(Calc!E180&lt;=$D$4,"Nice",""),"")</f>
        <v/>
      </c>
      <c r="E180" s="40" t="str">
        <f>IFERROR(IF(Calc!J180&lt;=$C$4,Calc!I180,""),"")</f>
        <v/>
      </c>
      <c r="F180" s="40" t="str">
        <f>IFERROR(IF(Calc!J180&lt;=$C$4,CONCATENATE(TEXT(Calc!H180,"#0.000#")," + ",TEXT(INDEX(Calc!L180:P180,$B$4),"#0.000#")),""),"")</f>
        <v/>
      </c>
      <c r="G180" s="41" t="str">
        <f>IFERROR(IF(Calc!J180&lt;=$C$4,Calc!J180,""),"")</f>
        <v/>
      </c>
      <c r="H180" s="33" t="str">
        <f>IFERROR(IF(Calc!J180&lt;=$D$4,"Nice",""),"")</f>
        <v/>
      </c>
      <c r="J180" s="7" t="str">
        <f>CONCATENATE("[",TEXT(Show!A180,"#.0#"),":",TEXT(Show!B180,"#.0#"),"][",TEXT(Show!E180,"#.0#"),":",TEXT(Show!F180,"#.0#"),"]")</f>
        <v>[:][:]</v>
      </c>
    </row>
    <row r="181" spans="1:10" hidden="1" x14ac:dyDescent="0.25">
      <c r="A181" s="40" t="str">
        <f>IFERROR(IF(Calc!E181&lt;=$C$4,Calc!D181,""),"")</f>
        <v/>
      </c>
      <c r="B181" s="40" t="str">
        <f>IFERROR(IF(Calc!E181&lt;=$C$4,CONCATENATE(TEXT(Calc!C181,"#0.000#")," || ",TEXT(INDEX(Calc!L181:P181,$B$4),"#0.000#")),""),"")</f>
        <v/>
      </c>
      <c r="C181" s="41" t="str">
        <f>IFERROR(IF(Calc!E181&lt;=$C$4,Calc!E181,""),"")</f>
        <v/>
      </c>
      <c r="D181" s="33" t="str">
        <f>IFERROR(IF(Calc!E181&lt;=$D$4,"Nice",""),"")</f>
        <v/>
      </c>
      <c r="E181" s="40" t="str">
        <f>IFERROR(IF(Calc!J181&lt;=$C$4,Calc!I181,""),"")</f>
        <v/>
      </c>
      <c r="F181" s="40" t="str">
        <f>IFERROR(IF(Calc!J181&lt;=$C$4,CONCATENATE(TEXT(Calc!H181,"#0.000#")," + ",TEXT(INDEX(Calc!L181:P181,$B$4),"#0.000#")),""),"")</f>
        <v/>
      </c>
      <c r="G181" s="41" t="str">
        <f>IFERROR(IF(Calc!J181&lt;=$C$4,Calc!J181,""),"")</f>
        <v/>
      </c>
      <c r="H181" s="33" t="str">
        <f>IFERROR(IF(Calc!J181&lt;=$D$4,"Nice",""),"")</f>
        <v/>
      </c>
      <c r="J181" s="7" t="str">
        <f>CONCATENATE("[",TEXT(Show!A181,"#.0#"),":",TEXT(Show!B181,"#.0#"),"][",TEXT(Show!E181,"#.0#"),":",TEXT(Show!F181,"#.0#"),"]")</f>
        <v>[:][:]</v>
      </c>
    </row>
    <row r="182" spans="1:10" hidden="1" x14ac:dyDescent="0.25">
      <c r="A182" s="40" t="str">
        <f>IFERROR(IF(Calc!E182&lt;=$C$4,Calc!D182,""),"")</f>
        <v/>
      </c>
      <c r="B182" s="40" t="str">
        <f>IFERROR(IF(Calc!E182&lt;=$C$4,CONCATENATE(TEXT(Calc!C182,"#0.000#")," || ",TEXT(INDEX(Calc!L182:P182,$B$4),"#0.000#")),""),"")</f>
        <v/>
      </c>
      <c r="C182" s="41" t="str">
        <f>IFERROR(IF(Calc!E182&lt;=$C$4,Calc!E182,""),"")</f>
        <v/>
      </c>
      <c r="D182" s="33" t="str">
        <f>IFERROR(IF(Calc!E182&lt;=$D$4,"Nice",""),"")</f>
        <v/>
      </c>
      <c r="E182" s="40" t="str">
        <f>IFERROR(IF(Calc!J182&lt;=$C$4,Calc!I182,""),"")</f>
        <v/>
      </c>
      <c r="F182" s="40" t="str">
        <f>IFERROR(IF(Calc!J182&lt;=$C$4,CONCATENATE(TEXT(Calc!H182,"#0.000#")," + ",TEXT(INDEX(Calc!L182:P182,$B$4),"#0.000#")),""),"")</f>
        <v/>
      </c>
      <c r="G182" s="41" t="str">
        <f>IFERROR(IF(Calc!J182&lt;=$C$4,Calc!J182,""),"")</f>
        <v/>
      </c>
      <c r="H182" s="33" t="str">
        <f>IFERROR(IF(Calc!J182&lt;=$D$4,"Nice",""),"")</f>
        <v/>
      </c>
      <c r="J182" s="7" t="str">
        <f>CONCATENATE("[",TEXT(Show!A182,"#.0#"),":",TEXT(Show!B182,"#.0#"),"][",TEXT(Show!E182,"#.0#"),":",TEXT(Show!F182,"#.0#"),"]")</f>
        <v>[:][:]</v>
      </c>
    </row>
    <row r="183" spans="1:10" hidden="1" x14ac:dyDescent="0.25">
      <c r="A183" s="40" t="str">
        <f>IFERROR(IF(Calc!E183&lt;=$C$4,Calc!D183,""),"")</f>
        <v/>
      </c>
      <c r="B183" s="40" t="str">
        <f>IFERROR(IF(Calc!E183&lt;=$C$4,CONCATENATE(TEXT(Calc!C183,"#0.000#")," || ",TEXT(INDEX(Calc!L183:P183,$B$4),"#0.000#")),""),"")</f>
        <v/>
      </c>
      <c r="C183" s="41" t="str">
        <f>IFERROR(IF(Calc!E183&lt;=$C$4,Calc!E183,""),"")</f>
        <v/>
      </c>
      <c r="D183" s="33" t="str">
        <f>IFERROR(IF(Calc!E183&lt;=$D$4,"Nice",""),"")</f>
        <v/>
      </c>
      <c r="E183" s="40" t="str">
        <f>IFERROR(IF(Calc!J183&lt;=$C$4,Calc!I183,""),"")</f>
        <v/>
      </c>
      <c r="F183" s="40" t="str">
        <f>IFERROR(IF(Calc!J183&lt;=$C$4,CONCATENATE(TEXT(Calc!H183,"#0.000#")," + ",TEXT(INDEX(Calc!L183:P183,$B$4),"#0.000#")),""),"")</f>
        <v/>
      </c>
      <c r="G183" s="41" t="str">
        <f>IFERROR(IF(Calc!J183&lt;=$C$4,Calc!J183,""),"")</f>
        <v/>
      </c>
      <c r="H183" s="33" t="str">
        <f>IFERROR(IF(Calc!J183&lt;=$D$4,"Nice",""),"")</f>
        <v/>
      </c>
      <c r="J183" s="7" t="str">
        <f>CONCATENATE("[",TEXT(Show!A183,"#.0#"),":",TEXT(Show!B183,"#.0#"),"][",TEXT(Show!E183,"#.0#"),":",TEXT(Show!F183,"#.0#"),"]")</f>
        <v>[:][:]</v>
      </c>
    </row>
    <row r="184" spans="1:10" hidden="1" x14ac:dyDescent="0.25">
      <c r="A184" s="40" t="str">
        <f>IFERROR(IF(Calc!E184&lt;=$C$4,Calc!D184,""),"")</f>
        <v/>
      </c>
      <c r="B184" s="40" t="str">
        <f>IFERROR(IF(Calc!E184&lt;=$C$4,CONCATENATE(TEXT(Calc!C184,"#0.000#")," || ",TEXT(INDEX(Calc!L184:P184,$B$4),"#0.000#")),""),"")</f>
        <v/>
      </c>
      <c r="C184" s="41" t="str">
        <f>IFERROR(IF(Calc!E184&lt;=$C$4,Calc!E184,""),"")</f>
        <v/>
      </c>
      <c r="D184" s="33" t="str">
        <f>IFERROR(IF(Calc!E184&lt;=$D$4,"Nice",""),"")</f>
        <v/>
      </c>
      <c r="E184" s="40" t="str">
        <f>IFERROR(IF(Calc!J184&lt;=$C$4,Calc!I184,""),"")</f>
        <v/>
      </c>
      <c r="F184" s="40" t="str">
        <f>IFERROR(IF(Calc!J184&lt;=$C$4,CONCATENATE(TEXT(Calc!H184,"#0.000#")," + ",TEXT(INDEX(Calc!L184:P184,$B$4),"#0.000#")),""),"")</f>
        <v/>
      </c>
      <c r="G184" s="41" t="str">
        <f>IFERROR(IF(Calc!J184&lt;=$C$4,Calc!J184,""),"")</f>
        <v/>
      </c>
      <c r="H184" s="33" t="str">
        <f>IFERROR(IF(Calc!J184&lt;=$D$4,"Nice",""),"")</f>
        <v/>
      </c>
      <c r="J184" s="7" t="str">
        <f>CONCATENATE("[",TEXT(Show!A184,"#.0#"),":",TEXT(Show!B184,"#.0#"),"][",TEXT(Show!E184,"#.0#"),":",TEXT(Show!F184,"#.0#"),"]")</f>
        <v>[:][:]</v>
      </c>
    </row>
    <row r="185" spans="1:10" hidden="1" x14ac:dyDescent="0.25">
      <c r="A185" s="40" t="str">
        <f>IFERROR(IF(Calc!E185&lt;=$C$4,Calc!D185,""),"")</f>
        <v/>
      </c>
      <c r="B185" s="40" t="str">
        <f>IFERROR(IF(Calc!E185&lt;=$C$4,CONCATENATE(TEXT(Calc!C185,"#0.000#")," || ",TEXT(INDEX(Calc!L185:P185,$B$4),"#0.000#")),""),"")</f>
        <v/>
      </c>
      <c r="C185" s="41" t="str">
        <f>IFERROR(IF(Calc!E185&lt;=$C$4,Calc!E185,""),"")</f>
        <v/>
      </c>
      <c r="D185" s="33" t="str">
        <f>IFERROR(IF(Calc!E185&lt;=$D$4,"Nice",""),"")</f>
        <v/>
      </c>
      <c r="E185" s="40" t="str">
        <f>IFERROR(IF(Calc!J185&lt;=$C$4,Calc!I185,""),"")</f>
        <v/>
      </c>
      <c r="F185" s="40" t="str">
        <f>IFERROR(IF(Calc!J185&lt;=$C$4,CONCATENATE(TEXT(Calc!H185,"#0.000#")," + ",TEXT(INDEX(Calc!L185:P185,$B$4),"#0.000#")),""),"")</f>
        <v/>
      </c>
      <c r="G185" s="41" t="str">
        <f>IFERROR(IF(Calc!J185&lt;=$C$4,Calc!J185,""),"")</f>
        <v/>
      </c>
      <c r="H185" s="33" t="str">
        <f>IFERROR(IF(Calc!J185&lt;=$D$4,"Nice",""),"")</f>
        <v/>
      </c>
      <c r="J185" s="7" t="str">
        <f>CONCATENATE("[",TEXT(Show!A185,"#.0#"),":",TEXT(Show!B185,"#.0#"),"][",TEXT(Show!E185,"#.0#"),":",TEXT(Show!F185,"#.0#"),"]")</f>
        <v>[:][:]</v>
      </c>
    </row>
    <row r="186" spans="1:10" hidden="1" x14ac:dyDescent="0.25">
      <c r="A186" s="40" t="str">
        <f>IFERROR(IF(Calc!E186&lt;=$C$4,Calc!D186,""),"")</f>
        <v/>
      </c>
      <c r="B186" s="40" t="str">
        <f>IFERROR(IF(Calc!E186&lt;=$C$4,CONCATENATE(TEXT(Calc!C186,"#0.000#")," || ",TEXT(INDEX(Calc!L186:P186,$B$4),"#0.000#")),""),"")</f>
        <v/>
      </c>
      <c r="C186" s="41" t="str">
        <f>IFERROR(IF(Calc!E186&lt;=$C$4,Calc!E186,""),"")</f>
        <v/>
      </c>
      <c r="D186" s="33" t="str">
        <f>IFERROR(IF(Calc!E186&lt;=$D$4,"Nice",""),"")</f>
        <v/>
      </c>
      <c r="E186" s="40" t="str">
        <f>IFERROR(IF(Calc!J186&lt;=$C$4,Calc!I186,""),"")</f>
        <v/>
      </c>
      <c r="F186" s="40" t="str">
        <f>IFERROR(IF(Calc!J186&lt;=$C$4,CONCATENATE(TEXT(Calc!H186,"#0.000#")," + ",TEXT(INDEX(Calc!L186:P186,$B$4),"#0.000#")),""),"")</f>
        <v/>
      </c>
      <c r="G186" s="41" t="str">
        <f>IFERROR(IF(Calc!J186&lt;=$C$4,Calc!J186,""),"")</f>
        <v/>
      </c>
      <c r="H186" s="33" t="str">
        <f>IFERROR(IF(Calc!J186&lt;=$D$4,"Nice",""),"")</f>
        <v/>
      </c>
      <c r="J186" s="7" t="str">
        <f>CONCATENATE("[",TEXT(Show!A186,"#.0#"),":",TEXT(Show!B186,"#.0#"),"][",TEXT(Show!E186,"#.0#"),":",TEXT(Show!F186,"#.0#"),"]")</f>
        <v>[:][:]</v>
      </c>
    </row>
    <row r="187" spans="1:10" hidden="1" x14ac:dyDescent="0.25">
      <c r="A187" s="40" t="str">
        <f>IFERROR(IF(Calc!E187&lt;=$C$4,Calc!D187,""),"")</f>
        <v/>
      </c>
      <c r="B187" s="40" t="str">
        <f>IFERROR(IF(Calc!E187&lt;=$C$4,CONCATENATE(TEXT(Calc!C187,"#0.000#")," || ",TEXT(INDEX(Calc!L187:P187,$B$4),"#0.000#")),""),"")</f>
        <v/>
      </c>
      <c r="C187" s="41" t="str">
        <f>IFERROR(IF(Calc!E187&lt;=$C$4,Calc!E187,""),"")</f>
        <v/>
      </c>
      <c r="D187" s="33" t="str">
        <f>IFERROR(IF(Calc!E187&lt;=$D$4,"Nice",""),"")</f>
        <v/>
      </c>
      <c r="E187" s="40" t="str">
        <f>IFERROR(IF(Calc!J187&lt;=$C$4,Calc!I187,""),"")</f>
        <v/>
      </c>
      <c r="F187" s="40" t="str">
        <f>IFERROR(IF(Calc!J187&lt;=$C$4,CONCATENATE(TEXT(Calc!H187,"#0.000#")," + ",TEXT(INDEX(Calc!L187:P187,$B$4),"#0.000#")),""),"")</f>
        <v/>
      </c>
      <c r="G187" s="41" t="str">
        <f>IFERROR(IF(Calc!J187&lt;=$C$4,Calc!J187,""),"")</f>
        <v/>
      </c>
      <c r="H187" s="33" t="str">
        <f>IFERROR(IF(Calc!J187&lt;=$D$4,"Nice",""),"")</f>
        <v/>
      </c>
      <c r="J187" s="7" t="str">
        <f>CONCATENATE("[",TEXT(Show!A187,"#.0#"),":",TEXT(Show!B187,"#.0#"),"][",TEXT(Show!E187,"#.0#"),":",TEXT(Show!F187,"#.0#"),"]")</f>
        <v>[:][:]</v>
      </c>
    </row>
    <row r="188" spans="1:10" hidden="1" x14ac:dyDescent="0.25">
      <c r="A188" s="40" t="str">
        <f>IFERROR(IF(Calc!E188&lt;=$C$4,Calc!D188,""),"")</f>
        <v/>
      </c>
      <c r="B188" s="40" t="str">
        <f>IFERROR(IF(Calc!E188&lt;=$C$4,CONCATENATE(TEXT(Calc!C188,"#0.000#")," || ",TEXT(INDEX(Calc!L188:P188,$B$4),"#0.000#")),""),"")</f>
        <v/>
      </c>
      <c r="C188" s="41" t="str">
        <f>IFERROR(IF(Calc!E188&lt;=$C$4,Calc!E188,""),"")</f>
        <v/>
      </c>
      <c r="D188" s="33" t="str">
        <f>IFERROR(IF(Calc!E188&lt;=$D$4,"Nice",""),"")</f>
        <v/>
      </c>
      <c r="E188" s="40" t="str">
        <f>IFERROR(IF(Calc!J188&lt;=$C$4,Calc!I188,""),"")</f>
        <v/>
      </c>
      <c r="F188" s="40" t="str">
        <f>IFERROR(IF(Calc!J188&lt;=$C$4,CONCATENATE(TEXT(Calc!H188,"#0.000#")," + ",TEXT(INDEX(Calc!L188:P188,$B$4),"#0.000#")),""),"")</f>
        <v/>
      </c>
      <c r="G188" s="41" t="str">
        <f>IFERROR(IF(Calc!J188&lt;=$C$4,Calc!J188,""),"")</f>
        <v/>
      </c>
      <c r="H188" s="33" t="str">
        <f>IFERROR(IF(Calc!J188&lt;=$D$4,"Nice",""),"")</f>
        <v/>
      </c>
      <c r="J188" s="7" t="str">
        <f>CONCATENATE("[",TEXT(Show!A188,"#.0#"),":",TEXT(Show!B188,"#.0#"),"][",TEXT(Show!E188,"#.0#"),":",TEXT(Show!F188,"#.0#"),"]")</f>
        <v>[:][:]</v>
      </c>
    </row>
    <row r="189" spans="1:10" x14ac:dyDescent="0.25">
      <c r="A189" s="40" t="str">
        <f>IFERROR(IF(Calc!E189&lt;=$C$4,Calc!D189,""),"")</f>
        <v/>
      </c>
      <c r="B189" s="40" t="str">
        <f>IFERROR(IF(Calc!E189&lt;=$C$4,CONCATENATE(TEXT(Calc!C189,"#0.000#")," || ",TEXT(INDEX(Calc!L189:P189,$B$4),"#0.000#")),""),"")</f>
        <v/>
      </c>
      <c r="C189" s="41" t="str">
        <f>IFERROR(IF(Calc!E189&lt;=$C$4,Calc!E189,""),"")</f>
        <v/>
      </c>
      <c r="D189" s="33" t="str">
        <f>IFERROR(IF(Calc!E189&lt;=$D$4,"Nice",""),"")</f>
        <v/>
      </c>
      <c r="E189" s="40">
        <f>IFERROR(IF(Calc!J189&lt;=$C$4,Calc!I189,""),"")</f>
        <v>39.85</v>
      </c>
      <c r="F189" s="40" t="str">
        <f>IFERROR(IF(Calc!J189&lt;=$C$4,CONCATENATE(TEXT(Calc!H189,"#0.000#")," + ",TEXT(INDEX(Calc!L189:P189,$B$4),"#0.000#")),""),"")</f>
        <v>31.600 + 8.250</v>
      </c>
      <c r="G189" s="41">
        <f>IFERROR(IF(Calc!J189&lt;=$C$4,Calc!J189,""),"")</f>
        <v>0.37499999999999645</v>
      </c>
      <c r="H189" s="33" t="str">
        <f>IFERROR(IF(Calc!J189&lt;=$D$4,"Nice",""),"")</f>
        <v/>
      </c>
      <c r="J189" s="7" t="str">
        <f>CONCATENATE("[",TEXT(Show!A189,"#.0#"),":",TEXT(Show!B189,"#.0#"),"][",TEXT(Show!E189,"#.0#"),":",TEXT(Show!F189,"#.0#"),"]")</f>
        <v>[:][39.85:31.600 + 8.250]</v>
      </c>
    </row>
    <row r="190" spans="1:10" hidden="1" x14ac:dyDescent="0.25">
      <c r="A190" s="40" t="str">
        <f>IFERROR(IF(Calc!E190&lt;=$C$4,Calc!D190,""),"")</f>
        <v/>
      </c>
      <c r="B190" s="40" t="str">
        <f>IFERROR(IF(Calc!E190&lt;=$C$4,CONCATENATE(TEXT(Calc!C190,"#0.000#")," || ",TEXT(INDEX(Calc!L190:P190,$B$4),"#0.000#")),""),"")</f>
        <v/>
      </c>
      <c r="C190" s="41" t="str">
        <f>IFERROR(IF(Calc!E190&lt;=$C$4,Calc!E190,""),"")</f>
        <v/>
      </c>
      <c r="D190" s="33" t="str">
        <f>IFERROR(IF(Calc!E190&lt;=$D$4,"Nice",""),"")</f>
        <v/>
      </c>
      <c r="E190" s="40">
        <f>IFERROR(IF(Calc!J190&lt;=$C$4,Calc!I190,""),"")</f>
        <v>39.85</v>
      </c>
      <c r="F190" s="40" t="str">
        <f>IFERROR(IF(Calc!J190&lt;=$C$4,CONCATENATE(TEXT(Calc!H190,"#0.000#")," + ",TEXT(INDEX(Calc!L190:P190,$B$4),"#0.000#")),""),"")</f>
        <v>31.600 + 8.250</v>
      </c>
      <c r="G190" s="41">
        <f>IFERROR(IF(Calc!J190&lt;=$C$4,Calc!J190,""),"")</f>
        <v>0.37499999999999645</v>
      </c>
      <c r="H190" s="33" t="str">
        <f>IFERROR(IF(Calc!J190&lt;=$D$4,"Nice",""),"")</f>
        <v/>
      </c>
      <c r="J190" s="7" t="str">
        <f>CONCATENATE("[",TEXT(Show!A190,"#.0#"),":",TEXT(Show!B190,"#.0#"),"][",TEXT(Show!E190,"#.0#"),":",TEXT(Show!F190,"#.0#"),"]")</f>
        <v>[:][39.85:31.600 + 8.250]</v>
      </c>
    </row>
    <row r="191" spans="1:10" hidden="1" x14ac:dyDescent="0.25">
      <c r="A191" s="40" t="str">
        <f>IFERROR(IF(Calc!E191&lt;=$C$4,Calc!D191,""),"")</f>
        <v/>
      </c>
      <c r="B191" s="40" t="str">
        <f>IFERROR(IF(Calc!E191&lt;=$C$4,CONCATENATE(TEXT(Calc!C191,"#0.000#")," || ",TEXT(INDEX(Calc!L191:P191,$B$4),"#0.000#")),""),"")</f>
        <v/>
      </c>
      <c r="C191" s="41" t="str">
        <f>IFERROR(IF(Calc!E191&lt;=$C$4,Calc!E191,""),"")</f>
        <v/>
      </c>
      <c r="D191" s="33" t="str">
        <f>IFERROR(IF(Calc!E191&lt;=$D$4,"Nice",""),"")</f>
        <v/>
      </c>
      <c r="E191" s="40">
        <f>IFERROR(IF(Calc!J191&lt;=$C$4,Calc!I191,""),"")</f>
        <v>39.85</v>
      </c>
      <c r="F191" s="40" t="str">
        <f>IFERROR(IF(Calc!J191&lt;=$C$4,CONCATENATE(TEXT(Calc!H191,"#0.000#")," + ",TEXT(INDEX(Calc!L191:P191,$B$4),"#0.000#")),""),"")</f>
        <v>31.600 + 8.250</v>
      </c>
      <c r="G191" s="41">
        <f>IFERROR(IF(Calc!J191&lt;=$C$4,Calc!J191,""),"")</f>
        <v>0.37499999999999645</v>
      </c>
      <c r="H191" s="33" t="str">
        <f>IFERROR(IF(Calc!J191&lt;=$D$4,"Nice",""),"")</f>
        <v/>
      </c>
      <c r="J191" s="7" t="str">
        <f>CONCATENATE("[",TEXT(Show!A191,"#.0#"),":",TEXT(Show!B191,"#.0#"),"][",TEXT(Show!E191,"#.0#"),":",TEXT(Show!F191,"#.0#"),"]")</f>
        <v>[:][39.85:31.600 + 8.250]</v>
      </c>
    </row>
    <row r="192" spans="1:10" hidden="1" x14ac:dyDescent="0.25">
      <c r="A192" s="40" t="str">
        <f>IFERROR(IF(Calc!E192&lt;=$C$4,Calc!D192,""),"")</f>
        <v/>
      </c>
      <c r="B192" s="40" t="str">
        <f>IFERROR(IF(Calc!E192&lt;=$C$4,CONCATENATE(TEXT(Calc!C192,"#0.000#")," || ",TEXT(INDEX(Calc!L192:P192,$B$4),"#0.000#")),""),"")</f>
        <v/>
      </c>
      <c r="C192" s="41" t="str">
        <f>IFERROR(IF(Calc!E192&lt;=$C$4,Calc!E192,""),"")</f>
        <v/>
      </c>
      <c r="D192" s="33" t="str">
        <f>IFERROR(IF(Calc!E192&lt;=$D$4,"Nice",""),"")</f>
        <v/>
      </c>
      <c r="E192" s="40">
        <f>IFERROR(IF(Calc!J192&lt;=$C$4,Calc!I192,""),"")</f>
        <v>39.85</v>
      </c>
      <c r="F192" s="40" t="str">
        <f>IFERROR(IF(Calc!J192&lt;=$C$4,CONCATENATE(TEXT(Calc!H192,"#0.000#")," + ",TEXT(INDEX(Calc!L192:P192,$B$4),"#0.000#")),""),"")</f>
        <v>31.600 + 8.250</v>
      </c>
      <c r="G192" s="41">
        <f>IFERROR(IF(Calc!J192&lt;=$C$4,Calc!J192,""),"")</f>
        <v>0.37499999999999645</v>
      </c>
      <c r="H192" s="33" t="str">
        <f>IFERROR(IF(Calc!J192&lt;=$D$4,"Nice",""),"")</f>
        <v/>
      </c>
      <c r="J192" s="7" t="str">
        <f>CONCATENATE("[",TEXT(Show!A192,"#.0#"),":",TEXT(Show!B192,"#.0#"),"][",TEXT(Show!E192,"#.0#"),":",TEXT(Show!F192,"#.0#"),"]")</f>
        <v>[:][39.85:31.600 + 8.250]</v>
      </c>
    </row>
    <row r="193" spans="1:10" hidden="1" x14ac:dyDescent="0.25">
      <c r="A193" s="40" t="str">
        <f>IFERROR(IF(Calc!E193&lt;=$C$4,Calc!D193,""),"")</f>
        <v/>
      </c>
      <c r="B193" s="40" t="str">
        <f>IFERROR(IF(Calc!E193&lt;=$C$4,CONCATENATE(TEXT(Calc!C193,"#0.000#")," || ",TEXT(INDEX(Calc!L193:P193,$B$4),"#0.000#")),""),"")</f>
        <v/>
      </c>
      <c r="C193" s="41" t="str">
        <f>IFERROR(IF(Calc!E193&lt;=$C$4,Calc!E193,""),"")</f>
        <v/>
      </c>
      <c r="D193" s="33" t="str">
        <f>IFERROR(IF(Calc!E193&lt;=$D$4,"Nice",""),"")</f>
        <v/>
      </c>
      <c r="E193" s="40" t="str">
        <f>IFERROR(IF(Calc!J193&lt;=$C$4,Calc!I193,""),"")</f>
        <v/>
      </c>
      <c r="F193" s="40" t="str">
        <f>IFERROR(IF(Calc!J193&lt;=$C$4,CONCATENATE(TEXT(Calc!H193,"#0.000#")," + ",TEXT(INDEX(Calc!L193:P193,$B$4),"#0.000#")),""),"")</f>
        <v/>
      </c>
      <c r="G193" s="41" t="str">
        <f>IFERROR(IF(Calc!J193&lt;=$C$4,Calc!J193,""),"")</f>
        <v/>
      </c>
      <c r="H193" s="33" t="str">
        <f>IFERROR(IF(Calc!J193&lt;=$D$4,"Nice",""),"")</f>
        <v/>
      </c>
      <c r="J193" s="7" t="str">
        <f>CONCATENATE("[",TEXT(Show!A193,"#.0#"),":",TEXT(Show!B193,"#.0#"),"][",TEXT(Show!E193,"#.0#"),":",TEXT(Show!F193,"#.0#"),"]")</f>
        <v>[:][:]</v>
      </c>
    </row>
    <row r="194" spans="1:10" hidden="1" x14ac:dyDescent="0.25">
      <c r="A194" s="40" t="str">
        <f>IFERROR(IF(Calc!E194&lt;=$C$4,Calc!D194,""),"")</f>
        <v/>
      </c>
      <c r="B194" s="40" t="str">
        <f>IFERROR(IF(Calc!E194&lt;=$C$4,CONCATENATE(TEXT(Calc!C194,"#0.000#")," || ",TEXT(INDEX(Calc!L194:P194,$B$4),"#0.000#")),""),"")</f>
        <v/>
      </c>
      <c r="C194" s="41" t="str">
        <f>IFERROR(IF(Calc!E194&lt;=$C$4,Calc!E194,""),"")</f>
        <v/>
      </c>
      <c r="D194" s="33" t="str">
        <f>IFERROR(IF(Calc!E194&lt;=$D$4,"Nice",""),"")</f>
        <v/>
      </c>
      <c r="E194" s="40" t="str">
        <f>IFERROR(IF(Calc!J194&lt;=$C$4,Calc!I194,""),"")</f>
        <v/>
      </c>
      <c r="F194" s="40" t="str">
        <f>IFERROR(IF(Calc!J194&lt;=$C$4,CONCATENATE(TEXT(Calc!H194,"#0.000#")," + ",TEXT(INDEX(Calc!L194:P194,$B$4),"#0.000#")),""),"")</f>
        <v/>
      </c>
      <c r="G194" s="41" t="str">
        <f>IFERROR(IF(Calc!J194&lt;=$C$4,Calc!J194,""),"")</f>
        <v/>
      </c>
      <c r="H194" s="33" t="str">
        <f>IFERROR(IF(Calc!J194&lt;=$D$4,"Nice",""),"")</f>
        <v/>
      </c>
      <c r="J194" s="7" t="str">
        <f>CONCATENATE("[",TEXT(Show!A194,"#.0#"),":",TEXT(Show!B194,"#.0#"),"][",TEXT(Show!E194,"#.0#"),":",TEXT(Show!F194,"#.0#"),"]")</f>
        <v>[:][:]</v>
      </c>
    </row>
    <row r="195" spans="1:10" hidden="1" x14ac:dyDescent="0.25">
      <c r="A195" s="40" t="str">
        <f>IFERROR(IF(Calc!E195&lt;=$C$4,Calc!D195,""),"")</f>
        <v/>
      </c>
      <c r="B195" s="40" t="str">
        <f>IFERROR(IF(Calc!E195&lt;=$C$4,CONCATENATE(TEXT(Calc!C195,"#0.000#")," || ",TEXT(INDEX(Calc!L195:P195,$B$4),"#0.000#")),""),"")</f>
        <v/>
      </c>
      <c r="C195" s="41" t="str">
        <f>IFERROR(IF(Calc!E195&lt;=$C$4,Calc!E195,""),"")</f>
        <v/>
      </c>
      <c r="D195" s="33" t="str">
        <f>IFERROR(IF(Calc!E195&lt;=$D$4,"Nice",""),"")</f>
        <v/>
      </c>
      <c r="E195" s="40" t="str">
        <f>IFERROR(IF(Calc!J195&lt;=$C$4,Calc!I195,""),"")</f>
        <v/>
      </c>
      <c r="F195" s="40" t="str">
        <f>IFERROR(IF(Calc!J195&lt;=$C$4,CONCATENATE(TEXT(Calc!H195,"#0.000#")," + ",TEXT(INDEX(Calc!L195:P195,$B$4),"#0.000#")),""),"")</f>
        <v/>
      </c>
      <c r="G195" s="41" t="str">
        <f>IFERROR(IF(Calc!J195&lt;=$C$4,Calc!J195,""),"")</f>
        <v/>
      </c>
      <c r="H195" s="33" t="str">
        <f>IFERROR(IF(Calc!J195&lt;=$D$4,"Nice",""),"")</f>
        <v/>
      </c>
      <c r="J195" s="7" t="str">
        <f>CONCATENATE("[",TEXT(Show!A195,"#.0#"),":",TEXT(Show!B195,"#.0#"),"][",TEXT(Show!E195,"#.0#"),":",TEXT(Show!F195,"#.0#"),"]")</f>
        <v>[:][:]</v>
      </c>
    </row>
    <row r="196" spans="1:10" hidden="1" x14ac:dyDescent="0.25">
      <c r="A196" s="40" t="str">
        <f>IFERROR(IF(Calc!E196&lt;=$C$4,Calc!D196,""),"")</f>
        <v/>
      </c>
      <c r="B196" s="40" t="str">
        <f>IFERROR(IF(Calc!E196&lt;=$C$4,CONCATENATE(TEXT(Calc!C196,"#0.000#")," || ",TEXT(INDEX(Calc!L196:P196,$B$4),"#0.000#")),""),"")</f>
        <v/>
      </c>
      <c r="C196" s="41" t="str">
        <f>IFERROR(IF(Calc!E196&lt;=$C$4,Calc!E196,""),"")</f>
        <v/>
      </c>
      <c r="D196" s="33" t="str">
        <f>IFERROR(IF(Calc!E196&lt;=$D$4,"Nice",""),"")</f>
        <v/>
      </c>
      <c r="E196" s="40" t="str">
        <f>IFERROR(IF(Calc!J196&lt;=$C$4,Calc!I196,""),"")</f>
        <v/>
      </c>
      <c r="F196" s="40" t="str">
        <f>IFERROR(IF(Calc!J196&lt;=$C$4,CONCATENATE(TEXT(Calc!H196,"#0.000#")," + ",TEXT(INDEX(Calc!L196:P196,$B$4),"#0.000#")),""),"")</f>
        <v/>
      </c>
      <c r="G196" s="41" t="str">
        <f>IFERROR(IF(Calc!J196&lt;=$C$4,Calc!J196,""),"")</f>
        <v/>
      </c>
      <c r="H196" s="33" t="str">
        <f>IFERROR(IF(Calc!J196&lt;=$D$4,"Nice",""),"")</f>
        <v/>
      </c>
      <c r="J196" s="7" t="str">
        <f>CONCATENATE("[",TEXT(Show!A196,"#.0#"),":",TEXT(Show!B196,"#.0#"),"][",TEXT(Show!E196,"#.0#"),":",TEXT(Show!F196,"#.0#"),"]")</f>
        <v>[:][:]</v>
      </c>
    </row>
    <row r="197" spans="1:10" hidden="1" x14ac:dyDescent="0.25">
      <c r="A197" s="40" t="str">
        <f>IFERROR(IF(Calc!E197&lt;=$C$4,Calc!D197,""),"")</f>
        <v/>
      </c>
      <c r="B197" s="40" t="str">
        <f>IFERROR(IF(Calc!E197&lt;=$C$4,CONCATENATE(TEXT(Calc!C197,"#0.000#")," || ",TEXT(INDEX(Calc!L197:P197,$B$4),"#0.000#")),""),"")</f>
        <v/>
      </c>
      <c r="C197" s="41" t="str">
        <f>IFERROR(IF(Calc!E197&lt;=$C$4,Calc!E197,""),"")</f>
        <v/>
      </c>
      <c r="D197" s="33" t="str">
        <f>IFERROR(IF(Calc!E197&lt;=$D$4,"Nice",""),"")</f>
        <v/>
      </c>
      <c r="E197" s="40" t="str">
        <f>IFERROR(IF(Calc!J197&lt;=$C$4,Calc!I197,""),"")</f>
        <v/>
      </c>
      <c r="F197" s="40" t="str">
        <f>IFERROR(IF(Calc!J197&lt;=$C$4,CONCATENATE(TEXT(Calc!H197,"#0.000#")," + ",TEXT(INDEX(Calc!L197:P197,$B$4),"#0.000#")),""),"")</f>
        <v/>
      </c>
      <c r="G197" s="41" t="str">
        <f>IFERROR(IF(Calc!J197&lt;=$C$4,Calc!J197,""),"")</f>
        <v/>
      </c>
      <c r="H197" s="33" t="str">
        <f>IFERROR(IF(Calc!J197&lt;=$D$4,"Nice",""),"")</f>
        <v/>
      </c>
      <c r="J197" s="7" t="str">
        <f>CONCATENATE("[",TEXT(Show!A197,"#.0#"),":",TEXT(Show!B197,"#.0#"),"][",TEXT(Show!E197,"#.0#"),":",TEXT(Show!F197,"#.0#"),"]")</f>
        <v>[:][:]</v>
      </c>
    </row>
    <row r="198" spans="1:10" hidden="1" x14ac:dyDescent="0.25">
      <c r="A198" s="40" t="str">
        <f>IFERROR(IF(Calc!E198&lt;=$C$4,Calc!D198,""),"")</f>
        <v/>
      </c>
      <c r="B198" s="40" t="str">
        <f>IFERROR(IF(Calc!E198&lt;=$C$4,CONCATENATE(TEXT(Calc!C198,"#0.000#")," || ",TEXT(INDEX(Calc!L198:P198,$B$4),"#0.000#")),""),"")</f>
        <v/>
      </c>
      <c r="C198" s="41" t="str">
        <f>IFERROR(IF(Calc!E198&lt;=$C$4,Calc!E198,""),"")</f>
        <v/>
      </c>
      <c r="D198" s="33" t="str">
        <f>IFERROR(IF(Calc!E198&lt;=$D$4,"Nice",""),"")</f>
        <v/>
      </c>
      <c r="E198" s="40" t="str">
        <f>IFERROR(IF(Calc!J198&lt;=$C$4,Calc!I198,""),"")</f>
        <v/>
      </c>
      <c r="F198" s="40" t="str">
        <f>IFERROR(IF(Calc!J198&lt;=$C$4,CONCATENATE(TEXT(Calc!H198,"#0.000#")," + ",TEXT(INDEX(Calc!L198:P198,$B$4),"#0.000#")),""),"")</f>
        <v/>
      </c>
      <c r="G198" s="41" t="str">
        <f>IFERROR(IF(Calc!J198&lt;=$C$4,Calc!J198,""),"")</f>
        <v/>
      </c>
      <c r="H198" s="33" t="str">
        <f>IFERROR(IF(Calc!J198&lt;=$D$4,"Nice",""),"")</f>
        <v/>
      </c>
      <c r="J198" s="7" t="str">
        <f>CONCATENATE("[",TEXT(Show!A198,"#.0#"),":",TEXT(Show!B198,"#.0#"),"][",TEXT(Show!E198,"#.0#"),":",TEXT(Show!F198,"#.0#"),"]")</f>
        <v>[:][:]</v>
      </c>
    </row>
    <row r="199" spans="1:10" hidden="1" x14ac:dyDescent="0.25">
      <c r="A199" s="40" t="str">
        <f>IFERROR(IF(Calc!E199&lt;=$C$4,Calc!D199,""),"")</f>
        <v/>
      </c>
      <c r="B199" s="40" t="str">
        <f>IFERROR(IF(Calc!E199&lt;=$C$4,CONCATENATE(TEXT(Calc!C199,"#0.000#")," || ",TEXT(INDEX(Calc!L199:P199,$B$4),"#0.000#")),""),"")</f>
        <v/>
      </c>
      <c r="C199" s="41" t="str">
        <f>IFERROR(IF(Calc!E199&lt;=$C$4,Calc!E199,""),"")</f>
        <v/>
      </c>
      <c r="D199" s="33" t="str">
        <f>IFERROR(IF(Calc!E199&lt;=$D$4,"Nice",""),"")</f>
        <v/>
      </c>
      <c r="E199" s="40" t="str">
        <f>IFERROR(IF(Calc!J199&lt;=$C$4,Calc!I199,""),"")</f>
        <v/>
      </c>
      <c r="F199" s="40" t="str">
        <f>IFERROR(IF(Calc!J199&lt;=$C$4,CONCATENATE(TEXT(Calc!H199,"#0.000#")," + ",TEXT(INDEX(Calc!L199:P199,$B$4),"#0.000#")),""),"")</f>
        <v/>
      </c>
      <c r="G199" s="41" t="str">
        <f>IFERROR(IF(Calc!J199&lt;=$C$4,Calc!J199,""),"")</f>
        <v/>
      </c>
      <c r="H199" s="33" t="str">
        <f>IFERROR(IF(Calc!J199&lt;=$D$4,"Nice",""),"")</f>
        <v/>
      </c>
      <c r="J199" s="7" t="str">
        <f>CONCATENATE("[",TEXT(Show!A199,"#.0#"),":",TEXT(Show!B199,"#.0#"),"][",TEXT(Show!E199,"#.0#"),":",TEXT(Show!F199,"#.0#"),"]")</f>
        <v>[:][:]</v>
      </c>
    </row>
    <row r="200" spans="1:10" hidden="1" x14ac:dyDescent="0.25">
      <c r="A200" s="40" t="str">
        <f>IFERROR(IF(Calc!E200&lt;=$C$4,Calc!D200,""),"")</f>
        <v/>
      </c>
      <c r="B200" s="40" t="str">
        <f>IFERROR(IF(Calc!E200&lt;=$C$4,CONCATENATE(TEXT(Calc!C200,"#0.000#")," || ",TEXT(INDEX(Calc!L200:P200,$B$4),"#0.000#")),""),"")</f>
        <v/>
      </c>
      <c r="C200" s="41" t="str">
        <f>IFERROR(IF(Calc!E200&lt;=$C$4,Calc!E200,""),"")</f>
        <v/>
      </c>
      <c r="D200" s="33" t="str">
        <f>IFERROR(IF(Calc!E200&lt;=$D$4,"Nice",""),"")</f>
        <v/>
      </c>
      <c r="E200" s="40" t="str">
        <f>IFERROR(IF(Calc!J200&lt;=$C$4,Calc!I200,""),"")</f>
        <v/>
      </c>
      <c r="F200" s="40" t="str">
        <f>IFERROR(IF(Calc!J200&lt;=$C$4,CONCATENATE(TEXT(Calc!H200,"#0.000#")," + ",TEXT(INDEX(Calc!L200:P200,$B$4),"#0.000#")),""),"")</f>
        <v/>
      </c>
      <c r="G200" s="41" t="str">
        <f>IFERROR(IF(Calc!J200&lt;=$C$4,Calc!J200,""),"")</f>
        <v/>
      </c>
      <c r="H200" s="33" t="str">
        <f>IFERROR(IF(Calc!J200&lt;=$D$4,"Nice",""),"")</f>
        <v/>
      </c>
      <c r="J200" s="7" t="str">
        <f>CONCATENATE("[",TEXT(Show!A200,"#.0#"),":",TEXT(Show!B200,"#.0#"),"][",TEXT(Show!E200,"#.0#"),":",TEXT(Show!F200,"#.0#"),"]")</f>
        <v>[:][:]</v>
      </c>
    </row>
    <row r="201" spans="1:10" x14ac:dyDescent="0.25">
      <c r="A201" s="40" t="str">
        <f>IFERROR(IF(Calc!E201&lt;=$C$4,Calc!D201,""),"")</f>
        <v/>
      </c>
      <c r="B201" s="40" t="str">
        <f>IFERROR(IF(Calc!E201&lt;=$C$4,CONCATENATE(TEXT(Calc!C201,"#0.000#")," || ",TEXT(INDEX(Calc!L201:P201,$B$4),"#0.000#")),""),"")</f>
        <v/>
      </c>
      <c r="C201" s="41" t="str">
        <f>IFERROR(IF(Calc!E201&lt;=$C$4,Calc!E201,""),"")</f>
        <v/>
      </c>
      <c r="D201" s="33" t="str">
        <f>IFERROR(IF(Calc!E201&lt;=$D$4,"Nice",""),"")</f>
        <v/>
      </c>
      <c r="E201" s="40">
        <f>IFERROR(IF(Calc!J201&lt;=$C$4,Calc!I201,""),"")</f>
        <v>39.700000000000003</v>
      </c>
      <c r="F201" s="40" t="str">
        <f>IFERROR(IF(Calc!J201&lt;=$C$4,CONCATENATE(TEXT(Calc!H201,"#0.000#")," + ",TEXT(INDEX(Calc!L201:P201,$B$4),"#0.000#")),""),"")</f>
        <v>28.700 + 11.000</v>
      </c>
      <c r="G201" s="41">
        <f>IFERROR(IF(Calc!J201&lt;=$C$4,Calc!J201,""),"")</f>
        <v>0.74999999999999289</v>
      </c>
      <c r="H201" s="33" t="str">
        <f>IFERROR(IF(Calc!J201&lt;=$D$4,"Nice",""),"")</f>
        <v/>
      </c>
      <c r="J201" s="7" t="str">
        <f>CONCATENATE("[",TEXT(Show!A201,"#.0#"),":",TEXT(Show!B201,"#.0#"),"][",TEXT(Show!E201,"#.0#"),":",TEXT(Show!F201,"#.0#"),"]")</f>
        <v>[:][39.7:28.700 + 11.000]</v>
      </c>
    </row>
    <row r="202" spans="1:10" hidden="1" x14ac:dyDescent="0.25">
      <c r="A202" s="40" t="str">
        <f>IFERROR(IF(Calc!E202&lt;=$C$4,Calc!D202,""),"")</f>
        <v/>
      </c>
      <c r="B202" s="40" t="str">
        <f>IFERROR(IF(Calc!E202&lt;=$C$4,CONCATENATE(TEXT(Calc!C202,"#0.000#")," || ",TEXT(INDEX(Calc!L202:P202,$B$4),"#0.000#")),""),"")</f>
        <v/>
      </c>
      <c r="C202" s="41" t="str">
        <f>IFERROR(IF(Calc!E202&lt;=$C$4,Calc!E202,""),"")</f>
        <v/>
      </c>
      <c r="D202" s="33" t="str">
        <f>IFERROR(IF(Calc!E202&lt;=$D$4,"Nice",""),"")</f>
        <v/>
      </c>
      <c r="E202" s="40">
        <f>IFERROR(IF(Calc!J202&lt;=$C$4,Calc!I202,""),"")</f>
        <v>39.700000000000003</v>
      </c>
      <c r="F202" s="40" t="str">
        <f>IFERROR(IF(Calc!J202&lt;=$C$4,CONCATENATE(TEXT(Calc!H202,"#0.000#")," + ",TEXT(INDEX(Calc!L202:P202,$B$4),"#0.000#")),""),"")</f>
        <v>28.700 + 11.000</v>
      </c>
      <c r="G202" s="41">
        <f>IFERROR(IF(Calc!J202&lt;=$C$4,Calc!J202,""),"")</f>
        <v>0.74999999999999289</v>
      </c>
      <c r="H202" s="33" t="str">
        <f>IFERROR(IF(Calc!J202&lt;=$D$4,"Nice",""),"")</f>
        <v/>
      </c>
      <c r="J202" s="7" t="str">
        <f>CONCATENATE("[",TEXT(Show!A202,"#.0#"),":",TEXT(Show!B202,"#.0#"),"][",TEXT(Show!E202,"#.0#"),":",TEXT(Show!F202,"#.0#"),"]")</f>
        <v>[:][39.7:28.700 + 11.000]</v>
      </c>
    </row>
    <row r="203" spans="1:10" hidden="1" x14ac:dyDescent="0.25">
      <c r="A203" s="40" t="str">
        <f>IFERROR(IF(Calc!E203&lt;=$C$4,Calc!D203,""),"")</f>
        <v/>
      </c>
      <c r="B203" s="40" t="str">
        <f>IFERROR(IF(Calc!E203&lt;=$C$4,CONCATENATE(TEXT(Calc!C203,"#0.000#")," || ",TEXT(INDEX(Calc!L203:P203,$B$4),"#0.000#")),""),"")</f>
        <v/>
      </c>
      <c r="C203" s="41" t="str">
        <f>IFERROR(IF(Calc!E203&lt;=$C$4,Calc!E203,""),"")</f>
        <v/>
      </c>
      <c r="D203" s="33" t="str">
        <f>IFERROR(IF(Calc!E203&lt;=$D$4,"Nice",""),"")</f>
        <v/>
      </c>
      <c r="E203" s="40">
        <f>IFERROR(IF(Calc!J203&lt;=$C$4,Calc!I203,""),"")</f>
        <v>39.700000000000003</v>
      </c>
      <c r="F203" s="40" t="str">
        <f>IFERROR(IF(Calc!J203&lt;=$C$4,CONCATENATE(TEXT(Calc!H203,"#0.000#")," + ",TEXT(INDEX(Calc!L203:P203,$B$4),"#0.000#")),""),"")</f>
        <v>28.700 + 11.000</v>
      </c>
      <c r="G203" s="41">
        <f>IFERROR(IF(Calc!J203&lt;=$C$4,Calc!J203,""),"")</f>
        <v>0.74999999999999289</v>
      </c>
      <c r="H203" s="33" t="str">
        <f>IFERROR(IF(Calc!J203&lt;=$D$4,"Nice",""),"")</f>
        <v/>
      </c>
      <c r="J203" s="7" t="str">
        <f>CONCATENATE("[",TEXT(Show!A203,"#.0#"),":",TEXT(Show!B203,"#.0#"),"][",TEXT(Show!E203,"#.0#"),":",TEXT(Show!F203,"#.0#"),"]")</f>
        <v>[:][39.7:28.700 + 11.000]</v>
      </c>
    </row>
    <row r="204" spans="1:10" hidden="1" x14ac:dyDescent="0.25">
      <c r="A204" s="40" t="str">
        <f>IFERROR(IF(Calc!E204&lt;=$C$4,Calc!D204,""),"")</f>
        <v/>
      </c>
      <c r="B204" s="40" t="str">
        <f>IFERROR(IF(Calc!E204&lt;=$C$4,CONCATENATE(TEXT(Calc!C204,"#0.000#")," || ",TEXT(INDEX(Calc!L204:P204,$B$4),"#0.000#")),""),"")</f>
        <v/>
      </c>
      <c r="C204" s="41" t="str">
        <f>IFERROR(IF(Calc!E204&lt;=$C$4,Calc!E204,""),"")</f>
        <v/>
      </c>
      <c r="D204" s="33" t="str">
        <f>IFERROR(IF(Calc!E204&lt;=$D$4,"Nice",""),"")</f>
        <v/>
      </c>
      <c r="E204" s="40">
        <f>IFERROR(IF(Calc!J204&lt;=$C$4,Calc!I204,""),"")</f>
        <v>39.700000000000003</v>
      </c>
      <c r="F204" s="40" t="str">
        <f>IFERROR(IF(Calc!J204&lt;=$C$4,CONCATENATE(TEXT(Calc!H204,"#0.000#")," + ",TEXT(INDEX(Calc!L204:P204,$B$4),"#0.000#")),""),"")</f>
        <v>28.700 + 11.000</v>
      </c>
      <c r="G204" s="41">
        <f>IFERROR(IF(Calc!J204&lt;=$C$4,Calc!J204,""),"")</f>
        <v>0.74999999999999289</v>
      </c>
      <c r="H204" s="33" t="str">
        <f>IFERROR(IF(Calc!J204&lt;=$D$4,"Nice",""),"")</f>
        <v/>
      </c>
      <c r="J204" s="7" t="str">
        <f>CONCATENATE("[",TEXT(Show!A204,"#.0#"),":",TEXT(Show!B204,"#.0#"),"][",TEXT(Show!E204,"#.0#"),":",TEXT(Show!F204,"#.0#"),"]")</f>
        <v>[:][39.7:28.700 + 11.000]</v>
      </c>
    </row>
    <row r="205" spans="1:10" hidden="1" x14ac:dyDescent="0.25">
      <c r="A205" s="40" t="str">
        <f>IFERROR(IF(Calc!E205&lt;=$C$4,Calc!D205,""),"")</f>
        <v/>
      </c>
      <c r="B205" s="40" t="str">
        <f>IFERROR(IF(Calc!E205&lt;=$C$4,CONCATENATE(TEXT(Calc!C205,"#0.000#")," || ",TEXT(INDEX(Calc!L205:P205,$B$4),"#0.000#")),""),"")</f>
        <v/>
      </c>
      <c r="C205" s="41" t="str">
        <f>IFERROR(IF(Calc!E205&lt;=$C$4,Calc!E205,""),"")</f>
        <v/>
      </c>
      <c r="D205" s="33" t="str">
        <f>IFERROR(IF(Calc!E205&lt;=$D$4,"Nice",""),"")</f>
        <v/>
      </c>
      <c r="E205" s="40" t="str">
        <f>IFERROR(IF(Calc!J205&lt;=$C$4,Calc!I205,""),"")</f>
        <v/>
      </c>
      <c r="F205" s="40" t="str">
        <f>IFERROR(IF(Calc!J205&lt;=$C$4,CONCATENATE(TEXT(Calc!H205,"#0.000#")," + ",TEXT(INDEX(Calc!L205:P205,$B$4),"#0.000#")),""),"")</f>
        <v/>
      </c>
      <c r="G205" s="41" t="str">
        <f>IFERROR(IF(Calc!J205&lt;=$C$4,Calc!J205,""),"")</f>
        <v/>
      </c>
      <c r="H205" s="33" t="str">
        <f>IFERROR(IF(Calc!J205&lt;=$D$4,"Nice",""),"")</f>
        <v/>
      </c>
      <c r="J205" s="7" t="str">
        <f>CONCATENATE("[",TEXT(Show!A205,"#.0#"),":",TEXT(Show!B205,"#.0#"),"][",TEXT(Show!E205,"#.0#"),":",TEXT(Show!F205,"#.0#"),"]")</f>
        <v>[:][:]</v>
      </c>
    </row>
    <row r="206" spans="1:10" hidden="1" x14ac:dyDescent="0.25">
      <c r="A206" s="40" t="str">
        <f>IFERROR(IF(Calc!E206&lt;=$C$4,Calc!D206,""),"")</f>
        <v/>
      </c>
      <c r="B206" s="40" t="str">
        <f>IFERROR(IF(Calc!E206&lt;=$C$4,CONCATENATE(TEXT(Calc!C206,"#0.000#")," || ",TEXT(INDEX(Calc!L206:P206,$B$4),"#0.000#")),""),"")</f>
        <v/>
      </c>
      <c r="C206" s="41" t="str">
        <f>IFERROR(IF(Calc!E206&lt;=$C$4,Calc!E206,""),"")</f>
        <v/>
      </c>
      <c r="D206" s="33" t="str">
        <f>IFERROR(IF(Calc!E206&lt;=$D$4,"Nice",""),"")</f>
        <v/>
      </c>
      <c r="E206" s="40" t="str">
        <f>IFERROR(IF(Calc!J206&lt;=$C$4,Calc!I206,""),"")</f>
        <v/>
      </c>
      <c r="F206" s="40" t="str">
        <f>IFERROR(IF(Calc!J206&lt;=$C$4,CONCATENATE(TEXT(Calc!H206,"#0.000#")," + ",TEXT(INDEX(Calc!L206:P206,$B$4),"#0.000#")),""),"")</f>
        <v/>
      </c>
      <c r="G206" s="41" t="str">
        <f>IFERROR(IF(Calc!J206&lt;=$C$4,Calc!J206,""),"")</f>
        <v/>
      </c>
      <c r="H206" s="33" t="str">
        <f>IFERROR(IF(Calc!J206&lt;=$D$4,"Nice",""),"")</f>
        <v/>
      </c>
      <c r="J206" s="7" t="str">
        <f>CONCATENATE("[",TEXT(Show!A206,"#.0#"),":",TEXT(Show!B206,"#.0#"),"][",TEXT(Show!E206,"#.0#"),":",TEXT(Show!F206,"#.0#"),"]")</f>
        <v>[:][:]</v>
      </c>
    </row>
    <row r="207" spans="1:10" hidden="1" x14ac:dyDescent="0.25">
      <c r="A207" s="40" t="str">
        <f>IFERROR(IF(Calc!E207&lt;=$C$4,Calc!D207,""),"")</f>
        <v/>
      </c>
      <c r="B207" s="40" t="str">
        <f>IFERROR(IF(Calc!E207&lt;=$C$4,CONCATENATE(TEXT(Calc!C207,"#0.000#")," || ",TEXT(INDEX(Calc!L207:P207,$B$4),"#0.000#")),""),"")</f>
        <v/>
      </c>
      <c r="C207" s="41" t="str">
        <f>IFERROR(IF(Calc!E207&lt;=$C$4,Calc!E207,""),"")</f>
        <v/>
      </c>
      <c r="D207" s="33" t="str">
        <f>IFERROR(IF(Calc!E207&lt;=$D$4,"Nice",""),"")</f>
        <v/>
      </c>
      <c r="E207" s="40" t="str">
        <f>IFERROR(IF(Calc!J207&lt;=$C$4,Calc!I207,""),"")</f>
        <v/>
      </c>
      <c r="F207" s="40" t="str">
        <f>IFERROR(IF(Calc!J207&lt;=$C$4,CONCATENATE(TEXT(Calc!H207,"#0.000#")," + ",TEXT(INDEX(Calc!L207:P207,$B$4),"#0.000#")),""),"")</f>
        <v/>
      </c>
      <c r="G207" s="41" t="str">
        <f>IFERROR(IF(Calc!J207&lt;=$C$4,Calc!J207,""),"")</f>
        <v/>
      </c>
      <c r="H207" s="33" t="str">
        <f>IFERROR(IF(Calc!J207&lt;=$D$4,"Nice",""),"")</f>
        <v/>
      </c>
      <c r="J207" s="7" t="str">
        <f>CONCATENATE("[",TEXT(Show!A207,"#.0#"),":",TEXT(Show!B207,"#.0#"),"][",TEXT(Show!E207,"#.0#"),":",TEXT(Show!F207,"#.0#"),"]")</f>
        <v>[:][:]</v>
      </c>
    </row>
    <row r="208" spans="1:10" hidden="1" x14ac:dyDescent="0.25">
      <c r="A208" s="40" t="str">
        <f>IFERROR(IF(Calc!E208&lt;=$C$4,Calc!D208,""),"")</f>
        <v/>
      </c>
      <c r="B208" s="40" t="str">
        <f>IFERROR(IF(Calc!E208&lt;=$C$4,CONCATENATE(TEXT(Calc!C208,"#0.000#")," || ",TEXT(INDEX(Calc!L208:P208,$B$4),"#0.000#")),""),"")</f>
        <v/>
      </c>
      <c r="C208" s="41" t="str">
        <f>IFERROR(IF(Calc!E208&lt;=$C$4,Calc!E208,""),"")</f>
        <v/>
      </c>
      <c r="D208" s="33" t="str">
        <f>IFERROR(IF(Calc!E208&lt;=$D$4,"Nice",""),"")</f>
        <v/>
      </c>
      <c r="E208" s="40" t="str">
        <f>IFERROR(IF(Calc!J208&lt;=$C$4,Calc!I208,""),"")</f>
        <v/>
      </c>
      <c r="F208" s="40" t="str">
        <f>IFERROR(IF(Calc!J208&lt;=$C$4,CONCATENATE(TEXT(Calc!H208,"#0.000#")," + ",TEXT(INDEX(Calc!L208:P208,$B$4),"#0.000#")),""),"")</f>
        <v/>
      </c>
      <c r="G208" s="41" t="str">
        <f>IFERROR(IF(Calc!J208&lt;=$C$4,Calc!J208,""),"")</f>
        <v/>
      </c>
      <c r="H208" s="33" t="str">
        <f>IFERROR(IF(Calc!J208&lt;=$D$4,"Nice",""),"")</f>
        <v/>
      </c>
      <c r="J208" s="7" t="str">
        <f>CONCATENATE("[",TEXT(Show!A208,"#.0#"),":",TEXT(Show!B208,"#.0#"),"][",TEXT(Show!E208,"#.0#"),":",TEXT(Show!F208,"#.0#"),"]")</f>
        <v>[:][:]</v>
      </c>
    </row>
    <row r="209" spans="1:10" hidden="1" x14ac:dyDescent="0.25">
      <c r="A209" s="40" t="str">
        <f>IFERROR(IF(Calc!E209&lt;=$C$4,Calc!D209,""),"")</f>
        <v/>
      </c>
      <c r="B209" s="40" t="str">
        <f>IFERROR(IF(Calc!E209&lt;=$C$4,CONCATENATE(TEXT(Calc!C209,"#0.000#")," || ",TEXT(INDEX(Calc!L209:P209,$B$4),"#0.000#")),""),"")</f>
        <v/>
      </c>
      <c r="C209" s="41" t="str">
        <f>IFERROR(IF(Calc!E209&lt;=$C$4,Calc!E209,""),"")</f>
        <v/>
      </c>
      <c r="D209" s="33" t="str">
        <f>IFERROR(IF(Calc!E209&lt;=$D$4,"Nice",""),"")</f>
        <v/>
      </c>
      <c r="E209" s="40" t="str">
        <f>IFERROR(IF(Calc!J209&lt;=$C$4,Calc!I209,""),"")</f>
        <v/>
      </c>
      <c r="F209" s="40" t="str">
        <f>IFERROR(IF(Calc!J209&lt;=$C$4,CONCATENATE(TEXT(Calc!H209,"#0.000#")," + ",TEXT(INDEX(Calc!L209:P209,$B$4),"#0.000#")),""),"")</f>
        <v/>
      </c>
      <c r="G209" s="41" t="str">
        <f>IFERROR(IF(Calc!J209&lt;=$C$4,Calc!J209,""),"")</f>
        <v/>
      </c>
      <c r="H209" s="33" t="str">
        <f>IFERROR(IF(Calc!J209&lt;=$D$4,"Nice",""),"")</f>
        <v/>
      </c>
      <c r="J209" s="7" t="str">
        <f>CONCATENATE("[",TEXT(Show!A209,"#.0#"),":",TEXT(Show!B209,"#.0#"),"][",TEXT(Show!E209,"#.0#"),":",TEXT(Show!F209,"#.0#"),"]")</f>
        <v>[:][:]</v>
      </c>
    </row>
    <row r="210" spans="1:10" hidden="1" x14ac:dyDescent="0.25">
      <c r="A210" s="40" t="str">
        <f>IFERROR(IF(Calc!E210&lt;=$C$4,Calc!D210,""),"")</f>
        <v/>
      </c>
      <c r="B210" s="40" t="str">
        <f>IFERROR(IF(Calc!E210&lt;=$C$4,CONCATENATE(TEXT(Calc!C210,"#0.000#")," || ",TEXT(INDEX(Calc!L210:P210,$B$4),"#0.000#")),""),"")</f>
        <v/>
      </c>
      <c r="C210" s="41" t="str">
        <f>IFERROR(IF(Calc!E210&lt;=$C$4,Calc!E210,""),"")</f>
        <v/>
      </c>
      <c r="D210" s="33" t="str">
        <f>IFERROR(IF(Calc!E210&lt;=$D$4,"Nice",""),"")</f>
        <v/>
      </c>
      <c r="E210" s="40" t="str">
        <f>IFERROR(IF(Calc!J210&lt;=$C$4,Calc!I210,""),"")</f>
        <v/>
      </c>
      <c r="F210" s="40" t="str">
        <f>IFERROR(IF(Calc!J210&lt;=$C$4,CONCATENATE(TEXT(Calc!H210,"#0.000#")," + ",TEXT(INDEX(Calc!L210:P210,$B$4),"#0.000#")),""),"")</f>
        <v/>
      </c>
      <c r="G210" s="41" t="str">
        <f>IFERROR(IF(Calc!J210&lt;=$C$4,Calc!J210,""),"")</f>
        <v/>
      </c>
      <c r="H210" s="33" t="str">
        <f>IFERROR(IF(Calc!J210&lt;=$D$4,"Nice",""),"")</f>
        <v/>
      </c>
      <c r="J210" s="7" t="str">
        <f>CONCATENATE("[",TEXT(Show!A210,"#.0#"),":",TEXT(Show!B210,"#.0#"),"][",TEXT(Show!E210,"#.0#"),":",TEXT(Show!F210,"#.0#"),"]")</f>
        <v>[:][:]</v>
      </c>
    </row>
    <row r="211" spans="1:10" hidden="1" x14ac:dyDescent="0.25">
      <c r="A211" s="40" t="str">
        <f>IFERROR(IF(Calc!E211&lt;=$C$4,Calc!D211,""),"")</f>
        <v/>
      </c>
      <c r="B211" s="40" t="str">
        <f>IFERROR(IF(Calc!E211&lt;=$C$4,CONCATENATE(TEXT(Calc!C211,"#0.000#")," || ",TEXT(INDEX(Calc!L211:P211,$B$4),"#0.000#")),""),"")</f>
        <v/>
      </c>
      <c r="C211" s="41" t="str">
        <f>IFERROR(IF(Calc!E211&lt;=$C$4,Calc!E211,""),"")</f>
        <v/>
      </c>
      <c r="D211" s="33" t="str">
        <f>IFERROR(IF(Calc!E211&lt;=$D$4,"Nice",""),"")</f>
        <v/>
      </c>
      <c r="E211" s="40" t="str">
        <f>IFERROR(IF(Calc!J211&lt;=$C$4,Calc!I211,""),"")</f>
        <v/>
      </c>
      <c r="F211" s="40" t="str">
        <f>IFERROR(IF(Calc!J211&lt;=$C$4,CONCATENATE(TEXT(Calc!H211,"#0.000#")," + ",TEXT(INDEX(Calc!L211:P211,$B$4),"#0.000#")),""),"")</f>
        <v/>
      </c>
      <c r="G211" s="41" t="str">
        <f>IFERROR(IF(Calc!J211&lt;=$C$4,Calc!J211,""),"")</f>
        <v/>
      </c>
      <c r="H211" s="33" t="str">
        <f>IFERROR(IF(Calc!J211&lt;=$D$4,"Nice",""),"")</f>
        <v/>
      </c>
      <c r="J211" s="7" t="str">
        <f>CONCATENATE("[",TEXT(Show!A211,"#.0#"),":",TEXT(Show!B211,"#.0#"),"][",TEXT(Show!E211,"#.0#"),":",TEXT(Show!F211,"#.0#"),"]")</f>
        <v>[:][:]</v>
      </c>
    </row>
    <row r="212" spans="1:10" hidden="1" x14ac:dyDescent="0.25">
      <c r="A212" s="40" t="str">
        <f>IFERROR(IF(Calc!E212&lt;=$C$4,Calc!D212,""),"")</f>
        <v/>
      </c>
      <c r="B212" s="40" t="str">
        <f>IFERROR(IF(Calc!E212&lt;=$C$4,CONCATENATE(TEXT(Calc!C212,"#0.000#")," || ",TEXT(INDEX(Calc!L212:P212,$B$4),"#0.000#")),""),"")</f>
        <v/>
      </c>
      <c r="C212" s="41" t="str">
        <f>IFERROR(IF(Calc!E212&lt;=$C$4,Calc!E212,""),"")</f>
        <v/>
      </c>
      <c r="D212" s="33" t="str">
        <f>IFERROR(IF(Calc!E212&lt;=$D$4,"Nice",""),"")</f>
        <v/>
      </c>
      <c r="E212" s="40" t="str">
        <f>IFERROR(IF(Calc!J212&lt;=$C$4,Calc!I212,""),"")</f>
        <v/>
      </c>
      <c r="F212" s="40" t="str">
        <f>IFERROR(IF(Calc!J212&lt;=$C$4,CONCATENATE(TEXT(Calc!H212,"#0.000#")," + ",TEXT(INDEX(Calc!L212:P212,$B$4),"#0.000#")),""),"")</f>
        <v/>
      </c>
      <c r="G212" s="41" t="str">
        <f>IFERROR(IF(Calc!J212&lt;=$C$4,Calc!J212,""),"")</f>
        <v/>
      </c>
      <c r="H212" s="33" t="str">
        <f>IFERROR(IF(Calc!J212&lt;=$D$4,"Nice",""),"")</f>
        <v/>
      </c>
      <c r="J212" s="7" t="str">
        <f>CONCATENATE("[",TEXT(Show!A212,"#.0#"),":",TEXT(Show!B212,"#.0#"),"][",TEXT(Show!E212,"#.0#"),":",TEXT(Show!F212,"#.0#"),"]")</f>
        <v>[:][:]</v>
      </c>
    </row>
    <row r="213" spans="1:10" hidden="1" x14ac:dyDescent="0.25">
      <c r="A213" s="40" t="str">
        <f>IFERROR(IF(Calc!E213&lt;=$C$4,Calc!D213,""),"")</f>
        <v/>
      </c>
      <c r="B213" s="40" t="str">
        <f>IFERROR(IF(Calc!E213&lt;=$C$4,CONCATENATE(TEXT(Calc!C213,"#0.000#")," || ",TEXT(INDEX(Calc!L213:P213,$B$4),"#0.000#")),""),"")</f>
        <v/>
      </c>
      <c r="C213" s="41" t="str">
        <f>IFERROR(IF(Calc!E213&lt;=$C$4,Calc!E213,""),"")</f>
        <v/>
      </c>
      <c r="D213" s="33" t="str">
        <f>IFERROR(IF(Calc!E213&lt;=$D$4,"Nice",""),"")</f>
        <v/>
      </c>
      <c r="E213" s="40" t="str">
        <f>IFERROR(IF(Calc!J213&lt;=$C$4,Calc!I213,""),"")</f>
        <v/>
      </c>
      <c r="F213" s="40" t="str">
        <f>IFERROR(IF(Calc!J213&lt;=$C$4,CONCATENATE(TEXT(Calc!H213,"#0.000#")," + ",TEXT(INDEX(Calc!L213:P213,$B$4),"#0.000#")),""),"")</f>
        <v/>
      </c>
      <c r="G213" s="41" t="str">
        <f>IFERROR(IF(Calc!J213&lt;=$C$4,Calc!J213,""),"")</f>
        <v/>
      </c>
      <c r="H213" s="33" t="str">
        <f>IFERROR(IF(Calc!J213&lt;=$D$4,"Nice",""),"")</f>
        <v/>
      </c>
      <c r="J213" s="7" t="str">
        <f>CONCATENATE("[",TEXT(Show!A213,"#.0#"),":",TEXT(Show!B213,"#.0#"),"][",TEXT(Show!E213,"#.0#"),":",TEXT(Show!F213,"#.0#"),"]")</f>
        <v>[:][:]</v>
      </c>
    </row>
    <row r="214" spans="1:10" hidden="1" x14ac:dyDescent="0.25">
      <c r="A214" s="40" t="str">
        <f>IFERROR(IF(Calc!E214&lt;=$C$4,Calc!D214,""),"")</f>
        <v/>
      </c>
      <c r="B214" s="40" t="str">
        <f>IFERROR(IF(Calc!E214&lt;=$C$4,CONCATENATE(TEXT(Calc!C214,"#0.000#")," || ",TEXT(INDEX(Calc!L214:P214,$B$4),"#0.000#")),""),"")</f>
        <v/>
      </c>
      <c r="C214" s="41" t="str">
        <f>IFERROR(IF(Calc!E214&lt;=$C$4,Calc!E214,""),"")</f>
        <v/>
      </c>
      <c r="D214" s="33" t="str">
        <f>IFERROR(IF(Calc!E214&lt;=$D$4,"Nice",""),"")</f>
        <v/>
      </c>
      <c r="E214" s="40" t="str">
        <f>IFERROR(IF(Calc!J214&lt;=$C$4,Calc!I214,""),"")</f>
        <v/>
      </c>
      <c r="F214" s="40" t="str">
        <f>IFERROR(IF(Calc!J214&lt;=$C$4,CONCATENATE(TEXT(Calc!H214,"#0.000#")," + ",TEXT(INDEX(Calc!L214:P214,$B$4),"#0.000#")),""),"")</f>
        <v/>
      </c>
      <c r="G214" s="41" t="str">
        <f>IFERROR(IF(Calc!J214&lt;=$C$4,Calc!J214,""),"")</f>
        <v/>
      </c>
      <c r="H214" s="33" t="str">
        <f>IFERROR(IF(Calc!J214&lt;=$D$4,"Nice",""),"")</f>
        <v/>
      </c>
      <c r="J214" s="7" t="str">
        <f>CONCATENATE("[",TEXT(Show!A214,"#.0#"),":",TEXT(Show!B214,"#.0#"),"][",TEXT(Show!E214,"#.0#"),":",TEXT(Show!F214,"#.0#"),"]")</f>
        <v>[:][:]</v>
      </c>
    </row>
    <row r="215" spans="1:10" hidden="1" x14ac:dyDescent="0.25">
      <c r="A215" s="40" t="str">
        <f>IFERROR(IF(Calc!E215&lt;=$C$4,Calc!D215,""),"")</f>
        <v/>
      </c>
      <c r="B215" s="40" t="str">
        <f>IFERROR(IF(Calc!E215&lt;=$C$4,CONCATENATE(TEXT(Calc!C215,"#0.000#")," || ",TEXT(INDEX(Calc!L215:P215,$B$4),"#0.000#")),""),"")</f>
        <v/>
      </c>
      <c r="C215" s="41" t="str">
        <f>IFERROR(IF(Calc!E215&lt;=$C$4,Calc!E215,""),"")</f>
        <v/>
      </c>
      <c r="D215" s="33" t="str">
        <f>IFERROR(IF(Calc!E215&lt;=$D$4,"Nice",""),"")</f>
        <v/>
      </c>
      <c r="E215" s="40" t="str">
        <f>IFERROR(IF(Calc!J215&lt;=$C$4,Calc!I215,""),"")</f>
        <v/>
      </c>
      <c r="F215" s="40" t="str">
        <f>IFERROR(IF(Calc!J215&lt;=$C$4,CONCATENATE(TEXT(Calc!H215,"#0.000#")," + ",TEXT(INDEX(Calc!L215:P215,$B$4),"#0.000#")),""),"")</f>
        <v/>
      </c>
      <c r="G215" s="41" t="str">
        <f>IFERROR(IF(Calc!J215&lt;=$C$4,Calc!J215,""),"")</f>
        <v/>
      </c>
      <c r="H215" s="33" t="str">
        <f>IFERROR(IF(Calc!J215&lt;=$D$4,"Nice",""),"")</f>
        <v/>
      </c>
      <c r="J215" s="7" t="str">
        <f>CONCATENATE("[",TEXT(Show!A215,"#.0#"),":",TEXT(Show!B215,"#.0#"),"][",TEXT(Show!E215,"#.0#"),":",TEXT(Show!F215,"#.0#"),"]")</f>
        <v>[:][:]</v>
      </c>
    </row>
    <row r="216" spans="1:10" hidden="1" x14ac:dyDescent="0.25">
      <c r="A216" s="40" t="str">
        <f>IFERROR(IF(Calc!E216&lt;=$C$4,Calc!D216,""),"")</f>
        <v/>
      </c>
      <c r="B216" s="40" t="str">
        <f>IFERROR(IF(Calc!E216&lt;=$C$4,CONCATENATE(TEXT(Calc!C216,"#0.000#")," || ",TEXT(INDEX(Calc!L216:P216,$B$4),"#0.000#")),""),"")</f>
        <v/>
      </c>
      <c r="C216" s="41" t="str">
        <f>IFERROR(IF(Calc!E216&lt;=$C$4,Calc!E216,""),"")</f>
        <v/>
      </c>
      <c r="D216" s="33" t="str">
        <f>IFERROR(IF(Calc!E216&lt;=$D$4,"Nice",""),"")</f>
        <v/>
      </c>
      <c r="E216" s="40" t="str">
        <f>IFERROR(IF(Calc!J216&lt;=$C$4,Calc!I216,""),"")</f>
        <v/>
      </c>
      <c r="F216" s="40" t="str">
        <f>IFERROR(IF(Calc!J216&lt;=$C$4,CONCATENATE(TEXT(Calc!H216,"#0.000#")," + ",TEXT(INDEX(Calc!L216:P216,$B$4),"#0.000#")),""),"")</f>
        <v/>
      </c>
      <c r="G216" s="41" t="str">
        <f>IFERROR(IF(Calc!J216&lt;=$C$4,Calc!J216,""),"")</f>
        <v/>
      </c>
      <c r="H216" s="33" t="str">
        <f>IFERROR(IF(Calc!J216&lt;=$D$4,"Nice",""),"")</f>
        <v/>
      </c>
      <c r="J216" s="7" t="str">
        <f>CONCATENATE("[",TEXT(Show!A216,"#.0#"),":",TEXT(Show!B216,"#.0#"),"][",TEXT(Show!E216,"#.0#"),":",TEXT(Show!F216,"#.0#"),"]")</f>
        <v>[:][:]</v>
      </c>
    </row>
    <row r="217" spans="1:10" x14ac:dyDescent="0.25">
      <c r="A217" s="40" t="str">
        <f>IFERROR(IF(Calc!E217&lt;=$C$4,Calc!D217,""),"")</f>
        <v/>
      </c>
      <c r="B217" s="40" t="str">
        <f>IFERROR(IF(Calc!E217&lt;=$C$4,CONCATENATE(TEXT(Calc!C217,"#0.000#")," || ",TEXT(INDEX(Calc!L217:P217,$B$4),"#0.000#")),""),"")</f>
        <v/>
      </c>
      <c r="C217" s="41" t="str">
        <f>IFERROR(IF(Calc!E217&lt;=$C$4,Calc!E217,""),"")</f>
        <v/>
      </c>
      <c r="D217" s="33" t="str">
        <f>IFERROR(IF(Calc!E217&lt;=$D$4,"Nice",""),"")</f>
        <v/>
      </c>
      <c r="E217" s="40">
        <f>IFERROR(IF(Calc!J217&lt;=$C$4,Calc!I217,""),"")</f>
        <v>39.9</v>
      </c>
      <c r="F217" s="40" t="str">
        <f>IFERROR(IF(Calc!J217&lt;=$C$4,CONCATENATE(TEXT(Calc!H217,"#0.000#")," + ",TEXT(INDEX(Calc!L217:P217,$B$4),"#0.000#")),""),"")</f>
        <v>23.700 + 16.200</v>
      </c>
      <c r="G217" s="41">
        <f>IFERROR(IF(Calc!J217&lt;=$C$4,Calc!J217,""),"")</f>
        <v>0.25000000000000355</v>
      </c>
      <c r="H217" s="33" t="str">
        <f>IFERROR(IF(Calc!J217&lt;=$D$4,"Nice",""),"")</f>
        <v/>
      </c>
      <c r="J217" s="7" t="str">
        <f>CONCATENATE("[",TEXT(Show!A217,"#.0#"),":",TEXT(Show!B217,"#.0#"),"][",TEXT(Show!E217,"#.0#"),":",TEXT(Show!F217,"#.0#"),"]")</f>
        <v>[:][39.9:23.700 + 16.200]</v>
      </c>
    </row>
    <row r="218" spans="1:10" hidden="1" x14ac:dyDescent="0.25">
      <c r="A218" s="40" t="str">
        <f>IFERROR(IF(Calc!E218&lt;=$C$4,Calc!D218,""),"")</f>
        <v/>
      </c>
      <c r="B218" s="40" t="str">
        <f>IFERROR(IF(Calc!E218&lt;=$C$4,CONCATENATE(TEXT(Calc!C218,"#0.000#")," || ",TEXT(INDEX(Calc!L218:P218,$B$4),"#0.000#")),""),"")</f>
        <v/>
      </c>
      <c r="C218" s="41" t="str">
        <f>IFERROR(IF(Calc!E218&lt;=$C$4,Calc!E218,""),"")</f>
        <v/>
      </c>
      <c r="D218" s="33" t="str">
        <f>IFERROR(IF(Calc!E218&lt;=$D$4,"Nice",""),"")</f>
        <v/>
      </c>
      <c r="E218" s="40">
        <f>IFERROR(IF(Calc!J218&lt;=$C$4,Calc!I218,""),"")</f>
        <v>39.9</v>
      </c>
      <c r="F218" s="40" t="str">
        <f>IFERROR(IF(Calc!J218&lt;=$C$4,CONCATENATE(TEXT(Calc!H218,"#0.000#")," + ",TEXT(INDEX(Calc!L218:P218,$B$4),"#0.000#")),""),"")</f>
        <v>23.700 + 16.200</v>
      </c>
      <c r="G218" s="41">
        <f>IFERROR(IF(Calc!J218&lt;=$C$4,Calc!J218,""),"")</f>
        <v>0.25000000000000355</v>
      </c>
      <c r="H218" s="33" t="str">
        <f>IFERROR(IF(Calc!J218&lt;=$D$4,"Nice",""),"")</f>
        <v/>
      </c>
      <c r="J218" s="7" t="str">
        <f>CONCATENATE("[",TEXT(Show!A218,"#.0#"),":",TEXT(Show!B218,"#.0#"),"][",TEXT(Show!E218,"#.0#"),":",TEXT(Show!F218,"#.0#"),"]")</f>
        <v>[:][39.9:23.700 + 16.200]</v>
      </c>
    </row>
    <row r="219" spans="1:10" hidden="1" x14ac:dyDescent="0.25">
      <c r="A219" s="40" t="str">
        <f>IFERROR(IF(Calc!E219&lt;=$C$4,Calc!D219,""),"")</f>
        <v/>
      </c>
      <c r="B219" s="40" t="str">
        <f>IFERROR(IF(Calc!E219&lt;=$C$4,CONCATENATE(TEXT(Calc!C219,"#0.000#")," || ",TEXT(INDEX(Calc!L219:P219,$B$4),"#0.000#")),""),"")</f>
        <v/>
      </c>
      <c r="C219" s="41" t="str">
        <f>IFERROR(IF(Calc!E219&lt;=$C$4,Calc!E219,""),"")</f>
        <v/>
      </c>
      <c r="D219" s="33" t="str">
        <f>IFERROR(IF(Calc!E219&lt;=$D$4,"Nice",""),"")</f>
        <v/>
      </c>
      <c r="E219" s="40">
        <f>IFERROR(IF(Calc!J219&lt;=$C$4,Calc!I219,""),"")</f>
        <v>39.9</v>
      </c>
      <c r="F219" s="40" t="str">
        <f>IFERROR(IF(Calc!J219&lt;=$C$4,CONCATENATE(TEXT(Calc!H219,"#0.000#")," + ",TEXT(INDEX(Calc!L219:P219,$B$4),"#0.000#")),""),"")</f>
        <v>23.700 + 16.200</v>
      </c>
      <c r="G219" s="41">
        <f>IFERROR(IF(Calc!J219&lt;=$C$4,Calc!J219,""),"")</f>
        <v>0.25000000000000355</v>
      </c>
      <c r="H219" s="33" t="str">
        <f>IFERROR(IF(Calc!J219&lt;=$D$4,"Nice",""),"")</f>
        <v/>
      </c>
      <c r="J219" s="7" t="str">
        <f>CONCATENATE("[",TEXT(Show!A219,"#.0#"),":",TEXT(Show!B219,"#.0#"),"][",TEXT(Show!E219,"#.0#"),":",TEXT(Show!F219,"#.0#"),"]")</f>
        <v>[:][39.9:23.700 + 16.200]</v>
      </c>
    </row>
    <row r="220" spans="1:10" hidden="1" x14ac:dyDescent="0.25">
      <c r="A220" s="40" t="str">
        <f>IFERROR(IF(Calc!E220&lt;=$C$4,Calc!D220,""),"")</f>
        <v/>
      </c>
      <c r="B220" s="40" t="str">
        <f>IFERROR(IF(Calc!E220&lt;=$C$4,CONCATENATE(TEXT(Calc!C220,"#0.000#")," || ",TEXT(INDEX(Calc!L220:P220,$B$4),"#0.000#")),""),"")</f>
        <v/>
      </c>
      <c r="C220" s="41" t="str">
        <f>IFERROR(IF(Calc!E220&lt;=$C$4,Calc!E220,""),"")</f>
        <v/>
      </c>
      <c r="D220" s="33" t="str">
        <f>IFERROR(IF(Calc!E220&lt;=$D$4,"Nice",""),"")</f>
        <v/>
      </c>
      <c r="E220" s="40">
        <f>IFERROR(IF(Calc!J220&lt;=$C$4,Calc!I220,""),"")</f>
        <v>39.9</v>
      </c>
      <c r="F220" s="40" t="str">
        <f>IFERROR(IF(Calc!J220&lt;=$C$4,CONCATENATE(TEXT(Calc!H220,"#0.000#")," + ",TEXT(INDEX(Calc!L220:P220,$B$4),"#0.000#")),""),"")</f>
        <v>23.700 + 16.200</v>
      </c>
      <c r="G220" s="41">
        <f>IFERROR(IF(Calc!J220&lt;=$C$4,Calc!J220,""),"")</f>
        <v>0.25000000000000355</v>
      </c>
      <c r="H220" s="33" t="str">
        <f>IFERROR(IF(Calc!J220&lt;=$D$4,"Nice",""),"")</f>
        <v/>
      </c>
      <c r="J220" s="7" t="str">
        <f>CONCATENATE("[",TEXT(Show!A220,"#.0#"),":",TEXT(Show!B220,"#.0#"),"][",TEXT(Show!E220,"#.0#"),":",TEXT(Show!F220,"#.0#"),"]")</f>
        <v>[:][39.9:23.700 + 16.200]</v>
      </c>
    </row>
    <row r="221" spans="1:10" hidden="1" x14ac:dyDescent="0.25">
      <c r="A221" s="40" t="str">
        <f>IFERROR(IF(Calc!E221&lt;=$C$4,Calc!D221,""),"")</f>
        <v/>
      </c>
      <c r="B221" s="40" t="str">
        <f>IFERROR(IF(Calc!E221&lt;=$C$4,CONCATENATE(TEXT(Calc!C221,"#0.000#")," || ",TEXT(INDEX(Calc!L221:P221,$B$4),"#0.000#")),""),"")</f>
        <v/>
      </c>
      <c r="C221" s="41" t="str">
        <f>IFERROR(IF(Calc!E221&lt;=$C$4,Calc!E221,""),"")</f>
        <v/>
      </c>
      <c r="D221" s="33" t="str">
        <f>IFERROR(IF(Calc!E221&lt;=$D$4,"Nice",""),"")</f>
        <v/>
      </c>
      <c r="E221" s="40" t="str">
        <f>IFERROR(IF(Calc!J221&lt;=$C$4,Calc!I221,""),"")</f>
        <v/>
      </c>
      <c r="F221" s="40" t="str">
        <f>IFERROR(IF(Calc!J221&lt;=$C$4,CONCATENATE(TEXT(Calc!H221,"#0.000#")," + ",TEXT(INDEX(Calc!L221:P221,$B$4),"#0.000#")),""),"")</f>
        <v/>
      </c>
      <c r="G221" s="41" t="str">
        <f>IFERROR(IF(Calc!J221&lt;=$C$4,Calc!J221,""),"")</f>
        <v/>
      </c>
      <c r="H221" s="33" t="str">
        <f>IFERROR(IF(Calc!J221&lt;=$D$4,"Nice",""),"")</f>
        <v/>
      </c>
      <c r="J221" s="7" t="str">
        <f>CONCATENATE("[",TEXT(Show!A221,"#.0#"),":",TEXT(Show!B221,"#.0#"),"][",TEXT(Show!E221,"#.0#"),":",TEXT(Show!F221,"#.0#"),"]")</f>
        <v>[:][:]</v>
      </c>
    </row>
    <row r="222" spans="1:10" hidden="1" x14ac:dyDescent="0.25">
      <c r="A222" s="40" t="str">
        <f>IFERROR(IF(Calc!E222&lt;=$C$4,Calc!D222,""),"")</f>
        <v/>
      </c>
      <c r="B222" s="40" t="str">
        <f>IFERROR(IF(Calc!E222&lt;=$C$4,CONCATENATE(TEXT(Calc!C222,"#0.000#")," || ",TEXT(INDEX(Calc!L222:P222,$B$4),"#0.000#")),""),"")</f>
        <v/>
      </c>
      <c r="C222" s="41" t="str">
        <f>IFERROR(IF(Calc!E222&lt;=$C$4,Calc!E222,""),"")</f>
        <v/>
      </c>
      <c r="D222" s="33" t="str">
        <f>IFERROR(IF(Calc!E222&lt;=$D$4,"Nice",""),"")</f>
        <v/>
      </c>
      <c r="E222" s="40" t="str">
        <f>IFERROR(IF(Calc!J222&lt;=$C$4,Calc!I222,""),"")</f>
        <v/>
      </c>
      <c r="F222" s="40" t="str">
        <f>IFERROR(IF(Calc!J222&lt;=$C$4,CONCATENATE(TEXT(Calc!H222,"#0.000#")," + ",TEXT(INDEX(Calc!L222:P222,$B$4),"#0.000#")),""),"")</f>
        <v/>
      </c>
      <c r="G222" s="41" t="str">
        <f>IFERROR(IF(Calc!J222&lt;=$C$4,Calc!J222,""),"")</f>
        <v/>
      </c>
      <c r="H222" s="33" t="str">
        <f>IFERROR(IF(Calc!J222&lt;=$D$4,"Nice",""),"")</f>
        <v/>
      </c>
      <c r="J222" s="7" t="str">
        <f>CONCATENATE("[",TEXT(Show!A222,"#.0#"),":",TEXT(Show!B222,"#.0#"),"][",TEXT(Show!E222,"#.0#"),":",TEXT(Show!F222,"#.0#"),"]")</f>
        <v>[:][:]</v>
      </c>
    </row>
    <row r="223" spans="1:10" hidden="1" x14ac:dyDescent="0.25">
      <c r="A223" s="40" t="str">
        <f>IFERROR(IF(Calc!E223&lt;=$C$4,Calc!D223,""),"")</f>
        <v/>
      </c>
      <c r="B223" s="40" t="str">
        <f>IFERROR(IF(Calc!E223&lt;=$C$4,CONCATENATE(TEXT(Calc!C223,"#0.000#")," || ",TEXT(INDEX(Calc!L223:P223,$B$4),"#0.000#")),""),"")</f>
        <v/>
      </c>
      <c r="C223" s="41" t="str">
        <f>IFERROR(IF(Calc!E223&lt;=$C$4,Calc!E223,""),"")</f>
        <v/>
      </c>
      <c r="D223" s="33" t="str">
        <f>IFERROR(IF(Calc!E223&lt;=$D$4,"Nice",""),"")</f>
        <v/>
      </c>
      <c r="E223" s="40" t="str">
        <f>IFERROR(IF(Calc!J223&lt;=$C$4,Calc!I223,""),"")</f>
        <v/>
      </c>
      <c r="F223" s="40" t="str">
        <f>IFERROR(IF(Calc!J223&lt;=$C$4,CONCATENATE(TEXT(Calc!H223,"#0.000#")," + ",TEXT(INDEX(Calc!L223:P223,$B$4),"#0.000#")),""),"")</f>
        <v/>
      </c>
      <c r="G223" s="41" t="str">
        <f>IFERROR(IF(Calc!J223&lt;=$C$4,Calc!J223,""),"")</f>
        <v/>
      </c>
      <c r="H223" s="33" t="str">
        <f>IFERROR(IF(Calc!J223&lt;=$D$4,"Nice",""),"")</f>
        <v/>
      </c>
      <c r="J223" s="7" t="str">
        <f>CONCATENATE("[",TEXT(Show!A223,"#.0#"),":",TEXT(Show!B223,"#.0#"),"][",TEXT(Show!E223,"#.0#"),":",TEXT(Show!F223,"#.0#"),"]")</f>
        <v>[:][:]</v>
      </c>
    </row>
    <row r="224" spans="1:10" hidden="1" x14ac:dyDescent="0.25">
      <c r="A224" s="40" t="str">
        <f>IFERROR(IF(Calc!E224&lt;=$C$4,Calc!D224,""),"")</f>
        <v/>
      </c>
      <c r="B224" s="40" t="str">
        <f>IFERROR(IF(Calc!E224&lt;=$C$4,CONCATENATE(TEXT(Calc!C224,"#0.000#")," || ",TEXT(INDEX(Calc!L224:P224,$B$4),"#0.000#")),""),"")</f>
        <v/>
      </c>
      <c r="C224" s="41" t="str">
        <f>IFERROR(IF(Calc!E224&lt;=$C$4,Calc!E224,""),"")</f>
        <v/>
      </c>
      <c r="D224" s="33" t="str">
        <f>IFERROR(IF(Calc!E224&lt;=$D$4,"Nice",""),"")</f>
        <v/>
      </c>
      <c r="E224" s="40" t="str">
        <f>IFERROR(IF(Calc!J224&lt;=$C$4,Calc!I224,""),"")</f>
        <v/>
      </c>
      <c r="F224" s="40" t="str">
        <f>IFERROR(IF(Calc!J224&lt;=$C$4,CONCATENATE(TEXT(Calc!H224,"#0.000#")," + ",TEXT(INDEX(Calc!L224:P224,$B$4),"#0.000#")),""),"")</f>
        <v/>
      </c>
      <c r="G224" s="41" t="str">
        <f>IFERROR(IF(Calc!J224&lt;=$C$4,Calc!J224,""),"")</f>
        <v/>
      </c>
      <c r="H224" s="33" t="str">
        <f>IFERROR(IF(Calc!J224&lt;=$D$4,"Nice",""),"")</f>
        <v/>
      </c>
      <c r="J224" s="7" t="str">
        <f>CONCATENATE("[",TEXT(Show!A224,"#.0#"),":",TEXT(Show!B224,"#.0#"),"][",TEXT(Show!E224,"#.0#"),":",TEXT(Show!F224,"#.0#"),"]")</f>
        <v>[:][:]</v>
      </c>
    </row>
    <row r="225" spans="1:10" hidden="1" x14ac:dyDescent="0.25">
      <c r="A225" s="40" t="str">
        <f>IFERROR(IF(Calc!E225&lt;=$C$4,Calc!D225,""),"")</f>
        <v/>
      </c>
      <c r="B225" s="40" t="str">
        <f>IFERROR(IF(Calc!E225&lt;=$C$4,CONCATENATE(TEXT(Calc!C225,"#0.000#")," || ",TEXT(INDEX(Calc!L225:P225,$B$4),"#0.000#")),""),"")</f>
        <v/>
      </c>
      <c r="C225" s="41" t="str">
        <f>IFERROR(IF(Calc!E225&lt;=$C$4,Calc!E225,""),"")</f>
        <v/>
      </c>
      <c r="D225" s="33" t="str">
        <f>IFERROR(IF(Calc!E225&lt;=$D$4,"Nice",""),"")</f>
        <v/>
      </c>
      <c r="E225" s="40" t="str">
        <f>IFERROR(IF(Calc!J225&lt;=$C$4,Calc!I225,""),"")</f>
        <v/>
      </c>
      <c r="F225" s="40" t="str">
        <f>IFERROR(IF(Calc!J225&lt;=$C$4,CONCATENATE(TEXT(Calc!H225,"#0.000#")," + ",TEXT(INDEX(Calc!L225:P225,$B$4),"#0.000#")),""),"")</f>
        <v/>
      </c>
      <c r="G225" s="41" t="str">
        <f>IFERROR(IF(Calc!J225&lt;=$C$4,Calc!J225,""),"")</f>
        <v/>
      </c>
      <c r="H225" s="33" t="str">
        <f>IFERROR(IF(Calc!J225&lt;=$D$4,"Nice",""),"")</f>
        <v/>
      </c>
      <c r="J225" s="7" t="str">
        <f>CONCATENATE("[",TEXT(Show!A225,"#.0#"),":",TEXT(Show!B225,"#.0#"),"][",TEXT(Show!E225,"#.0#"),":",TEXT(Show!F225,"#.0#"),"]")</f>
        <v>[:][:]</v>
      </c>
    </row>
    <row r="226" spans="1:10" hidden="1" x14ac:dyDescent="0.25">
      <c r="A226" s="40" t="str">
        <f>IFERROR(IF(Calc!E226&lt;=$C$4,Calc!D226,""),"")</f>
        <v/>
      </c>
      <c r="B226" s="40" t="str">
        <f>IFERROR(IF(Calc!E226&lt;=$C$4,CONCATENATE(TEXT(Calc!C226,"#0.000#")," || ",TEXT(INDEX(Calc!L226:P226,$B$4),"#0.000#")),""),"")</f>
        <v/>
      </c>
      <c r="C226" s="41" t="str">
        <f>IFERROR(IF(Calc!E226&lt;=$C$4,Calc!E226,""),"")</f>
        <v/>
      </c>
      <c r="D226" s="33" t="str">
        <f>IFERROR(IF(Calc!E226&lt;=$D$4,"Nice",""),"")</f>
        <v/>
      </c>
      <c r="E226" s="40" t="str">
        <f>IFERROR(IF(Calc!J226&lt;=$C$4,Calc!I226,""),"")</f>
        <v/>
      </c>
      <c r="F226" s="40" t="str">
        <f>IFERROR(IF(Calc!J226&lt;=$C$4,CONCATENATE(TEXT(Calc!H226,"#0.000#")," + ",TEXT(INDEX(Calc!L226:P226,$B$4),"#0.000#")),""),"")</f>
        <v/>
      </c>
      <c r="G226" s="41" t="str">
        <f>IFERROR(IF(Calc!J226&lt;=$C$4,Calc!J226,""),"")</f>
        <v/>
      </c>
      <c r="H226" s="33" t="str">
        <f>IFERROR(IF(Calc!J226&lt;=$D$4,"Nice",""),"")</f>
        <v/>
      </c>
      <c r="J226" s="7" t="str">
        <f>CONCATENATE("[",TEXT(Show!A226,"#.0#"),":",TEXT(Show!B226,"#.0#"),"][",TEXT(Show!E226,"#.0#"),":",TEXT(Show!F226,"#.0#"),"]")</f>
        <v>[:][:]</v>
      </c>
    </row>
    <row r="227" spans="1:10" hidden="1" x14ac:dyDescent="0.25">
      <c r="A227" s="40" t="str">
        <f>IFERROR(IF(Calc!E227&lt;=$C$4,Calc!D227,""),"")</f>
        <v/>
      </c>
      <c r="B227" s="40" t="str">
        <f>IFERROR(IF(Calc!E227&lt;=$C$4,CONCATENATE(TEXT(Calc!C227,"#0.000#")," || ",TEXT(INDEX(Calc!L227:P227,$B$4),"#0.000#")),""),"")</f>
        <v/>
      </c>
      <c r="C227" s="41" t="str">
        <f>IFERROR(IF(Calc!E227&lt;=$C$4,Calc!E227,""),"")</f>
        <v/>
      </c>
      <c r="D227" s="33" t="str">
        <f>IFERROR(IF(Calc!E227&lt;=$D$4,"Nice",""),"")</f>
        <v/>
      </c>
      <c r="E227" s="40" t="str">
        <f>IFERROR(IF(Calc!J227&lt;=$C$4,Calc!I227,""),"")</f>
        <v/>
      </c>
      <c r="F227" s="40" t="str">
        <f>IFERROR(IF(Calc!J227&lt;=$C$4,CONCATENATE(TEXT(Calc!H227,"#0.000#")," + ",TEXT(INDEX(Calc!L227:P227,$B$4),"#0.000#")),""),"")</f>
        <v/>
      </c>
      <c r="G227" s="41" t="str">
        <f>IFERROR(IF(Calc!J227&lt;=$C$4,Calc!J227,""),"")</f>
        <v/>
      </c>
      <c r="H227" s="33" t="str">
        <f>IFERROR(IF(Calc!J227&lt;=$D$4,"Nice",""),"")</f>
        <v/>
      </c>
      <c r="J227" s="7" t="str">
        <f>CONCATENATE("[",TEXT(Show!A227,"#.0#"),":",TEXT(Show!B227,"#.0#"),"][",TEXT(Show!E227,"#.0#"),":",TEXT(Show!F227,"#.0#"),"]")</f>
        <v>[:][:]</v>
      </c>
    </row>
    <row r="228" spans="1:10" hidden="1" x14ac:dyDescent="0.25">
      <c r="A228" s="40" t="str">
        <f>IFERROR(IF(Calc!E228&lt;=$C$4,Calc!D228,""),"")</f>
        <v/>
      </c>
      <c r="B228" s="40" t="str">
        <f>IFERROR(IF(Calc!E228&lt;=$C$4,CONCATENATE(TEXT(Calc!C228,"#0.000#")," || ",TEXT(INDEX(Calc!L228:P228,$B$4),"#0.000#")),""),"")</f>
        <v/>
      </c>
      <c r="C228" s="41" t="str">
        <f>IFERROR(IF(Calc!E228&lt;=$C$4,Calc!E228,""),"")</f>
        <v/>
      </c>
      <c r="D228" s="33" t="str">
        <f>IFERROR(IF(Calc!E228&lt;=$D$4,"Nice",""),"")</f>
        <v/>
      </c>
      <c r="E228" s="40" t="str">
        <f>IFERROR(IF(Calc!J228&lt;=$C$4,Calc!I228,""),"")</f>
        <v/>
      </c>
      <c r="F228" s="40" t="str">
        <f>IFERROR(IF(Calc!J228&lt;=$C$4,CONCATENATE(TEXT(Calc!H228,"#0.000#")," + ",TEXT(INDEX(Calc!L228:P228,$B$4),"#0.000#")),""),"")</f>
        <v/>
      </c>
      <c r="G228" s="41" t="str">
        <f>IFERROR(IF(Calc!J228&lt;=$C$4,Calc!J228,""),"")</f>
        <v/>
      </c>
      <c r="H228" s="33" t="str">
        <f>IFERROR(IF(Calc!J228&lt;=$D$4,"Nice",""),"")</f>
        <v/>
      </c>
      <c r="J228" s="7" t="str">
        <f>CONCATENATE("[",TEXT(Show!A228,"#.0#"),":",TEXT(Show!B228,"#.0#"),"][",TEXT(Show!E228,"#.0#"),":",TEXT(Show!F228,"#.0#"),"]")</f>
        <v>[:][:]</v>
      </c>
    </row>
    <row r="229" spans="1:10" hidden="1" x14ac:dyDescent="0.25">
      <c r="A229" s="40" t="str">
        <f>IFERROR(IF(Calc!E229&lt;=$C$4,Calc!D229,""),"")</f>
        <v/>
      </c>
      <c r="B229" s="40" t="str">
        <f>IFERROR(IF(Calc!E229&lt;=$C$4,CONCATENATE(TEXT(Calc!C229,"#0.000#")," || ",TEXT(INDEX(Calc!L229:P229,$B$4),"#0.000#")),""),"")</f>
        <v/>
      </c>
      <c r="C229" s="41" t="str">
        <f>IFERROR(IF(Calc!E229&lt;=$C$4,Calc!E229,""),"")</f>
        <v/>
      </c>
      <c r="D229" s="33" t="str">
        <f>IFERROR(IF(Calc!E229&lt;=$D$4,"Nice",""),"")</f>
        <v/>
      </c>
      <c r="E229" s="40" t="str">
        <f>IFERROR(IF(Calc!J229&lt;=$C$4,Calc!I229,""),"")</f>
        <v/>
      </c>
      <c r="F229" s="40" t="str">
        <f>IFERROR(IF(Calc!J229&lt;=$C$4,CONCATENATE(TEXT(Calc!H229,"#0.000#")," + ",TEXT(INDEX(Calc!L229:P229,$B$4),"#0.000#")),""),"")</f>
        <v/>
      </c>
      <c r="G229" s="41" t="str">
        <f>IFERROR(IF(Calc!J229&lt;=$C$4,Calc!J229,""),"")</f>
        <v/>
      </c>
      <c r="H229" s="33" t="str">
        <f>IFERROR(IF(Calc!J229&lt;=$D$4,"Nice",""),"")</f>
        <v/>
      </c>
      <c r="J229" s="7" t="str">
        <f>CONCATENATE("[",TEXT(Show!A229,"#.0#"),":",TEXT(Show!B229,"#.0#"),"][",TEXT(Show!E229,"#.0#"),":",TEXT(Show!F229,"#.0#"),"]")</f>
        <v>[:][:]</v>
      </c>
    </row>
    <row r="230" spans="1:10" hidden="1" x14ac:dyDescent="0.25">
      <c r="A230" s="40" t="str">
        <f>IFERROR(IF(Calc!E230&lt;=$C$4,Calc!D230,""),"")</f>
        <v/>
      </c>
      <c r="B230" s="40" t="str">
        <f>IFERROR(IF(Calc!E230&lt;=$C$4,CONCATENATE(TEXT(Calc!C230,"#0.000#")," || ",TEXT(INDEX(Calc!L230:P230,$B$4),"#0.000#")),""),"")</f>
        <v/>
      </c>
      <c r="C230" s="41" t="str">
        <f>IFERROR(IF(Calc!E230&lt;=$C$4,Calc!E230,""),"")</f>
        <v/>
      </c>
      <c r="D230" s="33" t="str">
        <f>IFERROR(IF(Calc!E230&lt;=$D$4,"Nice",""),"")</f>
        <v/>
      </c>
      <c r="E230" s="40" t="str">
        <f>IFERROR(IF(Calc!J230&lt;=$C$4,Calc!I230,""),"")</f>
        <v/>
      </c>
      <c r="F230" s="40" t="str">
        <f>IFERROR(IF(Calc!J230&lt;=$C$4,CONCATENATE(TEXT(Calc!H230,"#0.000#")," + ",TEXT(INDEX(Calc!L230:P230,$B$4),"#0.000#")),""),"")</f>
        <v/>
      </c>
      <c r="G230" s="41" t="str">
        <f>IFERROR(IF(Calc!J230&lt;=$C$4,Calc!J230,""),"")</f>
        <v/>
      </c>
      <c r="H230" s="33" t="str">
        <f>IFERROR(IF(Calc!J230&lt;=$D$4,"Nice",""),"")</f>
        <v/>
      </c>
      <c r="J230" s="7" t="str">
        <f>CONCATENATE("[",TEXT(Show!A230,"#.0#"),":",TEXT(Show!B230,"#.0#"),"][",TEXT(Show!E230,"#.0#"),":",TEXT(Show!F230,"#.0#"),"]")</f>
        <v>[:][:]</v>
      </c>
    </row>
    <row r="231" spans="1:10" hidden="1" x14ac:dyDescent="0.25">
      <c r="A231" s="40" t="str">
        <f>IFERROR(IF(Calc!E231&lt;=$C$4,Calc!D231,""),"")</f>
        <v/>
      </c>
      <c r="B231" s="40" t="str">
        <f>IFERROR(IF(Calc!E231&lt;=$C$4,CONCATENATE(TEXT(Calc!C231,"#0.000#")," || ",TEXT(INDEX(Calc!L231:P231,$B$4),"#0.000#")),""),"")</f>
        <v/>
      </c>
      <c r="C231" s="41" t="str">
        <f>IFERROR(IF(Calc!E231&lt;=$C$4,Calc!E231,""),"")</f>
        <v/>
      </c>
      <c r="D231" s="33" t="str">
        <f>IFERROR(IF(Calc!E231&lt;=$D$4,"Nice",""),"")</f>
        <v/>
      </c>
      <c r="E231" s="40" t="str">
        <f>IFERROR(IF(Calc!J231&lt;=$C$4,Calc!I231,""),"")</f>
        <v/>
      </c>
      <c r="F231" s="40" t="str">
        <f>IFERROR(IF(Calc!J231&lt;=$C$4,CONCATENATE(TEXT(Calc!H231,"#0.000#")," + ",TEXT(INDEX(Calc!L231:P231,$B$4),"#0.000#")),""),"")</f>
        <v/>
      </c>
      <c r="G231" s="41" t="str">
        <f>IFERROR(IF(Calc!J231&lt;=$C$4,Calc!J231,""),"")</f>
        <v/>
      </c>
      <c r="H231" s="33" t="str">
        <f>IFERROR(IF(Calc!J231&lt;=$D$4,"Nice",""),"")</f>
        <v/>
      </c>
      <c r="J231" s="7" t="str">
        <f>CONCATENATE("[",TEXT(Show!A231,"#.0#"),":",TEXT(Show!B231,"#.0#"),"][",TEXT(Show!E231,"#.0#"),":",TEXT(Show!F231,"#.0#"),"]")</f>
        <v>[:][:]</v>
      </c>
    </row>
    <row r="232" spans="1:10" hidden="1" x14ac:dyDescent="0.25">
      <c r="A232" s="40" t="str">
        <f>IFERROR(IF(Calc!E232&lt;=$C$4,Calc!D232,""),"")</f>
        <v/>
      </c>
      <c r="B232" s="40" t="str">
        <f>IFERROR(IF(Calc!E232&lt;=$C$4,CONCATENATE(TEXT(Calc!C232,"#0.000#")," || ",TEXT(INDEX(Calc!L232:P232,$B$4),"#0.000#")),""),"")</f>
        <v/>
      </c>
      <c r="C232" s="41" t="str">
        <f>IFERROR(IF(Calc!E232&lt;=$C$4,Calc!E232,""),"")</f>
        <v/>
      </c>
      <c r="D232" s="33" t="str">
        <f>IFERROR(IF(Calc!E232&lt;=$D$4,"Nice",""),"")</f>
        <v/>
      </c>
      <c r="E232" s="40" t="str">
        <f>IFERROR(IF(Calc!J232&lt;=$C$4,Calc!I232,""),"")</f>
        <v/>
      </c>
      <c r="F232" s="40" t="str">
        <f>IFERROR(IF(Calc!J232&lt;=$C$4,CONCATENATE(TEXT(Calc!H232,"#0.000#")," + ",TEXT(INDEX(Calc!L232:P232,$B$4),"#0.000#")),""),"")</f>
        <v/>
      </c>
      <c r="G232" s="41" t="str">
        <f>IFERROR(IF(Calc!J232&lt;=$C$4,Calc!J232,""),"")</f>
        <v/>
      </c>
      <c r="H232" s="33" t="str">
        <f>IFERROR(IF(Calc!J232&lt;=$D$4,"Nice",""),"")</f>
        <v/>
      </c>
      <c r="J232" s="7" t="str">
        <f>CONCATENATE("[",TEXT(Show!A232,"#.0#"),":",TEXT(Show!B232,"#.0#"),"][",TEXT(Show!E232,"#.0#"),":",TEXT(Show!F232,"#.0#"),"]")</f>
        <v>[:][:]</v>
      </c>
    </row>
    <row r="233" spans="1:10" x14ac:dyDescent="0.25">
      <c r="A233" s="40" t="str">
        <f>IFERROR(IF(Calc!E233&lt;=$C$4,Calc!D233,""),"")</f>
        <v/>
      </c>
      <c r="B233" s="40" t="str">
        <f>IFERROR(IF(Calc!E233&lt;=$C$4,CONCATENATE(TEXT(Calc!C233,"#0.000#")," || ",TEXT(INDEX(Calc!L233:P233,$B$4),"#0.000#")),""),"")</f>
        <v/>
      </c>
      <c r="C233" s="41" t="str">
        <f>IFERROR(IF(Calc!E233&lt;=$C$4,Calc!E233,""),"")</f>
        <v/>
      </c>
      <c r="D233" s="33" t="str">
        <f>IFERROR(IF(Calc!E233&lt;=$D$4,"Nice",""),"")</f>
        <v/>
      </c>
      <c r="E233" s="40">
        <f>IFERROR(IF(Calc!J233&lt;=$C$4,Calc!I233,""),"")</f>
        <v>39.9</v>
      </c>
      <c r="F233" s="40" t="str">
        <f>IFERROR(IF(Calc!J233&lt;=$C$4,CONCATENATE(TEXT(Calc!H233,"#0.000#")," + ",TEXT(INDEX(Calc!L233:P233,$B$4),"#0.000#")),""),"")</f>
        <v>16.200 + 23.700</v>
      </c>
      <c r="G233" s="41">
        <f>IFERROR(IF(Calc!J233&lt;=$C$4,Calc!J233,""),"")</f>
        <v>0.25000000000000355</v>
      </c>
      <c r="H233" s="33" t="str">
        <f>IFERROR(IF(Calc!J233&lt;=$D$4,"Nice",""),"")</f>
        <v/>
      </c>
      <c r="J233" s="7" t="str">
        <f>CONCATENATE("[",TEXT(Show!A233,"#.0#"),":",TEXT(Show!B233,"#.0#"),"][",TEXT(Show!E233,"#.0#"),":",TEXT(Show!F233,"#.0#"),"]")</f>
        <v>[:][39.9:16.200 + 23.700]</v>
      </c>
    </row>
    <row r="234" spans="1:10" hidden="1" x14ac:dyDescent="0.25">
      <c r="A234" s="40" t="str">
        <f>IFERROR(IF(Calc!E234&lt;=$C$4,Calc!D234,""),"")</f>
        <v/>
      </c>
      <c r="B234" s="40" t="str">
        <f>IFERROR(IF(Calc!E234&lt;=$C$4,CONCATENATE(TEXT(Calc!C234,"#0.000#")," || ",TEXT(INDEX(Calc!L234:P234,$B$4),"#0.000#")),""),"")</f>
        <v/>
      </c>
      <c r="C234" s="41" t="str">
        <f>IFERROR(IF(Calc!E234&lt;=$C$4,Calc!E234,""),"")</f>
        <v/>
      </c>
      <c r="D234" s="33" t="str">
        <f>IFERROR(IF(Calc!E234&lt;=$D$4,"Nice",""),"")</f>
        <v/>
      </c>
      <c r="E234" s="40">
        <f>IFERROR(IF(Calc!J234&lt;=$C$4,Calc!I234,""),"")</f>
        <v>39.9</v>
      </c>
      <c r="F234" s="40" t="str">
        <f>IFERROR(IF(Calc!J234&lt;=$C$4,CONCATENATE(TEXT(Calc!H234,"#0.000#")," + ",TEXT(INDEX(Calc!L234:P234,$B$4),"#0.000#")),""),"")</f>
        <v>16.200 + 23.700</v>
      </c>
      <c r="G234" s="41">
        <f>IFERROR(IF(Calc!J234&lt;=$C$4,Calc!J234,""),"")</f>
        <v>0.25000000000000355</v>
      </c>
      <c r="H234" s="33" t="str">
        <f>IFERROR(IF(Calc!J234&lt;=$D$4,"Nice",""),"")</f>
        <v/>
      </c>
      <c r="J234" s="7" t="str">
        <f>CONCATENATE("[",TEXT(Show!A234,"#.0#"),":",TEXT(Show!B234,"#.0#"),"][",TEXT(Show!E234,"#.0#"),":",TEXT(Show!F234,"#.0#"),"]")</f>
        <v>[:][39.9:16.200 + 23.700]</v>
      </c>
    </row>
    <row r="235" spans="1:10" hidden="1" x14ac:dyDescent="0.25">
      <c r="A235" s="40" t="str">
        <f>IFERROR(IF(Calc!E235&lt;=$C$4,Calc!D235,""),"")</f>
        <v/>
      </c>
      <c r="B235" s="40" t="str">
        <f>IFERROR(IF(Calc!E235&lt;=$C$4,CONCATENATE(TEXT(Calc!C235,"#0.000#")," || ",TEXT(INDEX(Calc!L235:P235,$B$4),"#0.000#")),""),"")</f>
        <v/>
      </c>
      <c r="C235" s="41" t="str">
        <f>IFERROR(IF(Calc!E235&lt;=$C$4,Calc!E235,""),"")</f>
        <v/>
      </c>
      <c r="D235" s="33" t="str">
        <f>IFERROR(IF(Calc!E235&lt;=$D$4,"Nice",""),"")</f>
        <v/>
      </c>
      <c r="E235" s="40">
        <f>IFERROR(IF(Calc!J235&lt;=$C$4,Calc!I235,""),"")</f>
        <v>39.9</v>
      </c>
      <c r="F235" s="40" t="str">
        <f>IFERROR(IF(Calc!J235&lt;=$C$4,CONCATENATE(TEXT(Calc!H235,"#0.000#")," + ",TEXT(INDEX(Calc!L235:P235,$B$4),"#0.000#")),""),"")</f>
        <v>16.200 + 23.700</v>
      </c>
      <c r="G235" s="41">
        <f>IFERROR(IF(Calc!J235&lt;=$C$4,Calc!J235,""),"")</f>
        <v>0.25000000000000355</v>
      </c>
      <c r="H235" s="33" t="str">
        <f>IFERROR(IF(Calc!J235&lt;=$D$4,"Nice",""),"")</f>
        <v/>
      </c>
      <c r="J235" s="7" t="str">
        <f>CONCATENATE("[",TEXT(Show!A235,"#.0#"),":",TEXT(Show!B235,"#.0#"),"][",TEXT(Show!E235,"#.0#"),":",TEXT(Show!F235,"#.0#"),"]")</f>
        <v>[:][39.9:16.200 + 23.700]</v>
      </c>
    </row>
    <row r="236" spans="1:10" hidden="1" x14ac:dyDescent="0.25">
      <c r="A236" s="40" t="str">
        <f>IFERROR(IF(Calc!E236&lt;=$C$4,Calc!D236,""),"")</f>
        <v/>
      </c>
      <c r="B236" s="40" t="str">
        <f>IFERROR(IF(Calc!E236&lt;=$C$4,CONCATENATE(TEXT(Calc!C236,"#0.000#")," || ",TEXT(INDEX(Calc!L236:P236,$B$4),"#0.000#")),""),"")</f>
        <v/>
      </c>
      <c r="C236" s="41" t="str">
        <f>IFERROR(IF(Calc!E236&lt;=$C$4,Calc!E236,""),"")</f>
        <v/>
      </c>
      <c r="D236" s="33" t="str">
        <f>IFERROR(IF(Calc!E236&lt;=$D$4,"Nice",""),"")</f>
        <v/>
      </c>
      <c r="E236" s="40" t="str">
        <f>IFERROR(IF(Calc!J236&lt;=$C$4,Calc!I236,""),"")</f>
        <v/>
      </c>
      <c r="F236" s="40" t="str">
        <f>IFERROR(IF(Calc!J236&lt;=$C$4,CONCATENATE(TEXT(Calc!H236,"#0.000#")," + ",TEXT(INDEX(Calc!L236:P236,$B$4),"#0.000#")),""),"")</f>
        <v/>
      </c>
      <c r="G236" s="41" t="str">
        <f>IFERROR(IF(Calc!J236&lt;=$C$4,Calc!J236,""),"")</f>
        <v/>
      </c>
      <c r="H236" s="33" t="str">
        <f>IFERROR(IF(Calc!J236&lt;=$D$4,"Nice",""),"")</f>
        <v/>
      </c>
      <c r="J236" s="7" t="str">
        <f>CONCATENATE("[",TEXT(Show!A236,"#.0#"),":",TEXT(Show!B236,"#.0#"),"][",TEXT(Show!E236,"#.0#"),":",TEXT(Show!F236,"#.0#"),"]")</f>
        <v>[:][:]</v>
      </c>
    </row>
    <row r="237" spans="1:10" hidden="1" x14ac:dyDescent="0.25">
      <c r="A237" s="40" t="str">
        <f>IFERROR(IF(Calc!E237&lt;=$C$4,Calc!D237,""),"")</f>
        <v/>
      </c>
      <c r="B237" s="40" t="str">
        <f>IFERROR(IF(Calc!E237&lt;=$C$4,CONCATENATE(TEXT(Calc!C237,"#0.000#")," || ",TEXT(INDEX(Calc!L237:P237,$B$4),"#0.000#")),""),"")</f>
        <v/>
      </c>
      <c r="C237" s="41" t="str">
        <f>IFERROR(IF(Calc!E237&lt;=$C$4,Calc!E237,""),"")</f>
        <v/>
      </c>
      <c r="D237" s="33" t="str">
        <f>IFERROR(IF(Calc!E237&lt;=$D$4,"Nice",""),"")</f>
        <v/>
      </c>
      <c r="E237" s="40" t="str">
        <f>IFERROR(IF(Calc!J237&lt;=$C$4,Calc!I237,""),"")</f>
        <v/>
      </c>
      <c r="F237" s="40" t="str">
        <f>IFERROR(IF(Calc!J237&lt;=$C$4,CONCATENATE(TEXT(Calc!H237,"#0.000#")," + ",TEXT(INDEX(Calc!L237:P237,$B$4),"#0.000#")),""),"")</f>
        <v/>
      </c>
      <c r="G237" s="41" t="str">
        <f>IFERROR(IF(Calc!J237&lt;=$C$4,Calc!J237,""),"")</f>
        <v/>
      </c>
      <c r="H237" s="33" t="str">
        <f>IFERROR(IF(Calc!J237&lt;=$D$4,"Nice",""),"")</f>
        <v/>
      </c>
      <c r="J237" s="7" t="str">
        <f>CONCATENATE("[",TEXT(Show!A237,"#.0#"),":",TEXT(Show!B237,"#.0#"),"][",TEXT(Show!E237,"#.0#"),":",TEXT(Show!F237,"#.0#"),"]")</f>
        <v>[:][:]</v>
      </c>
    </row>
    <row r="238" spans="1:10" hidden="1" x14ac:dyDescent="0.25">
      <c r="A238" s="40" t="str">
        <f>IFERROR(IF(Calc!E238&lt;=$C$4,Calc!D238,""),"")</f>
        <v/>
      </c>
      <c r="B238" s="40" t="str">
        <f>IFERROR(IF(Calc!E238&lt;=$C$4,CONCATENATE(TEXT(Calc!C238,"#0.000#")," || ",TEXT(INDEX(Calc!L238:P238,$B$4),"#0.000#")),""),"")</f>
        <v/>
      </c>
      <c r="C238" s="41" t="str">
        <f>IFERROR(IF(Calc!E238&lt;=$C$4,Calc!E238,""),"")</f>
        <v/>
      </c>
      <c r="D238" s="33" t="str">
        <f>IFERROR(IF(Calc!E238&lt;=$D$4,"Nice",""),"")</f>
        <v/>
      </c>
      <c r="E238" s="40" t="str">
        <f>IFERROR(IF(Calc!J238&lt;=$C$4,Calc!I238,""),"")</f>
        <v/>
      </c>
      <c r="F238" s="40" t="str">
        <f>IFERROR(IF(Calc!J238&lt;=$C$4,CONCATENATE(TEXT(Calc!H238,"#0.000#")," + ",TEXT(INDEX(Calc!L238:P238,$B$4),"#0.000#")),""),"")</f>
        <v/>
      </c>
      <c r="G238" s="41" t="str">
        <f>IFERROR(IF(Calc!J238&lt;=$C$4,Calc!J238,""),"")</f>
        <v/>
      </c>
      <c r="H238" s="33" t="str">
        <f>IFERROR(IF(Calc!J238&lt;=$D$4,"Nice",""),"")</f>
        <v/>
      </c>
      <c r="J238" s="7" t="str">
        <f>CONCATENATE("[",TEXT(Show!A238,"#.0#"),":",TEXT(Show!B238,"#.0#"),"][",TEXT(Show!E238,"#.0#"),":",TEXT(Show!F238,"#.0#"),"]")</f>
        <v>[:][:]</v>
      </c>
    </row>
    <row r="239" spans="1:10" hidden="1" x14ac:dyDescent="0.25">
      <c r="A239" s="40" t="str">
        <f>IFERROR(IF(Calc!E239&lt;=$C$4,Calc!D239,""),"")</f>
        <v/>
      </c>
      <c r="B239" s="40" t="str">
        <f>IFERROR(IF(Calc!E239&lt;=$C$4,CONCATENATE(TEXT(Calc!C239,"#0.000#")," || ",TEXT(INDEX(Calc!L239:P239,$B$4),"#0.000#")),""),"")</f>
        <v/>
      </c>
      <c r="C239" s="41" t="str">
        <f>IFERROR(IF(Calc!E239&lt;=$C$4,Calc!E239,""),"")</f>
        <v/>
      </c>
      <c r="D239" s="33" t="str">
        <f>IFERROR(IF(Calc!E239&lt;=$D$4,"Nice",""),"")</f>
        <v/>
      </c>
      <c r="E239" s="40" t="str">
        <f>IFERROR(IF(Calc!J239&lt;=$C$4,Calc!I239,""),"")</f>
        <v/>
      </c>
      <c r="F239" s="40" t="str">
        <f>IFERROR(IF(Calc!J239&lt;=$C$4,CONCATENATE(TEXT(Calc!H239,"#0.000#")," + ",TEXT(INDEX(Calc!L239:P239,$B$4),"#0.000#")),""),"")</f>
        <v/>
      </c>
      <c r="G239" s="41" t="str">
        <f>IFERROR(IF(Calc!J239&lt;=$C$4,Calc!J239,""),"")</f>
        <v/>
      </c>
      <c r="H239" s="33" t="str">
        <f>IFERROR(IF(Calc!J239&lt;=$D$4,"Nice",""),"")</f>
        <v/>
      </c>
      <c r="J239" s="7" t="str">
        <f>CONCATENATE("[",TEXT(Show!A239,"#.0#"),":",TEXT(Show!B239,"#.0#"),"][",TEXT(Show!E239,"#.0#"),":",TEXT(Show!F239,"#.0#"),"]")</f>
        <v>[:][:]</v>
      </c>
    </row>
    <row r="240" spans="1:10" hidden="1" x14ac:dyDescent="0.25">
      <c r="A240" s="40" t="str">
        <f>IFERROR(IF(Calc!E240&lt;=$C$4,Calc!D240,""),"")</f>
        <v/>
      </c>
      <c r="B240" s="40" t="str">
        <f>IFERROR(IF(Calc!E240&lt;=$C$4,CONCATENATE(TEXT(Calc!C240,"#0.000#")," || ",TEXT(INDEX(Calc!L240:P240,$B$4),"#0.000#")),""),"")</f>
        <v/>
      </c>
      <c r="C240" s="41" t="str">
        <f>IFERROR(IF(Calc!E240&lt;=$C$4,Calc!E240,""),"")</f>
        <v/>
      </c>
      <c r="D240" s="33" t="str">
        <f>IFERROR(IF(Calc!E240&lt;=$D$4,"Nice",""),"")</f>
        <v/>
      </c>
      <c r="E240" s="40" t="str">
        <f>IFERROR(IF(Calc!J240&lt;=$C$4,Calc!I240,""),"")</f>
        <v/>
      </c>
      <c r="F240" s="40" t="str">
        <f>IFERROR(IF(Calc!J240&lt;=$C$4,CONCATENATE(TEXT(Calc!H240,"#0.000#")," + ",TEXT(INDEX(Calc!L240:P240,$B$4),"#0.000#")),""),"")</f>
        <v/>
      </c>
      <c r="G240" s="41" t="str">
        <f>IFERROR(IF(Calc!J240&lt;=$C$4,Calc!J240,""),"")</f>
        <v/>
      </c>
      <c r="H240" s="33" t="str">
        <f>IFERROR(IF(Calc!J240&lt;=$D$4,"Nice",""),"")</f>
        <v/>
      </c>
      <c r="J240" s="7" t="str">
        <f>CONCATENATE("[",TEXT(Show!A240,"#.0#"),":",TEXT(Show!B240,"#.0#"),"][",TEXT(Show!E240,"#.0#"),":",TEXT(Show!F240,"#.0#"),"]")</f>
        <v>[:][:]</v>
      </c>
    </row>
    <row r="241" spans="1:10" hidden="1" x14ac:dyDescent="0.25">
      <c r="A241" s="40" t="str">
        <f>IFERROR(IF(Calc!E241&lt;=$C$4,Calc!D241,""),"")</f>
        <v/>
      </c>
      <c r="B241" s="40" t="str">
        <f>IFERROR(IF(Calc!E241&lt;=$C$4,CONCATENATE(TEXT(Calc!C241,"#0.000#")," || ",TEXT(INDEX(Calc!L241:P241,$B$4),"#0.000#")),""),"")</f>
        <v/>
      </c>
      <c r="C241" s="41" t="str">
        <f>IFERROR(IF(Calc!E241&lt;=$C$4,Calc!E241,""),"")</f>
        <v/>
      </c>
      <c r="D241" s="33" t="str">
        <f>IFERROR(IF(Calc!E241&lt;=$D$4,"Nice",""),"")</f>
        <v/>
      </c>
      <c r="E241" s="40" t="str">
        <f>IFERROR(IF(Calc!J241&lt;=$C$4,Calc!I241,""),"")</f>
        <v/>
      </c>
      <c r="F241" s="40" t="str">
        <f>IFERROR(IF(Calc!J241&lt;=$C$4,CONCATENATE(TEXT(Calc!H241,"#0.000#")," + ",TEXT(INDEX(Calc!L241:P241,$B$4),"#0.000#")),""),"")</f>
        <v/>
      </c>
      <c r="G241" s="41" t="str">
        <f>IFERROR(IF(Calc!J241&lt;=$C$4,Calc!J241,""),"")</f>
        <v/>
      </c>
      <c r="H241" s="33" t="str">
        <f>IFERROR(IF(Calc!J241&lt;=$D$4,"Nice",""),"")</f>
        <v/>
      </c>
      <c r="J241" s="7" t="str">
        <f>CONCATENATE("[",TEXT(Show!A241,"#.0#"),":",TEXT(Show!B241,"#.0#"),"][",TEXT(Show!E241,"#.0#"),":",TEXT(Show!F241,"#.0#"),"]")</f>
        <v>[:][:]</v>
      </c>
    </row>
    <row r="242" spans="1:10" x14ac:dyDescent="0.25">
      <c r="A242" s="40" t="str">
        <f>IFERROR(IF(Calc!E242&lt;=$C$4,Calc!D242,""),"")</f>
        <v/>
      </c>
      <c r="B242" s="40" t="str">
        <f>IFERROR(IF(Calc!E242&lt;=$C$4,CONCATENATE(TEXT(Calc!C242,"#0.000#")," || ",TEXT(INDEX(Calc!L242:P242,$B$4),"#0.000#")),""),"")</f>
        <v/>
      </c>
      <c r="C242" s="41" t="str">
        <f>IFERROR(IF(Calc!E242&lt;=$C$4,Calc!E242,""),"")</f>
        <v/>
      </c>
      <c r="D242" s="33" t="str">
        <f>IFERROR(IF(Calc!E242&lt;=$D$4,"Nice",""),"")</f>
        <v/>
      </c>
      <c r="E242" s="40">
        <f>IFERROR(IF(Calc!J242&lt;=$C$4,Calc!I242,""),"")</f>
        <v>39.700000000000003</v>
      </c>
      <c r="F242" s="40" t="str">
        <f>IFERROR(IF(Calc!J242&lt;=$C$4,CONCATENATE(TEXT(Calc!H242,"#0.000#")," + ",TEXT(INDEX(Calc!L242:P242,$B$4),"#0.000#")),""),"")</f>
        <v>11.000 + 28.700</v>
      </c>
      <c r="G242" s="41">
        <f>IFERROR(IF(Calc!J242&lt;=$C$4,Calc!J242,""),"")</f>
        <v>0.74999999999999289</v>
      </c>
      <c r="H242" s="33" t="str">
        <f>IFERROR(IF(Calc!J242&lt;=$D$4,"Nice",""),"")</f>
        <v/>
      </c>
      <c r="J242" s="7" t="str">
        <f>CONCATENATE("[",TEXT(Show!A242,"#.0#"),":",TEXT(Show!B242,"#.0#"),"][",TEXT(Show!E242,"#.0#"),":",TEXT(Show!F242,"#.0#"),"]")</f>
        <v>[:][39.7:11.000 + 28.700]</v>
      </c>
    </row>
    <row r="243" spans="1:10" hidden="1" x14ac:dyDescent="0.25">
      <c r="A243" s="40" t="str">
        <f>IFERROR(IF(Calc!E243&lt;=$C$4,Calc!D243,""),"")</f>
        <v/>
      </c>
      <c r="B243" s="40" t="str">
        <f>IFERROR(IF(Calc!E243&lt;=$C$4,CONCATENATE(TEXT(Calc!C243,"#0.000#")," || ",TEXT(INDEX(Calc!L243:P243,$B$4),"#0.000#")),""),"")</f>
        <v/>
      </c>
      <c r="C243" s="41" t="str">
        <f>IFERROR(IF(Calc!E243&lt;=$C$4,Calc!E243,""),"")</f>
        <v/>
      </c>
      <c r="D243" s="33" t="str">
        <f>IFERROR(IF(Calc!E243&lt;=$D$4,"Nice",""),"")</f>
        <v/>
      </c>
      <c r="E243" s="40">
        <f>IFERROR(IF(Calc!J243&lt;=$C$4,Calc!I243,""),"")</f>
        <v>39.700000000000003</v>
      </c>
      <c r="F243" s="40" t="str">
        <f>IFERROR(IF(Calc!J243&lt;=$C$4,CONCATENATE(TEXT(Calc!H243,"#0.000#")," + ",TEXT(INDEX(Calc!L243:P243,$B$4),"#0.000#")),""),"")</f>
        <v>11.000 + 28.700</v>
      </c>
      <c r="G243" s="41">
        <f>IFERROR(IF(Calc!J243&lt;=$C$4,Calc!J243,""),"")</f>
        <v>0.74999999999999289</v>
      </c>
      <c r="H243" s="33" t="str">
        <f>IFERROR(IF(Calc!J243&lt;=$D$4,"Nice",""),"")</f>
        <v/>
      </c>
      <c r="J243" s="7" t="str">
        <f>CONCATENATE("[",TEXT(Show!A243,"#.0#"),":",TEXT(Show!B243,"#.0#"),"][",TEXT(Show!E243,"#.0#"),":",TEXT(Show!F243,"#.0#"),"]")</f>
        <v>[:][39.7:11.000 + 28.700]</v>
      </c>
    </row>
    <row r="244" spans="1:10" hidden="1" x14ac:dyDescent="0.25">
      <c r="A244" s="40" t="str">
        <f>IFERROR(IF(Calc!E244&lt;=$C$4,Calc!D244,""),"")</f>
        <v/>
      </c>
      <c r="B244" s="40" t="str">
        <f>IFERROR(IF(Calc!E244&lt;=$C$4,CONCATENATE(TEXT(Calc!C244,"#0.000#")," || ",TEXT(INDEX(Calc!L244:P244,$B$4),"#0.000#")),""),"")</f>
        <v/>
      </c>
      <c r="C244" s="41" t="str">
        <f>IFERROR(IF(Calc!E244&lt;=$C$4,Calc!E244,""),"")</f>
        <v/>
      </c>
      <c r="D244" s="33" t="str">
        <f>IFERROR(IF(Calc!E244&lt;=$D$4,"Nice",""),"")</f>
        <v/>
      </c>
      <c r="E244" s="40" t="str">
        <f>IFERROR(IF(Calc!J244&lt;=$C$4,Calc!I244,""),"")</f>
        <v/>
      </c>
      <c r="F244" s="40" t="str">
        <f>IFERROR(IF(Calc!J244&lt;=$C$4,CONCATENATE(TEXT(Calc!H244,"#0.000#")," + ",TEXT(INDEX(Calc!L244:P244,$B$4),"#0.000#")),""),"")</f>
        <v/>
      </c>
      <c r="G244" s="41" t="str">
        <f>IFERROR(IF(Calc!J244&lt;=$C$4,Calc!J244,""),"")</f>
        <v/>
      </c>
      <c r="H244" s="33" t="str">
        <f>IFERROR(IF(Calc!J244&lt;=$D$4,"Nice",""),"")</f>
        <v/>
      </c>
      <c r="J244" s="7" t="str">
        <f>CONCATENATE("[",TEXT(Show!A244,"#.0#"),":",TEXT(Show!B244,"#.0#"),"][",TEXT(Show!E244,"#.0#"),":",TEXT(Show!F244,"#.0#"),"]")</f>
        <v>[:][:]</v>
      </c>
    </row>
    <row r="245" spans="1:10" hidden="1" x14ac:dyDescent="0.25">
      <c r="A245" s="40" t="str">
        <f>IFERROR(IF(Calc!E245&lt;=$C$4,Calc!D245,""),"")</f>
        <v/>
      </c>
      <c r="B245" s="40" t="str">
        <f>IFERROR(IF(Calc!E245&lt;=$C$4,CONCATENATE(TEXT(Calc!C245,"#0.000#")," || ",TEXT(INDEX(Calc!L245:P245,$B$4),"#0.000#")),""),"")</f>
        <v/>
      </c>
      <c r="C245" s="41" t="str">
        <f>IFERROR(IF(Calc!E245&lt;=$C$4,Calc!E245,""),"")</f>
        <v/>
      </c>
      <c r="D245" s="33" t="str">
        <f>IFERROR(IF(Calc!E245&lt;=$D$4,"Nice",""),"")</f>
        <v/>
      </c>
      <c r="E245" s="40" t="str">
        <f>IFERROR(IF(Calc!J245&lt;=$C$4,Calc!I245,""),"")</f>
        <v/>
      </c>
      <c r="F245" s="40" t="str">
        <f>IFERROR(IF(Calc!J245&lt;=$C$4,CONCATENATE(TEXT(Calc!H245,"#0.000#")," + ",TEXT(INDEX(Calc!L245:P245,$B$4),"#0.000#")),""),"")</f>
        <v/>
      </c>
      <c r="G245" s="41" t="str">
        <f>IFERROR(IF(Calc!J245&lt;=$C$4,Calc!J245,""),"")</f>
        <v/>
      </c>
      <c r="H245" s="33" t="str">
        <f>IFERROR(IF(Calc!J245&lt;=$D$4,"Nice",""),"")</f>
        <v/>
      </c>
      <c r="J245" s="7" t="str">
        <f>CONCATENATE("[",TEXT(Show!A245,"#.0#"),":",TEXT(Show!B245,"#.0#"),"][",TEXT(Show!E245,"#.0#"),":",TEXT(Show!F245,"#.0#"),"]")</f>
        <v>[:][:]</v>
      </c>
    </row>
    <row r="246" spans="1:10" x14ac:dyDescent="0.25">
      <c r="A246" s="40" t="str">
        <f>IFERROR(IF(Calc!E246&lt;=$C$4,Calc!D246,""),"")</f>
        <v/>
      </c>
      <c r="B246" s="40" t="str">
        <f>IFERROR(IF(Calc!E246&lt;=$C$4,CONCATENATE(TEXT(Calc!C246,"#0.000#")," || ",TEXT(INDEX(Calc!L246:P246,$B$4),"#0.000#")),""),"")</f>
        <v/>
      </c>
      <c r="C246" s="41" t="str">
        <f>IFERROR(IF(Calc!E246&lt;=$C$4,Calc!E246,""),"")</f>
        <v/>
      </c>
      <c r="D246" s="33" t="str">
        <f>IFERROR(IF(Calc!E246&lt;=$D$4,"Nice",""),"")</f>
        <v/>
      </c>
      <c r="E246" s="40">
        <f>IFERROR(IF(Calc!J246&lt;=$C$4,Calc!I246,""),"")</f>
        <v>39.85</v>
      </c>
      <c r="F246" s="40" t="str">
        <f>IFERROR(IF(Calc!J246&lt;=$C$4,CONCATENATE(TEXT(Calc!H246,"#0.000#")," + ",TEXT(INDEX(Calc!L246:P246,$B$4),"#0.000#")),""),"")</f>
        <v>8.250 + 31.600</v>
      </c>
      <c r="G246" s="41">
        <f>IFERROR(IF(Calc!J246&lt;=$C$4,Calc!J246,""),"")</f>
        <v>0.37499999999999645</v>
      </c>
      <c r="H246" s="33" t="str">
        <f>IFERROR(IF(Calc!J246&lt;=$D$4,"Nice",""),"")</f>
        <v/>
      </c>
      <c r="J246" s="7" t="str">
        <f>CONCATENATE("[",TEXT(Show!A246,"#.0#"),":",TEXT(Show!B246,"#.0#"),"][",TEXT(Show!E246,"#.0#"),":",TEXT(Show!F246,"#.0#"),"]")</f>
        <v>[:][39.85:8.250 + 31.600]</v>
      </c>
    </row>
    <row r="247" spans="1:10" hidden="1" x14ac:dyDescent="0.25">
      <c r="A247" s="40" t="str">
        <f>IFERROR(IF(Calc!E247&lt;=$C$4,Calc!D247,""),"")</f>
        <v/>
      </c>
      <c r="B247" s="40" t="str">
        <f>IFERROR(IF(Calc!E247&lt;=$C$4,CONCATENATE(TEXT(Calc!C247,"#0.000#")," || ",TEXT(INDEX(Calc!L247:P247,$B$4),"#0.000#")),""),"")</f>
        <v/>
      </c>
      <c r="C247" s="41" t="str">
        <f>IFERROR(IF(Calc!E247&lt;=$C$4,Calc!E247,""),"")</f>
        <v/>
      </c>
      <c r="D247" s="33" t="str">
        <f>IFERROR(IF(Calc!E247&lt;=$D$4,"Nice",""),"")</f>
        <v/>
      </c>
      <c r="E247" s="40" t="str">
        <f>IFERROR(IF(Calc!J247&lt;=$C$4,Calc!I247,""),"")</f>
        <v/>
      </c>
      <c r="F247" s="40" t="str">
        <f>IFERROR(IF(Calc!J247&lt;=$C$4,CONCATENATE(TEXT(Calc!H247,"#0.000#")," + ",TEXT(INDEX(Calc!L247:P247,$B$4),"#0.000#")),""),"")</f>
        <v/>
      </c>
      <c r="G247" s="41" t="str">
        <f>IFERROR(IF(Calc!J247&lt;=$C$4,Calc!J247,""),"")</f>
        <v/>
      </c>
      <c r="H247" s="33" t="str">
        <f>IFERROR(IF(Calc!J247&lt;=$D$4,"Nice",""),"")</f>
        <v/>
      </c>
      <c r="J247" s="7" t="str">
        <f>CONCATENATE("[",TEXT(Show!A247,"#.0#"),":",TEXT(Show!B247,"#.0#"),"][",TEXT(Show!E247,"#.0#"),":",TEXT(Show!F247,"#.0#"),"]")</f>
        <v>[:][:]</v>
      </c>
    </row>
    <row r="248" spans="1:10" hidden="1" x14ac:dyDescent="0.25">
      <c r="A248" s="40" t="str">
        <f>IFERROR(IF(Calc!E248&lt;=$C$4,Calc!D248,""),"")</f>
        <v/>
      </c>
      <c r="B248" s="40" t="str">
        <f>IFERROR(IF(Calc!E248&lt;=$C$4,CONCATENATE(TEXT(Calc!C248,"#0.000#")," || ",TEXT(INDEX(Calc!L248:P248,$B$4),"#0.000#")),""),"")</f>
        <v/>
      </c>
      <c r="C248" s="41" t="str">
        <f>IFERROR(IF(Calc!E248&lt;=$C$4,Calc!E248,""),"")</f>
        <v/>
      </c>
      <c r="D248" s="33" t="str">
        <f>IFERROR(IF(Calc!E248&lt;=$D$4,"Nice",""),"")</f>
        <v/>
      </c>
      <c r="E248" s="40" t="str">
        <f>IFERROR(IF(Calc!J248&lt;=$C$4,Calc!I248,""),"")</f>
        <v/>
      </c>
      <c r="F248" s="40" t="str">
        <f>IFERROR(IF(Calc!J248&lt;=$C$4,CONCATENATE(TEXT(Calc!H248,"#0.000#")," + ",TEXT(INDEX(Calc!L248:P248,$B$4),"#0.000#")),""),"")</f>
        <v/>
      </c>
      <c r="G248" s="41" t="str">
        <f>IFERROR(IF(Calc!J248&lt;=$C$4,Calc!J248,""),"")</f>
        <v/>
      </c>
      <c r="H248" s="33" t="str">
        <f>IFERROR(IF(Calc!J248&lt;=$D$4,"Nice",""),"")</f>
        <v/>
      </c>
      <c r="J248" s="7" t="str">
        <f>CONCATENATE("[",TEXT(Show!A248,"#.0#"),":",TEXT(Show!B248,"#.0#"),"][",TEXT(Show!E248,"#.0#"),":",TEXT(Show!F248,"#.0#"),"]")</f>
        <v>[:][:]</v>
      </c>
    </row>
    <row r="249" spans="1:10" hidden="1" x14ac:dyDescent="0.25">
      <c r="A249" s="40" t="str">
        <f>IFERROR(IF(Calc!E249&lt;=$C$4,Calc!D249,""),"")</f>
        <v/>
      </c>
      <c r="B249" s="40" t="str">
        <f>IFERROR(IF(Calc!E249&lt;=$C$4,CONCATENATE(TEXT(Calc!C249,"#0.000#")," || ",TEXT(INDEX(Calc!L249:P249,$B$4),"#0.000#")),""),"")</f>
        <v/>
      </c>
      <c r="C249" s="41" t="str">
        <f>IFERROR(IF(Calc!E249&lt;=$C$4,Calc!E249,""),"")</f>
        <v/>
      </c>
      <c r="D249" s="33" t="str">
        <f>IFERROR(IF(Calc!E249&lt;=$D$4,"Nice",""),"")</f>
        <v/>
      </c>
      <c r="E249" s="40" t="str">
        <f>IFERROR(IF(Calc!J249&lt;=$C$4,Calc!I249,""),"")</f>
        <v/>
      </c>
      <c r="F249" s="40" t="str">
        <f>IFERROR(IF(Calc!J249&lt;=$C$4,CONCATENATE(TEXT(Calc!H249,"#0.000#")," + ",TEXT(INDEX(Calc!L249:P249,$B$4),"#0.000#")),""),"")</f>
        <v/>
      </c>
      <c r="G249" s="41" t="str">
        <f>IFERROR(IF(Calc!J249&lt;=$C$4,Calc!J249,""),"")</f>
        <v/>
      </c>
      <c r="H249" s="33" t="str">
        <f>IFERROR(IF(Calc!J249&lt;=$D$4,"Nice",""),"")</f>
        <v/>
      </c>
      <c r="J249" s="7" t="str">
        <f>CONCATENATE("[",TEXT(Show!A249,"#.0#"),":",TEXT(Show!B249,"#.0#"),"][",TEXT(Show!E249,"#.0#"),":",TEXT(Show!F249,"#.0#"),"]")</f>
        <v>[:][:]</v>
      </c>
    </row>
    <row r="250" spans="1:10" x14ac:dyDescent="0.25">
      <c r="A250" s="40" t="str">
        <f>IFERROR(IF(Calc!E250&lt;=$C$4,Calc!D250,""),"")</f>
        <v/>
      </c>
      <c r="B250" s="40" t="str">
        <f>IFERROR(IF(Calc!E250&lt;=$C$4,CONCATENATE(TEXT(Calc!C250,"#0.000#")," || ",TEXT(INDEX(Calc!L250:P250,$B$4),"#0.000#")),""),"")</f>
        <v/>
      </c>
      <c r="C250" s="41" t="str">
        <f>IFERROR(IF(Calc!E250&lt;=$C$4,Calc!E250,""),"")</f>
        <v/>
      </c>
      <c r="D250" s="33" t="str">
        <f>IFERROR(IF(Calc!E250&lt;=$D$4,"Nice",""),"")</f>
        <v/>
      </c>
      <c r="E250" s="40">
        <f>IFERROR(IF(Calc!J250&lt;=$C$4,Calc!I250,""),"")</f>
        <v>39.909999999999997</v>
      </c>
      <c r="F250" s="40" t="str">
        <f>IFERROR(IF(Calc!J250&lt;=$C$4,CONCATENATE(TEXT(Calc!H250,"#0.000#")," + ",TEXT(INDEX(Calc!L250:P250,$B$4),"#0.000#")),""),"")</f>
        <v>5.110 + 34.800</v>
      </c>
      <c r="G250" s="41">
        <f>IFERROR(IF(Calc!J250&lt;=$C$4,Calc!J250,""),"")</f>
        <v>0.22500000000000853</v>
      </c>
      <c r="H250" s="33" t="str">
        <f>IFERROR(IF(Calc!J250&lt;=$D$4,"Nice",""),"")</f>
        <v/>
      </c>
      <c r="J250" s="7" t="str">
        <f>CONCATENATE("[",TEXT(Show!A250,"#.0#"),":",TEXT(Show!B250,"#.0#"),"][",TEXT(Show!E250,"#.0#"),":",TEXT(Show!F250,"#.0#"),"]")</f>
        <v>[:][39.91:5.110 + 34.800]</v>
      </c>
    </row>
    <row r="251" spans="1:10" hidden="1" x14ac:dyDescent="0.25">
      <c r="A251" s="40" t="str">
        <f>IFERROR(IF(Calc!E251&lt;=$C$4,Calc!D251,""),"")</f>
        <v/>
      </c>
      <c r="B251" s="40" t="str">
        <f>IFERROR(IF(Calc!E251&lt;=$C$4,CONCATENATE(TEXT(Calc!C251,"#0.000#")," || ",TEXT(INDEX(Calc!L251:P251,$B$4),"#0.000#")),""),"")</f>
        <v/>
      </c>
      <c r="C251" s="41" t="str">
        <f>IFERROR(IF(Calc!E251&lt;=$C$4,Calc!E251,""),"")</f>
        <v/>
      </c>
      <c r="D251" s="33" t="str">
        <f>IFERROR(IF(Calc!E251&lt;=$D$4,"Nice",""),"")</f>
        <v/>
      </c>
      <c r="E251" s="40" t="str">
        <f>IFERROR(IF(Calc!J251&lt;=$C$4,Calc!I251,""),"")</f>
        <v/>
      </c>
      <c r="F251" s="40" t="str">
        <f>IFERROR(IF(Calc!J251&lt;=$C$4,CONCATENATE(TEXT(Calc!H251,"#0.000#")," + ",TEXT(INDEX(Calc!L251:P251,$B$4),"#0.000#")),""),"")</f>
        <v/>
      </c>
      <c r="G251" s="41" t="str">
        <f>IFERROR(IF(Calc!J251&lt;=$C$4,Calc!J251,""),"")</f>
        <v/>
      </c>
      <c r="H251" s="33" t="str">
        <f>IFERROR(IF(Calc!J251&lt;=$D$4,"Nice",""),"")</f>
        <v/>
      </c>
      <c r="J251" s="7" t="str">
        <f>CONCATENATE("[",TEXT(Show!A251,"#.0#"),":",TEXT(Show!B251,"#.0#"),"][",TEXT(Show!E251,"#.0#"),":",TEXT(Show!F251,"#.0#"),"]")</f>
        <v>[:][:]</v>
      </c>
    </row>
    <row r="252" spans="1:10" hidden="1" x14ac:dyDescent="0.25">
      <c r="A252" s="40" t="str">
        <f>IFERROR(IF(Calc!E252&lt;=$C$4,Calc!D252,""),"")</f>
        <v/>
      </c>
      <c r="B252" s="40" t="str">
        <f>IFERROR(IF(Calc!E252&lt;=$C$4,CONCATENATE(TEXT(Calc!C252,"#0.000#")," || ",TEXT(INDEX(Calc!L252:P252,$B$4),"#0.000#")),""),"")</f>
        <v/>
      </c>
      <c r="C252" s="41" t="str">
        <f>IFERROR(IF(Calc!E252&lt;=$C$4,Calc!E252,""),"")</f>
        <v/>
      </c>
      <c r="D252" s="33" t="str">
        <f>IFERROR(IF(Calc!E252&lt;=$D$4,"Nice",""),"")</f>
        <v/>
      </c>
      <c r="E252" s="40" t="str">
        <f>IFERROR(IF(Calc!J252&lt;=$C$4,Calc!I252,""),"")</f>
        <v/>
      </c>
      <c r="F252" s="40" t="str">
        <f>IFERROR(IF(Calc!J252&lt;=$C$4,CONCATENATE(TEXT(Calc!H252,"#0.000#")," + ",TEXT(INDEX(Calc!L252:P252,$B$4),"#0.000#")),""),"")</f>
        <v/>
      </c>
      <c r="G252" s="41" t="str">
        <f>IFERROR(IF(Calc!J252&lt;=$C$4,Calc!J252,""),"")</f>
        <v/>
      </c>
      <c r="H252" s="33" t="str">
        <f>IFERROR(IF(Calc!J252&lt;=$D$4,"Nice",""),"")</f>
        <v/>
      </c>
      <c r="J252" s="7" t="str">
        <f>CONCATENATE("[",TEXT(Show!A252,"#.0#"),":",TEXT(Show!B252,"#.0#"),"][",TEXT(Show!E252,"#.0#"),":",TEXT(Show!F252,"#.0#"),"]")</f>
        <v>[:][:]</v>
      </c>
    </row>
    <row r="253" spans="1:10" hidden="1" x14ac:dyDescent="0.25">
      <c r="A253" s="40" t="str">
        <f>IFERROR(IF(Calc!E253&lt;=$C$4,Calc!D253,""),"")</f>
        <v/>
      </c>
      <c r="B253" s="40" t="str">
        <f>IFERROR(IF(Calc!E253&lt;=$C$4,CONCATENATE(TEXT(Calc!C253,"#0.000#")," || ",TEXT(INDEX(Calc!L253:P253,$B$4),"#0.000#")),""),"")</f>
        <v/>
      </c>
      <c r="C253" s="41" t="str">
        <f>IFERROR(IF(Calc!E253&lt;=$C$4,Calc!E253,""),"")</f>
        <v/>
      </c>
      <c r="D253" s="33" t="str">
        <f>IFERROR(IF(Calc!E253&lt;=$D$4,"Nice",""),"")</f>
        <v/>
      </c>
      <c r="E253" s="40" t="str">
        <f>IFERROR(IF(Calc!J253&lt;=$C$4,Calc!I253,""),"")</f>
        <v/>
      </c>
      <c r="F253" s="40" t="str">
        <f>IFERROR(IF(Calc!J253&lt;=$C$4,CONCATENATE(TEXT(Calc!H253,"#0.000#")," + ",TEXT(INDEX(Calc!L253:P253,$B$4),"#0.000#")),""),"")</f>
        <v/>
      </c>
      <c r="G253" s="41" t="str">
        <f>IFERROR(IF(Calc!J253&lt;=$C$4,Calc!J253,""),"")</f>
        <v/>
      </c>
      <c r="H253" s="33" t="str">
        <f>IFERROR(IF(Calc!J253&lt;=$D$4,"Nice",""),"")</f>
        <v/>
      </c>
      <c r="J253" s="7" t="str">
        <f>CONCATENATE("[",TEXT(Show!A253,"#.0#"),":",TEXT(Show!B253,"#.0#"),"][",TEXT(Show!E253,"#.0#"),":",TEXT(Show!F253,"#.0#"),"]")</f>
        <v>[:][:]</v>
      </c>
    </row>
    <row r="254" spans="1:10" x14ac:dyDescent="0.25">
      <c r="A254" s="40" t="str">
        <f>IFERROR(IF(Calc!E254&lt;=$C$4,Calc!D254,""),"")</f>
        <v/>
      </c>
      <c r="B254" s="40" t="str">
        <f>IFERROR(IF(Calc!E254&lt;=$C$4,CONCATENATE(TEXT(Calc!C254,"#0.000#")," || ",TEXT(INDEX(Calc!L254:P254,$B$4),"#0.000#")),""),"")</f>
        <v/>
      </c>
      <c r="C254" s="41" t="str">
        <f>IFERROR(IF(Calc!E254&lt;=$C$4,Calc!E254,""),"")</f>
        <v/>
      </c>
      <c r="D254" s="33" t="str">
        <f>IFERROR(IF(Calc!E254&lt;=$D$4,"Nice",""),"")</f>
        <v/>
      </c>
      <c r="E254" s="40">
        <f>IFERROR(IF(Calc!J254&lt;=$C$4,Calc!I254,""),"")</f>
        <v>40.08</v>
      </c>
      <c r="F254" s="40" t="str">
        <f>IFERROR(IF(Calc!J254&lt;=$C$4,CONCATENATE(TEXT(Calc!H254,"#0.000#")," + ",TEXT(INDEX(Calc!L254:P254,$B$4),"#0.000#")),""),"")</f>
        <v>1.780 + 38.300</v>
      </c>
      <c r="G254" s="41">
        <f>IFERROR(IF(Calc!J254&lt;=$C$4,Calc!J254,""),"")</f>
        <v>0.19999999999999574</v>
      </c>
      <c r="H254" s="33" t="str">
        <f>IFERROR(IF(Calc!J254&lt;=$D$4,"Nice",""),"")</f>
        <v>Nice</v>
      </c>
      <c r="J254" s="7" t="str">
        <f>CONCATENATE("[",TEXT(Show!A254,"#.0#"),":",TEXT(Show!B254,"#.0#"),"][",TEXT(Show!E254,"#.0#"),":",TEXT(Show!F254,"#.0#"),"]")</f>
        <v>[:][40.08:1.780 + 38.300]</v>
      </c>
    </row>
    <row r="255" spans="1:10" hidden="1" x14ac:dyDescent="0.25">
      <c r="A255" s="40" t="str">
        <f>IFERROR(IF(Calc!E255&lt;=$C$4,Calc!D255,""),"")</f>
        <v/>
      </c>
      <c r="B255" s="40" t="str">
        <f>IFERROR(IF(Calc!E255&lt;=$C$4,CONCATENATE(TEXT(Calc!C255,"#0.000#")," || ",TEXT(INDEX(Calc!L255:P255,$B$4),"#0.000#")),""),"")</f>
        <v/>
      </c>
      <c r="C255" s="41" t="str">
        <f>IFERROR(IF(Calc!E255&lt;=$C$4,Calc!E255,""),"")</f>
        <v/>
      </c>
      <c r="D255" s="33" t="str">
        <f>IFERROR(IF(Calc!E255&lt;=$D$4,"Nice",""),"")</f>
        <v/>
      </c>
      <c r="E255" s="40" t="str">
        <f>IFERROR(IF(Calc!J255&lt;=$C$4,Calc!I255,""),"")</f>
        <v/>
      </c>
      <c r="F255" s="40" t="str">
        <f>IFERROR(IF(Calc!J255&lt;=$C$4,CONCATENATE(TEXT(Calc!H255,"#0.000#")," + ",TEXT(INDEX(Calc!L255:P255,$B$4),"#0.000#")),""),"")</f>
        <v/>
      </c>
      <c r="G255" s="41" t="str">
        <f>IFERROR(IF(Calc!J255&lt;=$C$4,Calc!J255,""),"")</f>
        <v/>
      </c>
      <c r="H255" s="33" t="str">
        <f>IFERROR(IF(Calc!J255&lt;=$D$4,"Nice",""),"")</f>
        <v/>
      </c>
      <c r="J255" s="7" t="str">
        <f>CONCATENATE("[",TEXT(Show!A255,"#.0#"),":",TEXT(Show!B255,"#.0#"),"][",TEXT(Show!E255,"#.0#"),":",TEXT(Show!F255,"#.0#"),"]")</f>
        <v>[:][:]</v>
      </c>
    </row>
    <row r="256" spans="1:10" hidden="1" x14ac:dyDescent="0.25">
      <c r="A256" s="40" t="str">
        <f>IFERROR(IF(Calc!E256&lt;=$C$4,Calc!D256,""),"")</f>
        <v/>
      </c>
      <c r="B256" s="40" t="str">
        <f>IFERROR(IF(Calc!E256&lt;=$C$4,CONCATENATE(TEXT(Calc!C256,"#0.000#")," || ",TEXT(INDEX(Calc!L256:P256,$B$4),"#0.000#")),""),"")</f>
        <v/>
      </c>
      <c r="C256" s="41" t="str">
        <f>IFERROR(IF(Calc!E256&lt;=$C$4,Calc!E256,""),"")</f>
        <v/>
      </c>
      <c r="D256" s="33" t="str">
        <f>IFERROR(IF(Calc!E256&lt;=$D$4,"Nice",""),"")</f>
        <v/>
      </c>
      <c r="E256" s="40" t="str">
        <f>IFERROR(IF(Calc!J256&lt;=$C$4,Calc!I256,""),"")</f>
        <v/>
      </c>
      <c r="F256" s="40" t="str">
        <f>IFERROR(IF(Calc!J256&lt;=$C$4,CONCATENATE(TEXT(Calc!H256,"#0.000#")," + ",TEXT(INDEX(Calc!L256:P256,$B$4),"#0.000#")),""),"")</f>
        <v/>
      </c>
      <c r="G256" s="41" t="str">
        <f>IFERROR(IF(Calc!J256&lt;=$C$4,Calc!J256,""),"")</f>
        <v/>
      </c>
      <c r="H256" s="33" t="str">
        <f>IFERROR(IF(Calc!J256&lt;=$D$4,"Nice",""),"")</f>
        <v/>
      </c>
      <c r="J256" s="7" t="str">
        <f>CONCATENATE("[",TEXT(Show!A256,"#.0#"),":",TEXT(Show!B256,"#.0#"),"][",TEXT(Show!E256,"#.0#"),":",TEXT(Show!F256,"#.0#"),"]")</f>
        <v>[:][:]</v>
      </c>
    </row>
    <row r="257" spans="1:10" x14ac:dyDescent="0.25">
      <c r="A257" s="40">
        <f>IFERROR(IF(Calc!E257&lt;=$C$4,Calc!D257,""),"")</f>
        <v>39.952032315071953</v>
      </c>
      <c r="B257" s="40" t="str">
        <f>IFERROR(IF(Calc!E257&lt;=$C$4,CONCATENATE(TEXT(Calc!C257,"#0.000#")," || ",TEXT(INDEX(Calc!L257:P257,$B$4),"#0.000#")),""),"")</f>
        <v>750.000 || 42.200</v>
      </c>
      <c r="C257" s="41">
        <f>IFERROR(IF(Calc!E257&lt;=$C$4,Calc!E257,""),"")</f>
        <v>0.11991921232011649</v>
      </c>
      <c r="D257" s="33" t="str">
        <f>IFERROR(IF(Calc!E257&lt;=$D$4,"Nice",""),"")</f>
        <v>Nice</v>
      </c>
      <c r="E257" s="40" t="str">
        <f>IFERROR(IF(Calc!J257&lt;=$C$4,Calc!I257,""),"")</f>
        <v/>
      </c>
      <c r="F257" s="40" t="str">
        <f>IFERROR(IF(Calc!J257&lt;=$C$4,CONCATENATE(TEXT(Calc!H257,"#0.000#")," + ",TEXT(INDEX(Calc!L257:P257,$B$4),"#0.000#")),""),"")</f>
        <v/>
      </c>
      <c r="G257" s="41" t="str">
        <f>IFERROR(IF(Calc!J257&lt;=$C$4,Calc!J257,""),"")</f>
        <v/>
      </c>
      <c r="H257" s="33" t="str">
        <f>IFERROR(IF(Calc!J257&lt;=$D$4,"Nice",""),"")</f>
        <v/>
      </c>
      <c r="J257" s="7" t="str">
        <f>CONCATENATE("[",TEXT(Show!A257,"#.0#"),":",TEXT(Show!B257,"#.0#"),"][",TEXT(Show!E257,"#.0#"),":",TEXT(Show!F257,"#.0#"),"]")</f>
        <v>[39.95:750.000 || 42.200][:]</v>
      </c>
    </row>
    <row r="258" spans="1:10" hidden="1" x14ac:dyDescent="0.25">
      <c r="A258" s="40">
        <f>IFERROR(IF(Calc!E258&lt;=$C$4,Calc!D258,""),"")</f>
        <v>39.952032315071953</v>
      </c>
      <c r="B258" s="40" t="str">
        <f>IFERROR(IF(Calc!E258&lt;=$C$4,CONCATENATE(TEXT(Calc!C258,"#0.000#")," || ",TEXT(INDEX(Calc!L258:P258,$B$4),"#0.000#")),""),"")</f>
        <v>750.000 || 42.200</v>
      </c>
      <c r="C258" s="41">
        <f>IFERROR(IF(Calc!E258&lt;=$C$4,Calc!E258,""),"")</f>
        <v>0.11991921232011649</v>
      </c>
      <c r="D258" s="33" t="str">
        <f>IFERROR(IF(Calc!E258&lt;=$D$4,"Nice",""),"")</f>
        <v>Nice</v>
      </c>
      <c r="E258" s="40" t="str">
        <f>IFERROR(IF(Calc!J258&lt;=$C$4,Calc!I258,""),"")</f>
        <v/>
      </c>
      <c r="F258" s="40" t="str">
        <f>IFERROR(IF(Calc!J258&lt;=$C$4,CONCATENATE(TEXT(Calc!H258,"#0.000#")," + ",TEXT(INDEX(Calc!L258:P258,$B$4),"#0.000#")),""),"")</f>
        <v/>
      </c>
      <c r="G258" s="41" t="str">
        <f>IFERROR(IF(Calc!J258&lt;=$C$4,Calc!J258,""),"")</f>
        <v/>
      </c>
      <c r="H258" s="33" t="str">
        <f>IFERROR(IF(Calc!J258&lt;=$D$4,"Nice",""),"")</f>
        <v/>
      </c>
      <c r="J258" s="7" t="str">
        <f>CONCATENATE("[",TEXT(Show!A258,"#.0#"),":",TEXT(Show!B258,"#.0#"),"][",TEXT(Show!E258,"#.0#"),":",TEXT(Show!F258,"#.0#"),"]")</f>
        <v>[39.95:750.000 || 42.200][:]</v>
      </c>
    </row>
    <row r="259" spans="1:10" hidden="1" x14ac:dyDescent="0.25">
      <c r="A259" s="40">
        <f>IFERROR(IF(Calc!E259&lt;=$C$4,Calc!D259,""),"")</f>
        <v>39.952032315071953</v>
      </c>
      <c r="B259" s="40" t="str">
        <f>IFERROR(IF(Calc!E259&lt;=$C$4,CONCATENATE(TEXT(Calc!C259,"#0.000#")," || ",TEXT(INDEX(Calc!L259:P259,$B$4),"#0.000#")),""),"")</f>
        <v>750.000 || 42.200</v>
      </c>
      <c r="C259" s="41">
        <f>IFERROR(IF(Calc!E259&lt;=$C$4,Calc!E259,""),"")</f>
        <v>0.11991921232011649</v>
      </c>
      <c r="D259" s="33" t="str">
        <f>IFERROR(IF(Calc!E259&lt;=$D$4,"Nice",""),"")</f>
        <v>Nice</v>
      </c>
      <c r="E259" s="40" t="str">
        <f>IFERROR(IF(Calc!J259&lt;=$C$4,Calc!I259,""),"")</f>
        <v/>
      </c>
      <c r="F259" s="40" t="str">
        <f>IFERROR(IF(Calc!J259&lt;=$C$4,CONCATENATE(TEXT(Calc!H259,"#0.000#")," + ",TEXT(INDEX(Calc!L259:P259,$B$4),"#0.000#")),""),"")</f>
        <v/>
      </c>
      <c r="G259" s="41" t="str">
        <f>IFERROR(IF(Calc!J259&lt;=$C$4,Calc!J259,""),"")</f>
        <v/>
      </c>
      <c r="H259" s="33" t="str">
        <f>IFERROR(IF(Calc!J259&lt;=$D$4,"Nice",""),"")</f>
        <v/>
      </c>
      <c r="J259" s="7" t="str">
        <f>CONCATENATE("[",TEXT(Show!A259,"#.0#"),":",TEXT(Show!B259,"#.0#"),"][",TEXT(Show!E259,"#.0#"),":",TEXT(Show!F259,"#.0#"),"]")</f>
        <v>[39.95:750.000 || 42.200][:]</v>
      </c>
    </row>
    <row r="260" spans="1:10" hidden="1" x14ac:dyDescent="0.25">
      <c r="A260" s="40">
        <f>IFERROR(IF(Calc!E260&lt;=$C$4,Calc!D260,""),"")</f>
        <v>39.952032315071953</v>
      </c>
      <c r="B260" s="40" t="str">
        <f>IFERROR(IF(Calc!E260&lt;=$C$4,CONCATENATE(TEXT(Calc!C260,"#0.000#")," || ",TEXT(INDEX(Calc!L260:P260,$B$4),"#0.000#")),""),"")</f>
        <v>750.000 || 42.200</v>
      </c>
      <c r="C260" s="41">
        <f>IFERROR(IF(Calc!E260&lt;=$C$4,Calc!E260,""),"")</f>
        <v>0.11991921232011649</v>
      </c>
      <c r="D260" s="33" t="str">
        <f>IFERROR(IF(Calc!E260&lt;=$D$4,"Nice",""),"")</f>
        <v>Nice</v>
      </c>
      <c r="E260" s="40" t="str">
        <f>IFERROR(IF(Calc!J260&lt;=$C$4,Calc!I260,""),"")</f>
        <v/>
      </c>
      <c r="F260" s="40" t="str">
        <f>IFERROR(IF(Calc!J260&lt;=$C$4,CONCATENATE(TEXT(Calc!H260,"#0.000#")," + ",TEXT(INDEX(Calc!L260:P260,$B$4),"#0.000#")),""),"")</f>
        <v/>
      </c>
      <c r="G260" s="41" t="str">
        <f>IFERROR(IF(Calc!J260&lt;=$C$4,Calc!J260,""),"")</f>
        <v/>
      </c>
      <c r="H260" s="33" t="str">
        <f>IFERROR(IF(Calc!J260&lt;=$D$4,"Nice",""),"")</f>
        <v/>
      </c>
      <c r="J260" s="7" t="str">
        <f>CONCATENATE("[",TEXT(Show!A260,"#.0#"),":",TEXT(Show!B260,"#.0#"),"][",TEXT(Show!E260,"#.0#"),":",TEXT(Show!F260,"#.0#"),"]")</f>
        <v>[39.95:750.000 || 42.200][:]</v>
      </c>
    </row>
    <row r="261" spans="1:10" x14ac:dyDescent="0.25">
      <c r="A261" s="40">
        <f>IFERROR(IF(Calc!E261&lt;=$C$4,Calc!D261,""),"")</f>
        <v>39.942411517696456</v>
      </c>
      <c r="B261" s="40" t="str">
        <f>IFERROR(IF(Calc!E261&lt;=$C$4,CONCATENATE(TEXT(Calc!C261,"#0.000#")," || ",TEXT(INDEX(Calc!L261:P261,$B$4),"#0.000#")),""),"")</f>
        <v>287.000 || 46.400</v>
      </c>
      <c r="C261" s="41">
        <f>IFERROR(IF(Calc!E261&lt;=$C$4,Calc!E261,""),"")</f>
        <v>0.14397120575885936</v>
      </c>
      <c r="D261" s="33" t="str">
        <f>IFERROR(IF(Calc!E261&lt;=$D$4,"Nice",""),"")</f>
        <v>Nice</v>
      </c>
      <c r="E261" s="40" t="str">
        <f>IFERROR(IF(Calc!J261&lt;=$C$4,Calc!I261,""),"")</f>
        <v/>
      </c>
      <c r="F261" s="40" t="str">
        <f>IFERROR(IF(Calc!J261&lt;=$C$4,CONCATENATE(TEXT(Calc!H261,"#0.000#")," + ",TEXT(INDEX(Calc!L261:P261,$B$4),"#0.000#")),""),"")</f>
        <v/>
      </c>
      <c r="G261" s="41" t="str">
        <f>IFERROR(IF(Calc!J261&lt;=$C$4,Calc!J261,""),"")</f>
        <v/>
      </c>
      <c r="H261" s="33" t="str">
        <f>IFERROR(IF(Calc!J261&lt;=$D$4,"Nice",""),"")</f>
        <v/>
      </c>
      <c r="J261" s="7" t="str">
        <f>CONCATENATE("[",TEXT(Show!A261,"#.0#"),":",TEXT(Show!B261,"#.0#"),"][",TEXT(Show!E261,"#.0#"),":",TEXT(Show!F261,"#.0#"),"]")</f>
        <v>[39.94:287.000 || 46.400][:]</v>
      </c>
    </row>
    <row r="262" spans="1:10" hidden="1" x14ac:dyDescent="0.25">
      <c r="A262" s="40">
        <f>IFERROR(IF(Calc!E262&lt;=$C$4,Calc!D262,""),"")</f>
        <v>39.942411517696456</v>
      </c>
      <c r="B262" s="40" t="str">
        <f>IFERROR(IF(Calc!E262&lt;=$C$4,CONCATENATE(TEXT(Calc!C262,"#0.000#")," || ",TEXT(INDEX(Calc!L262:P262,$B$4),"#0.000#")),""),"")</f>
        <v>287.000 || 46.400</v>
      </c>
      <c r="C262" s="41">
        <f>IFERROR(IF(Calc!E262&lt;=$C$4,Calc!E262,""),"")</f>
        <v>0.14397120575885936</v>
      </c>
      <c r="D262" s="33" t="str">
        <f>IFERROR(IF(Calc!E262&lt;=$D$4,"Nice",""),"")</f>
        <v>Nice</v>
      </c>
      <c r="E262" s="40" t="str">
        <f>IFERROR(IF(Calc!J262&lt;=$C$4,Calc!I262,""),"")</f>
        <v/>
      </c>
      <c r="F262" s="40" t="str">
        <f>IFERROR(IF(Calc!J262&lt;=$C$4,CONCATENATE(TEXT(Calc!H262,"#0.000#")," + ",TEXT(INDEX(Calc!L262:P262,$B$4),"#0.000#")),""),"")</f>
        <v/>
      </c>
      <c r="G262" s="41" t="str">
        <f>IFERROR(IF(Calc!J262&lt;=$C$4,Calc!J262,""),"")</f>
        <v/>
      </c>
      <c r="H262" s="33" t="str">
        <f>IFERROR(IF(Calc!J262&lt;=$D$4,"Nice",""),"")</f>
        <v/>
      </c>
      <c r="J262" s="7" t="str">
        <f>CONCATENATE("[",TEXT(Show!A262,"#.0#"),":",TEXT(Show!B262,"#.0#"),"][",TEXT(Show!E262,"#.0#"),":",TEXT(Show!F262,"#.0#"),"]")</f>
        <v>[39.94:287.000 || 46.400][:]</v>
      </c>
    </row>
    <row r="263" spans="1:10" hidden="1" x14ac:dyDescent="0.25">
      <c r="A263" s="40">
        <f>IFERROR(IF(Calc!E263&lt;=$C$4,Calc!D263,""),"")</f>
        <v>39.942411517696456</v>
      </c>
      <c r="B263" s="40" t="str">
        <f>IFERROR(IF(Calc!E263&lt;=$C$4,CONCATENATE(TEXT(Calc!C263,"#0.000#")," || ",TEXT(INDEX(Calc!L263:P263,$B$4),"#0.000#")),""),"")</f>
        <v>287.000 || 46.400</v>
      </c>
      <c r="C263" s="41">
        <f>IFERROR(IF(Calc!E263&lt;=$C$4,Calc!E263,""),"")</f>
        <v>0.14397120575885936</v>
      </c>
      <c r="D263" s="33" t="str">
        <f>IFERROR(IF(Calc!E263&lt;=$D$4,"Nice",""),"")</f>
        <v>Nice</v>
      </c>
      <c r="E263" s="40" t="str">
        <f>IFERROR(IF(Calc!J263&lt;=$C$4,Calc!I263,""),"")</f>
        <v/>
      </c>
      <c r="F263" s="40" t="str">
        <f>IFERROR(IF(Calc!J263&lt;=$C$4,CONCATENATE(TEXT(Calc!H263,"#0.000#")," + ",TEXT(INDEX(Calc!L263:P263,$B$4),"#0.000#")),""),"")</f>
        <v/>
      </c>
      <c r="G263" s="41" t="str">
        <f>IFERROR(IF(Calc!J263&lt;=$C$4,Calc!J263,""),"")</f>
        <v/>
      </c>
      <c r="H263" s="33" t="str">
        <f>IFERROR(IF(Calc!J263&lt;=$D$4,"Nice",""),"")</f>
        <v/>
      </c>
      <c r="J263" s="7" t="str">
        <f>CONCATENATE("[",TEXT(Show!A263,"#.0#"),":",TEXT(Show!B263,"#.0#"),"][",TEXT(Show!E263,"#.0#"),":",TEXT(Show!F263,"#.0#"),"]")</f>
        <v>[39.94:287.000 || 46.400][:]</v>
      </c>
    </row>
    <row r="264" spans="1:10" hidden="1" x14ac:dyDescent="0.25">
      <c r="A264" s="40">
        <f>IFERROR(IF(Calc!E264&lt;=$C$4,Calc!D264,""),"")</f>
        <v>39.942411517696456</v>
      </c>
      <c r="B264" s="40" t="str">
        <f>IFERROR(IF(Calc!E264&lt;=$C$4,CONCATENATE(TEXT(Calc!C264,"#0.000#")," || ",TEXT(INDEX(Calc!L264:P264,$B$4),"#0.000#")),""),"")</f>
        <v>287.000 || 46.400</v>
      </c>
      <c r="C264" s="41">
        <f>IFERROR(IF(Calc!E264&lt;=$C$4,Calc!E264,""),"")</f>
        <v>0.14397120575885936</v>
      </c>
      <c r="D264" s="33" t="str">
        <f>IFERROR(IF(Calc!E264&lt;=$D$4,"Nice",""),"")</f>
        <v>Nice</v>
      </c>
      <c r="E264" s="40" t="str">
        <f>IFERROR(IF(Calc!J264&lt;=$C$4,Calc!I264,""),"")</f>
        <v/>
      </c>
      <c r="F264" s="40" t="str">
        <f>IFERROR(IF(Calc!J264&lt;=$C$4,CONCATENATE(TEXT(Calc!H264,"#0.000#")," + ",TEXT(INDEX(Calc!L264:P264,$B$4),"#0.000#")),""),"")</f>
        <v/>
      </c>
      <c r="G264" s="41" t="str">
        <f>IFERROR(IF(Calc!J264&lt;=$C$4,Calc!J264,""),"")</f>
        <v/>
      </c>
      <c r="H264" s="33" t="str">
        <f>IFERROR(IF(Calc!J264&lt;=$D$4,"Nice",""),"")</f>
        <v/>
      </c>
      <c r="J264" s="7" t="str">
        <f>CONCATENATE("[",TEXT(Show!A264,"#.0#"),":",TEXT(Show!B264,"#.0#"),"][",TEXT(Show!E264,"#.0#"),":",TEXT(Show!F264,"#.0#"),"]")</f>
        <v>[39.94:287.000 || 46.400][:]</v>
      </c>
    </row>
    <row r="265" spans="1:10" x14ac:dyDescent="0.25">
      <c r="A265" s="40">
        <f>IFERROR(IF(Calc!E265&lt;=$C$4,Calc!D265,""),"")</f>
        <v>39.702313400261893</v>
      </c>
      <c r="B265" s="40" t="str">
        <f>IFERROR(IF(Calc!E265&lt;=$C$4,CONCATENATE(TEXT(Calc!C265,"#0.000#")," || ",TEXT(INDEX(Calc!L265:P265,$B$4),"#0.000#")),""),"")</f>
        <v>178.000 || 51.100</v>
      </c>
      <c r="C265" s="41">
        <f>IFERROR(IF(Calc!E265&lt;=$C$4,Calc!E265,""),"")</f>
        <v>0.74421649934526712</v>
      </c>
      <c r="D265" s="33" t="str">
        <f>IFERROR(IF(Calc!E265&lt;=$D$4,"Nice",""),"")</f>
        <v/>
      </c>
      <c r="E265" s="40" t="str">
        <f>IFERROR(IF(Calc!J265&lt;=$C$4,Calc!I265,""),"")</f>
        <v/>
      </c>
      <c r="F265" s="40" t="str">
        <f>IFERROR(IF(Calc!J265&lt;=$C$4,CONCATENATE(TEXT(Calc!H265,"#0.000#")," + ",TEXT(INDEX(Calc!L265:P265,$B$4),"#0.000#")),""),"")</f>
        <v/>
      </c>
      <c r="G265" s="41" t="str">
        <f>IFERROR(IF(Calc!J265&lt;=$C$4,Calc!J265,""),"")</f>
        <v/>
      </c>
      <c r="H265" s="33" t="str">
        <f>IFERROR(IF(Calc!J265&lt;=$D$4,"Nice",""),"")</f>
        <v/>
      </c>
      <c r="J265" s="7" t="str">
        <f>CONCATENATE("[",TEXT(Show!A265,"#.0#"),":",TEXT(Show!B265,"#.0#"),"][",TEXT(Show!E265,"#.0#"),":",TEXT(Show!F265,"#.0#"),"]")</f>
        <v>[39.7:178.000 || 51.100][:]</v>
      </c>
    </row>
    <row r="266" spans="1:10" hidden="1" x14ac:dyDescent="0.25">
      <c r="A266" s="40">
        <f>IFERROR(IF(Calc!E266&lt;=$C$4,Calc!D266,""),"")</f>
        <v>39.702313400261893</v>
      </c>
      <c r="B266" s="40" t="str">
        <f>IFERROR(IF(Calc!E266&lt;=$C$4,CONCATENATE(TEXT(Calc!C266,"#0.000#")," || ",TEXT(INDEX(Calc!L266:P266,$B$4),"#0.000#")),""),"")</f>
        <v>178.000 || 51.100</v>
      </c>
      <c r="C266" s="41">
        <f>IFERROR(IF(Calc!E266&lt;=$C$4,Calc!E266,""),"")</f>
        <v>0.74421649934526712</v>
      </c>
      <c r="D266" s="33" t="str">
        <f>IFERROR(IF(Calc!E266&lt;=$D$4,"Nice",""),"")</f>
        <v/>
      </c>
      <c r="E266" s="40" t="str">
        <f>IFERROR(IF(Calc!J266&lt;=$C$4,Calc!I266,""),"")</f>
        <v/>
      </c>
      <c r="F266" s="40" t="str">
        <f>IFERROR(IF(Calc!J266&lt;=$C$4,CONCATENATE(TEXT(Calc!H266,"#0.000#")," + ",TEXT(INDEX(Calc!L266:P266,$B$4),"#0.000#")),""),"")</f>
        <v/>
      </c>
      <c r="G266" s="41" t="str">
        <f>IFERROR(IF(Calc!J266&lt;=$C$4,Calc!J266,""),"")</f>
        <v/>
      </c>
      <c r="H266" s="33" t="str">
        <f>IFERROR(IF(Calc!J266&lt;=$D$4,"Nice",""),"")</f>
        <v/>
      </c>
      <c r="J266" s="7" t="str">
        <f>CONCATENATE("[",TEXT(Show!A266,"#.0#"),":",TEXT(Show!B266,"#.0#"),"][",TEXT(Show!E266,"#.0#"),":",TEXT(Show!F266,"#.0#"),"]")</f>
        <v>[39.7:178.000 || 51.100][:]</v>
      </c>
    </row>
    <row r="267" spans="1:10" hidden="1" x14ac:dyDescent="0.25">
      <c r="A267" s="40">
        <f>IFERROR(IF(Calc!E267&lt;=$C$4,Calc!D267,""),"")</f>
        <v>39.702313400261893</v>
      </c>
      <c r="B267" s="40" t="str">
        <f>IFERROR(IF(Calc!E267&lt;=$C$4,CONCATENATE(TEXT(Calc!C267,"#0.000#")," || ",TEXT(INDEX(Calc!L267:P267,$B$4),"#0.000#")),""),"")</f>
        <v>178.000 || 51.100</v>
      </c>
      <c r="C267" s="41">
        <f>IFERROR(IF(Calc!E267&lt;=$C$4,Calc!E267,""),"")</f>
        <v>0.74421649934526712</v>
      </c>
      <c r="D267" s="33" t="str">
        <f>IFERROR(IF(Calc!E267&lt;=$D$4,"Nice",""),"")</f>
        <v/>
      </c>
      <c r="E267" s="40" t="str">
        <f>IFERROR(IF(Calc!J267&lt;=$C$4,Calc!I267,""),"")</f>
        <v/>
      </c>
      <c r="F267" s="40" t="str">
        <f>IFERROR(IF(Calc!J267&lt;=$C$4,CONCATENATE(TEXT(Calc!H267,"#0.000#")," + ",TEXT(INDEX(Calc!L267:P267,$B$4),"#0.000#")),""),"")</f>
        <v/>
      </c>
      <c r="G267" s="41" t="str">
        <f>IFERROR(IF(Calc!J267&lt;=$C$4,Calc!J267,""),"")</f>
        <v/>
      </c>
      <c r="H267" s="33" t="str">
        <f>IFERROR(IF(Calc!J267&lt;=$D$4,"Nice",""),"")</f>
        <v/>
      </c>
      <c r="J267" s="7" t="str">
        <f>CONCATENATE("[",TEXT(Show!A267,"#.0#"),":",TEXT(Show!B267,"#.0#"),"][",TEXT(Show!E267,"#.0#"),":",TEXT(Show!F267,"#.0#"),"]")</f>
        <v>[39.7:178.000 || 51.100][:]</v>
      </c>
    </row>
    <row r="268" spans="1:10" hidden="1" x14ac:dyDescent="0.25">
      <c r="A268" s="40">
        <f>IFERROR(IF(Calc!E268&lt;=$C$4,Calc!D268,""),"")</f>
        <v>39.702313400261893</v>
      </c>
      <c r="B268" s="40" t="str">
        <f>IFERROR(IF(Calc!E268&lt;=$C$4,CONCATENATE(TEXT(Calc!C268,"#0.000#")," || ",TEXT(INDEX(Calc!L268:P268,$B$4),"#0.000#")),""),"")</f>
        <v>178.000 || 51.100</v>
      </c>
      <c r="C268" s="41">
        <f>IFERROR(IF(Calc!E268&lt;=$C$4,Calc!E268,""),"")</f>
        <v>0.74421649934526712</v>
      </c>
      <c r="D268" s="33" t="str">
        <f>IFERROR(IF(Calc!E268&lt;=$D$4,"Nice",""),"")</f>
        <v/>
      </c>
      <c r="E268" s="40" t="str">
        <f>IFERROR(IF(Calc!J268&lt;=$C$4,Calc!I268,""),"")</f>
        <v/>
      </c>
      <c r="F268" s="40" t="str">
        <f>IFERROR(IF(Calc!J268&lt;=$C$4,CONCATENATE(TEXT(Calc!H268,"#0.000#")," + ",TEXT(INDEX(Calc!L268:P268,$B$4),"#0.000#")),""),"")</f>
        <v/>
      </c>
      <c r="G268" s="41" t="str">
        <f>IFERROR(IF(Calc!J268&lt;=$C$4,Calc!J268,""),"")</f>
        <v/>
      </c>
      <c r="H268" s="33" t="str">
        <f>IFERROR(IF(Calc!J268&lt;=$D$4,"Nice",""),"")</f>
        <v/>
      </c>
      <c r="J268" s="7" t="str">
        <f>CONCATENATE("[",TEXT(Show!A268,"#.0#"),":",TEXT(Show!B268,"#.0#"),"][",TEXT(Show!E268,"#.0#"),":",TEXT(Show!F268,"#.0#"),"]")</f>
        <v>[39.7:178.000 || 51.100][:]</v>
      </c>
    </row>
    <row r="269" spans="1:10" hidden="1" x14ac:dyDescent="0.25">
      <c r="A269" s="40" t="str">
        <f>IFERROR(IF(Calc!E269&lt;=$C$4,Calc!D269,""),"")</f>
        <v/>
      </c>
      <c r="B269" s="40" t="str">
        <f>IFERROR(IF(Calc!E269&lt;=$C$4,CONCATENATE(TEXT(Calc!C269,"#0.000#")," || ",TEXT(INDEX(Calc!L269:P269,$B$4),"#0.000#")),""),"")</f>
        <v/>
      </c>
      <c r="C269" s="41" t="str">
        <f>IFERROR(IF(Calc!E269&lt;=$C$4,Calc!E269,""),"")</f>
        <v/>
      </c>
      <c r="D269" s="33" t="str">
        <f>IFERROR(IF(Calc!E269&lt;=$D$4,"Nice",""),"")</f>
        <v/>
      </c>
      <c r="E269" s="40" t="str">
        <f>IFERROR(IF(Calc!J269&lt;=$C$4,Calc!I269,""),"")</f>
        <v/>
      </c>
      <c r="F269" s="40" t="str">
        <f>IFERROR(IF(Calc!J269&lt;=$C$4,CONCATENATE(TEXT(Calc!H269,"#0.000#")," + ",TEXT(INDEX(Calc!L269:P269,$B$4),"#0.000#")),""),"")</f>
        <v/>
      </c>
      <c r="G269" s="41" t="str">
        <f>IFERROR(IF(Calc!J269&lt;=$C$4,Calc!J269,""),"")</f>
        <v/>
      </c>
      <c r="H269" s="33" t="str">
        <f>IFERROR(IF(Calc!J269&lt;=$D$4,"Nice",""),"")</f>
        <v/>
      </c>
      <c r="J269" s="7" t="str">
        <f>CONCATENATE("[",TEXT(Show!A269,"#.0#"),":",TEXT(Show!B269,"#.0#"),"][",TEXT(Show!E269,"#.0#"),":",TEXT(Show!F269,"#.0#"),"]")</f>
        <v>[:][:]</v>
      </c>
    </row>
    <row r="270" spans="1:10" hidden="1" x14ac:dyDescent="0.25">
      <c r="A270" s="40" t="str">
        <f>IFERROR(IF(Calc!E270&lt;=$C$4,Calc!D270,""),"")</f>
        <v/>
      </c>
      <c r="B270" s="40" t="str">
        <f>IFERROR(IF(Calc!E270&lt;=$C$4,CONCATENATE(TEXT(Calc!C270,"#0.000#")," || ",TEXT(INDEX(Calc!L270:P270,$B$4),"#0.000#")),""),"")</f>
        <v/>
      </c>
      <c r="C270" s="41" t="str">
        <f>IFERROR(IF(Calc!E270&lt;=$C$4,Calc!E270,""),"")</f>
        <v/>
      </c>
      <c r="D270" s="33" t="str">
        <f>IFERROR(IF(Calc!E270&lt;=$D$4,"Nice",""),"")</f>
        <v/>
      </c>
      <c r="E270" s="40" t="str">
        <f>IFERROR(IF(Calc!J270&lt;=$C$4,Calc!I270,""),"")</f>
        <v/>
      </c>
      <c r="F270" s="40" t="str">
        <f>IFERROR(IF(Calc!J270&lt;=$C$4,CONCATENATE(TEXT(Calc!H270,"#0.000#")," + ",TEXT(INDEX(Calc!L270:P270,$B$4),"#0.000#")),""),"")</f>
        <v/>
      </c>
      <c r="G270" s="41" t="str">
        <f>IFERROR(IF(Calc!J270&lt;=$C$4,Calc!J270,""),"")</f>
        <v/>
      </c>
      <c r="H270" s="33" t="str">
        <f>IFERROR(IF(Calc!J270&lt;=$D$4,"Nice",""),"")</f>
        <v/>
      </c>
      <c r="J270" s="7" t="str">
        <f>CONCATENATE("[",TEXT(Show!A270,"#.0#"),":",TEXT(Show!B270,"#.0#"),"][",TEXT(Show!E270,"#.0#"),":",TEXT(Show!F270,"#.0#"),"]")</f>
        <v>[:][:]</v>
      </c>
    </row>
    <row r="271" spans="1:10" hidden="1" x14ac:dyDescent="0.25">
      <c r="A271" s="40" t="str">
        <f>IFERROR(IF(Calc!E271&lt;=$C$4,Calc!D271,""),"")</f>
        <v/>
      </c>
      <c r="B271" s="40" t="str">
        <f>IFERROR(IF(Calc!E271&lt;=$C$4,CONCATENATE(TEXT(Calc!C271,"#0.000#")," || ",TEXT(INDEX(Calc!L271:P271,$B$4),"#0.000#")),""),"")</f>
        <v/>
      </c>
      <c r="C271" s="41" t="str">
        <f>IFERROR(IF(Calc!E271&lt;=$C$4,Calc!E271,""),"")</f>
        <v/>
      </c>
      <c r="D271" s="33" t="str">
        <f>IFERROR(IF(Calc!E271&lt;=$D$4,"Nice",""),"")</f>
        <v/>
      </c>
      <c r="E271" s="40" t="str">
        <f>IFERROR(IF(Calc!J271&lt;=$C$4,Calc!I271,""),"")</f>
        <v/>
      </c>
      <c r="F271" s="40" t="str">
        <f>IFERROR(IF(Calc!J271&lt;=$C$4,CONCATENATE(TEXT(Calc!H271,"#0.000#")," + ",TEXT(INDEX(Calc!L271:P271,$B$4),"#0.000#")),""),"")</f>
        <v/>
      </c>
      <c r="G271" s="41" t="str">
        <f>IFERROR(IF(Calc!J271&lt;=$C$4,Calc!J271,""),"")</f>
        <v/>
      </c>
      <c r="H271" s="33" t="str">
        <f>IFERROR(IF(Calc!J271&lt;=$D$4,"Nice",""),"")</f>
        <v/>
      </c>
      <c r="J271" s="7" t="str">
        <f>CONCATENATE("[",TEXT(Show!A271,"#.0#"),":",TEXT(Show!B271,"#.0#"),"][",TEXT(Show!E271,"#.0#"),":",TEXT(Show!F271,"#.0#"),"]")</f>
        <v>[:][:]</v>
      </c>
    </row>
    <row r="272" spans="1:10" hidden="1" x14ac:dyDescent="0.25">
      <c r="A272" s="40" t="str">
        <f>IFERROR(IF(Calc!E272&lt;=$C$4,Calc!D272,""),"")</f>
        <v/>
      </c>
      <c r="B272" s="40" t="str">
        <f>IFERROR(IF(Calc!E272&lt;=$C$4,CONCATENATE(TEXT(Calc!C272,"#0.000#")," || ",TEXT(INDEX(Calc!L272:P272,$B$4),"#0.000#")),""),"")</f>
        <v/>
      </c>
      <c r="C272" s="41" t="str">
        <f>IFERROR(IF(Calc!E272&lt;=$C$4,Calc!E272,""),"")</f>
        <v/>
      </c>
      <c r="D272" s="33" t="str">
        <f>IFERROR(IF(Calc!E272&lt;=$D$4,"Nice",""),"")</f>
        <v/>
      </c>
      <c r="E272" s="40" t="str">
        <f>IFERROR(IF(Calc!J272&lt;=$C$4,Calc!I272,""),"")</f>
        <v/>
      </c>
      <c r="F272" s="40" t="str">
        <f>IFERROR(IF(Calc!J272&lt;=$C$4,CONCATENATE(TEXT(Calc!H272,"#0.000#")," + ",TEXT(INDEX(Calc!L272:P272,$B$4),"#0.000#")),""),"")</f>
        <v/>
      </c>
      <c r="G272" s="41" t="str">
        <f>IFERROR(IF(Calc!J272&lt;=$C$4,Calc!J272,""),"")</f>
        <v/>
      </c>
      <c r="H272" s="33" t="str">
        <f>IFERROR(IF(Calc!J272&lt;=$D$4,"Nice",""),"")</f>
        <v/>
      </c>
      <c r="J272" s="7" t="str">
        <f>CONCATENATE("[",TEXT(Show!A272,"#.0#"),":",TEXT(Show!B272,"#.0#"),"][",TEXT(Show!E272,"#.0#"),":",TEXT(Show!F272,"#.0#"),"]")</f>
        <v>[:][:]</v>
      </c>
    </row>
    <row r="273" spans="1:10" x14ac:dyDescent="0.25">
      <c r="A273" s="40">
        <f>IFERROR(IF(Calc!E273&lt;=$C$4,Calc!D273,""),"")</f>
        <v>39.610238510762073</v>
      </c>
      <c r="B273" s="40" t="str">
        <f>IFERROR(IF(Calc!E273&lt;=$C$4,CONCATENATE(TEXT(Calc!C273,"#0.000#")," || ",TEXT(INDEX(Calc!L273:P273,$B$4),"#0.000#")),""),"")</f>
        <v>110.000 || 61.900</v>
      </c>
      <c r="C273" s="41">
        <f>IFERROR(IF(Calc!E273&lt;=$C$4,Calc!E273,""),"")</f>
        <v>0.9744037230948166</v>
      </c>
      <c r="D273" s="33" t="str">
        <f>IFERROR(IF(Calc!E273&lt;=$D$4,"Nice",""),"")</f>
        <v/>
      </c>
      <c r="E273" s="40" t="str">
        <f>IFERROR(IF(Calc!J273&lt;=$C$4,Calc!I273,""),"")</f>
        <v/>
      </c>
      <c r="F273" s="40" t="str">
        <f>IFERROR(IF(Calc!J273&lt;=$C$4,CONCATENATE(TEXT(Calc!H273,"#0.000#")," + ",TEXT(INDEX(Calc!L273:P273,$B$4),"#0.000#")),""),"")</f>
        <v/>
      </c>
      <c r="G273" s="41" t="str">
        <f>IFERROR(IF(Calc!J273&lt;=$C$4,Calc!J273,""),"")</f>
        <v/>
      </c>
      <c r="H273" s="33" t="str">
        <f>IFERROR(IF(Calc!J273&lt;=$D$4,"Nice",""),"")</f>
        <v/>
      </c>
      <c r="J273" s="7" t="str">
        <f>CONCATENATE("[",TEXT(Show!A273,"#.0#"),":",TEXT(Show!B273,"#.0#"),"][",TEXT(Show!E273,"#.0#"),":",TEXT(Show!F273,"#.0#"),"]")</f>
        <v>[39.61:110.000 || 61.900][:]</v>
      </c>
    </row>
    <row r="274" spans="1:10" hidden="1" x14ac:dyDescent="0.25">
      <c r="A274" s="40">
        <f>IFERROR(IF(Calc!E274&lt;=$C$4,Calc!D274,""),"")</f>
        <v>39.610238510762073</v>
      </c>
      <c r="B274" s="40" t="str">
        <f>IFERROR(IF(Calc!E274&lt;=$C$4,CONCATENATE(TEXT(Calc!C274,"#0.000#")," || ",TEXT(INDEX(Calc!L274:P274,$B$4),"#0.000#")),""),"")</f>
        <v>110.000 || 61.900</v>
      </c>
      <c r="C274" s="41">
        <f>IFERROR(IF(Calc!E274&lt;=$C$4,Calc!E274,""),"")</f>
        <v>0.9744037230948166</v>
      </c>
      <c r="D274" s="33" t="str">
        <f>IFERROR(IF(Calc!E274&lt;=$D$4,"Nice",""),"")</f>
        <v/>
      </c>
      <c r="E274" s="40" t="str">
        <f>IFERROR(IF(Calc!J274&lt;=$C$4,Calc!I274,""),"")</f>
        <v/>
      </c>
      <c r="F274" s="40" t="str">
        <f>IFERROR(IF(Calc!J274&lt;=$C$4,CONCATENATE(TEXT(Calc!H274,"#0.000#")," + ",TEXT(INDEX(Calc!L274:P274,$B$4),"#0.000#")),""),"")</f>
        <v/>
      </c>
      <c r="G274" s="41" t="str">
        <f>IFERROR(IF(Calc!J274&lt;=$C$4,Calc!J274,""),"")</f>
        <v/>
      </c>
      <c r="H274" s="33" t="str">
        <f>IFERROR(IF(Calc!J274&lt;=$D$4,"Nice",""),"")</f>
        <v/>
      </c>
      <c r="J274" s="7" t="str">
        <f>CONCATENATE("[",TEXT(Show!A274,"#.0#"),":",TEXT(Show!B274,"#.0#"),"][",TEXT(Show!E274,"#.0#"),":",TEXT(Show!F274,"#.0#"),"]")</f>
        <v>[39.61:110.000 || 61.900][:]</v>
      </c>
    </row>
    <row r="275" spans="1:10" hidden="1" x14ac:dyDescent="0.25">
      <c r="A275" s="40">
        <f>IFERROR(IF(Calc!E275&lt;=$C$4,Calc!D275,""),"")</f>
        <v>39.610238510762073</v>
      </c>
      <c r="B275" s="40" t="str">
        <f>IFERROR(IF(Calc!E275&lt;=$C$4,CONCATENATE(TEXT(Calc!C275,"#0.000#")," || ",TEXT(INDEX(Calc!L275:P275,$B$4),"#0.000#")),""),"")</f>
        <v>110.000 || 61.900</v>
      </c>
      <c r="C275" s="41">
        <f>IFERROR(IF(Calc!E275&lt;=$C$4,Calc!E275,""),"")</f>
        <v>0.9744037230948166</v>
      </c>
      <c r="D275" s="33" t="str">
        <f>IFERROR(IF(Calc!E275&lt;=$D$4,"Nice",""),"")</f>
        <v/>
      </c>
      <c r="E275" s="40" t="str">
        <f>IFERROR(IF(Calc!J275&lt;=$C$4,Calc!I275,""),"")</f>
        <v/>
      </c>
      <c r="F275" s="40" t="str">
        <f>IFERROR(IF(Calc!J275&lt;=$C$4,CONCATENATE(TEXT(Calc!H275,"#0.000#")," + ",TEXT(INDEX(Calc!L275:P275,$B$4),"#0.000#")),""),"")</f>
        <v/>
      </c>
      <c r="G275" s="41" t="str">
        <f>IFERROR(IF(Calc!J275&lt;=$C$4,Calc!J275,""),"")</f>
        <v/>
      </c>
      <c r="H275" s="33" t="str">
        <f>IFERROR(IF(Calc!J275&lt;=$D$4,"Nice",""),"")</f>
        <v/>
      </c>
      <c r="J275" s="7" t="str">
        <f>CONCATENATE("[",TEXT(Show!A275,"#.0#"),":",TEXT(Show!B275,"#.0#"),"][",TEXT(Show!E275,"#.0#"),":",TEXT(Show!F275,"#.0#"),"]")</f>
        <v>[39.61:110.000 || 61.900][:]</v>
      </c>
    </row>
    <row r="276" spans="1:10" hidden="1" x14ac:dyDescent="0.25">
      <c r="A276" s="40">
        <f>IFERROR(IF(Calc!E276&lt;=$C$4,Calc!D276,""),"")</f>
        <v>39.610238510762073</v>
      </c>
      <c r="B276" s="40" t="str">
        <f>IFERROR(IF(Calc!E276&lt;=$C$4,CONCATENATE(TEXT(Calc!C276,"#0.000#")," || ",TEXT(INDEX(Calc!L276:P276,$B$4),"#0.000#")),""),"")</f>
        <v>110.000 || 61.900</v>
      </c>
      <c r="C276" s="41">
        <f>IFERROR(IF(Calc!E276&lt;=$C$4,Calc!E276,""),"")</f>
        <v>0.9744037230948166</v>
      </c>
      <c r="D276" s="33" t="str">
        <f>IFERROR(IF(Calc!E276&lt;=$D$4,"Nice",""),"")</f>
        <v/>
      </c>
      <c r="E276" s="40" t="str">
        <f>IFERROR(IF(Calc!J276&lt;=$C$4,Calc!I276,""),"")</f>
        <v/>
      </c>
      <c r="F276" s="40" t="str">
        <f>IFERROR(IF(Calc!J276&lt;=$C$4,CONCATENATE(TEXT(Calc!H276,"#0.000#")," + ",TEXT(INDEX(Calc!L276:P276,$B$4),"#0.000#")),""),"")</f>
        <v/>
      </c>
      <c r="G276" s="41" t="str">
        <f>IFERROR(IF(Calc!J276&lt;=$C$4,Calc!J276,""),"")</f>
        <v/>
      </c>
      <c r="H276" s="33" t="str">
        <f>IFERROR(IF(Calc!J276&lt;=$D$4,"Nice",""),"")</f>
        <v/>
      </c>
      <c r="J276" s="7" t="str">
        <f>CONCATENATE("[",TEXT(Show!A276,"#.0#"),":",TEXT(Show!B276,"#.0#"),"][",TEXT(Show!E276,"#.0#"),":",TEXT(Show!F276,"#.0#"),"]")</f>
        <v>[39.61:110.000 || 61.900][:]</v>
      </c>
    </row>
    <row r="277" spans="1:10" hidden="1" x14ac:dyDescent="0.25">
      <c r="A277" s="40" t="str">
        <f>IFERROR(IF(Calc!E277&lt;=$C$4,Calc!D277,""),"")</f>
        <v/>
      </c>
      <c r="B277" s="40" t="str">
        <f>IFERROR(IF(Calc!E277&lt;=$C$4,CONCATENATE(TEXT(Calc!C277,"#0.000#")," || ",TEXT(INDEX(Calc!L277:P277,$B$4),"#0.000#")),""),"")</f>
        <v/>
      </c>
      <c r="C277" s="41" t="str">
        <f>IFERROR(IF(Calc!E277&lt;=$C$4,Calc!E277,""),"")</f>
        <v/>
      </c>
      <c r="D277" s="33" t="str">
        <f>IFERROR(IF(Calc!E277&lt;=$D$4,"Nice",""),"")</f>
        <v/>
      </c>
      <c r="E277" s="40" t="str">
        <f>IFERROR(IF(Calc!J277&lt;=$C$4,Calc!I277,""),"")</f>
        <v/>
      </c>
      <c r="F277" s="40" t="str">
        <f>IFERROR(IF(Calc!J277&lt;=$C$4,CONCATENATE(TEXT(Calc!H277,"#0.000#")," + ",TEXT(INDEX(Calc!L277:P277,$B$4),"#0.000#")),""),"")</f>
        <v/>
      </c>
      <c r="G277" s="41" t="str">
        <f>IFERROR(IF(Calc!J277&lt;=$C$4,Calc!J277,""),"")</f>
        <v/>
      </c>
      <c r="H277" s="33" t="str">
        <f>IFERROR(IF(Calc!J277&lt;=$D$4,"Nice",""),"")</f>
        <v/>
      </c>
      <c r="J277" s="7" t="str">
        <f>CONCATENATE("[",TEXT(Show!A277,"#.0#"),":",TEXT(Show!B277,"#.0#"),"][",TEXT(Show!E277,"#.0#"),":",TEXT(Show!F277,"#.0#"),"]")</f>
        <v>[:][:]</v>
      </c>
    </row>
    <row r="278" spans="1:10" hidden="1" x14ac:dyDescent="0.25">
      <c r="A278" s="40" t="str">
        <f>IFERROR(IF(Calc!E278&lt;=$C$4,Calc!D278,""),"")</f>
        <v/>
      </c>
      <c r="B278" s="40" t="str">
        <f>IFERROR(IF(Calc!E278&lt;=$C$4,CONCATENATE(TEXT(Calc!C278,"#0.000#")," || ",TEXT(INDEX(Calc!L278:P278,$B$4),"#0.000#")),""),"")</f>
        <v/>
      </c>
      <c r="C278" s="41" t="str">
        <f>IFERROR(IF(Calc!E278&lt;=$C$4,Calc!E278,""),"")</f>
        <v/>
      </c>
      <c r="D278" s="33" t="str">
        <f>IFERROR(IF(Calc!E278&lt;=$D$4,"Nice",""),"")</f>
        <v/>
      </c>
      <c r="E278" s="40" t="str">
        <f>IFERROR(IF(Calc!J278&lt;=$C$4,Calc!I278,""),"")</f>
        <v/>
      </c>
      <c r="F278" s="40" t="str">
        <f>IFERROR(IF(Calc!J278&lt;=$C$4,CONCATENATE(TEXT(Calc!H278,"#0.000#")," + ",TEXT(INDEX(Calc!L278:P278,$B$4),"#0.000#")),""),"")</f>
        <v/>
      </c>
      <c r="G278" s="41" t="str">
        <f>IFERROR(IF(Calc!J278&lt;=$C$4,Calc!J278,""),"")</f>
        <v/>
      </c>
      <c r="H278" s="33" t="str">
        <f>IFERROR(IF(Calc!J278&lt;=$D$4,"Nice",""),"")</f>
        <v/>
      </c>
      <c r="J278" s="7" t="str">
        <f>CONCATENATE("[",TEXT(Show!A278,"#.0#"),":",TEXT(Show!B278,"#.0#"),"][",TEXT(Show!E278,"#.0#"),":",TEXT(Show!F278,"#.0#"),"]")</f>
        <v>[:][:]</v>
      </c>
    </row>
    <row r="279" spans="1:10" hidden="1" x14ac:dyDescent="0.25">
      <c r="A279" s="40" t="str">
        <f>IFERROR(IF(Calc!E279&lt;=$C$4,Calc!D279,""),"")</f>
        <v/>
      </c>
      <c r="B279" s="40" t="str">
        <f>IFERROR(IF(Calc!E279&lt;=$C$4,CONCATENATE(TEXT(Calc!C279,"#0.000#")," || ",TEXT(INDEX(Calc!L279:P279,$B$4),"#0.000#")),""),"")</f>
        <v/>
      </c>
      <c r="C279" s="41" t="str">
        <f>IFERROR(IF(Calc!E279&lt;=$C$4,Calc!E279,""),"")</f>
        <v/>
      </c>
      <c r="D279" s="33" t="str">
        <f>IFERROR(IF(Calc!E279&lt;=$D$4,"Nice",""),"")</f>
        <v/>
      </c>
      <c r="E279" s="40" t="str">
        <f>IFERROR(IF(Calc!J279&lt;=$C$4,Calc!I279,""),"")</f>
        <v/>
      </c>
      <c r="F279" s="40" t="str">
        <f>IFERROR(IF(Calc!J279&lt;=$C$4,CONCATENATE(TEXT(Calc!H279,"#0.000#")," + ",TEXT(INDEX(Calc!L279:P279,$B$4),"#0.000#")),""),"")</f>
        <v/>
      </c>
      <c r="G279" s="41" t="str">
        <f>IFERROR(IF(Calc!J279&lt;=$C$4,Calc!J279,""),"")</f>
        <v/>
      </c>
      <c r="H279" s="33" t="str">
        <f>IFERROR(IF(Calc!J279&lt;=$D$4,"Nice",""),"")</f>
        <v/>
      </c>
      <c r="J279" s="7" t="str">
        <f>CONCATENATE("[",TEXT(Show!A279,"#.0#"),":",TEXT(Show!B279,"#.0#"),"][",TEXT(Show!E279,"#.0#"),":",TEXT(Show!F279,"#.0#"),"]")</f>
        <v>[:][:]</v>
      </c>
    </row>
    <row r="280" spans="1:10" hidden="1" x14ac:dyDescent="0.25">
      <c r="A280" s="40" t="str">
        <f>IFERROR(IF(Calc!E280&lt;=$C$4,Calc!D280,""),"")</f>
        <v/>
      </c>
      <c r="B280" s="40" t="str">
        <f>IFERROR(IF(Calc!E280&lt;=$C$4,CONCATENATE(TEXT(Calc!C280,"#0.000#")," || ",TEXT(INDEX(Calc!L280:P280,$B$4),"#0.000#")),""),"")</f>
        <v/>
      </c>
      <c r="C280" s="41" t="str">
        <f>IFERROR(IF(Calc!E280&lt;=$C$4,Calc!E280,""),"")</f>
        <v/>
      </c>
      <c r="D280" s="33" t="str">
        <f>IFERROR(IF(Calc!E280&lt;=$D$4,"Nice",""),"")</f>
        <v/>
      </c>
      <c r="E280" s="40" t="str">
        <f>IFERROR(IF(Calc!J280&lt;=$C$4,Calc!I280,""),"")</f>
        <v/>
      </c>
      <c r="F280" s="40" t="str">
        <f>IFERROR(IF(Calc!J280&lt;=$C$4,CONCATENATE(TEXT(Calc!H280,"#0.000#")," + ",TEXT(INDEX(Calc!L280:P280,$B$4),"#0.000#")),""),"")</f>
        <v/>
      </c>
      <c r="G280" s="41" t="str">
        <f>IFERROR(IF(Calc!J280&lt;=$C$4,Calc!J280,""),"")</f>
        <v/>
      </c>
      <c r="H280" s="33" t="str">
        <f>IFERROR(IF(Calc!J280&lt;=$D$4,"Nice",""),"")</f>
        <v/>
      </c>
      <c r="J280" s="7" t="str">
        <f>CONCATENATE("[",TEXT(Show!A280,"#.0#"),":",TEXT(Show!B280,"#.0#"),"][",TEXT(Show!E280,"#.0#"),":",TEXT(Show!F280,"#.0#"),"]")</f>
        <v>[:][:]</v>
      </c>
    </row>
    <row r="281" spans="1:10" hidden="1" x14ac:dyDescent="0.25">
      <c r="A281" s="40" t="str">
        <f>IFERROR(IF(Calc!E281&lt;=$C$4,Calc!D281,""),"")</f>
        <v/>
      </c>
      <c r="B281" s="40" t="str">
        <f>IFERROR(IF(Calc!E281&lt;=$C$4,CONCATENATE(TEXT(Calc!C281,"#0.000#")," || ",TEXT(INDEX(Calc!L281:P281,$B$4),"#0.000#")),""),"")</f>
        <v/>
      </c>
      <c r="C281" s="41" t="str">
        <f>IFERROR(IF(Calc!E281&lt;=$C$4,Calc!E281,""),"")</f>
        <v/>
      </c>
      <c r="D281" s="33" t="str">
        <f>IFERROR(IF(Calc!E281&lt;=$D$4,"Nice",""),"")</f>
        <v/>
      </c>
      <c r="E281" s="40" t="str">
        <f>IFERROR(IF(Calc!J281&lt;=$C$4,Calc!I281,""),"")</f>
        <v/>
      </c>
      <c r="F281" s="40" t="str">
        <f>IFERROR(IF(Calc!J281&lt;=$C$4,CONCATENATE(TEXT(Calc!H281,"#0.000#")," + ",TEXT(INDEX(Calc!L281:P281,$B$4),"#0.000#")),""),"")</f>
        <v/>
      </c>
      <c r="G281" s="41" t="str">
        <f>IFERROR(IF(Calc!J281&lt;=$C$4,Calc!J281,""),"")</f>
        <v/>
      </c>
      <c r="H281" s="33" t="str">
        <f>IFERROR(IF(Calc!J281&lt;=$D$4,"Nice",""),"")</f>
        <v/>
      </c>
      <c r="J281" s="7" t="str">
        <f>CONCATENATE("[",TEXT(Show!A281,"#.0#"),":",TEXT(Show!B281,"#.0#"),"][",TEXT(Show!E281,"#.0#"),":",TEXT(Show!F281,"#.0#"),"]")</f>
        <v>[:][:]</v>
      </c>
    </row>
    <row r="282" spans="1:10" hidden="1" x14ac:dyDescent="0.25">
      <c r="A282" s="40" t="str">
        <f>IFERROR(IF(Calc!E282&lt;=$C$4,Calc!D282,""),"")</f>
        <v/>
      </c>
      <c r="B282" s="40" t="str">
        <f>IFERROR(IF(Calc!E282&lt;=$C$4,CONCATENATE(TEXT(Calc!C282,"#0.000#")," || ",TEXT(INDEX(Calc!L282:P282,$B$4),"#0.000#")),""),"")</f>
        <v/>
      </c>
      <c r="C282" s="41" t="str">
        <f>IFERROR(IF(Calc!E282&lt;=$C$4,Calc!E282,""),"")</f>
        <v/>
      </c>
      <c r="D282" s="33" t="str">
        <f>IFERROR(IF(Calc!E282&lt;=$D$4,"Nice",""),"")</f>
        <v/>
      </c>
      <c r="E282" s="40" t="str">
        <f>IFERROR(IF(Calc!J282&lt;=$C$4,Calc!I282,""),"")</f>
        <v/>
      </c>
      <c r="F282" s="40" t="str">
        <f>IFERROR(IF(Calc!J282&lt;=$C$4,CONCATENATE(TEXT(Calc!H282,"#0.000#")," + ",TEXT(INDEX(Calc!L282:P282,$B$4),"#0.000#")),""),"")</f>
        <v/>
      </c>
      <c r="G282" s="41" t="str">
        <f>IFERROR(IF(Calc!J282&lt;=$C$4,Calc!J282,""),"")</f>
        <v/>
      </c>
      <c r="H282" s="33" t="str">
        <f>IFERROR(IF(Calc!J282&lt;=$D$4,"Nice",""),"")</f>
        <v/>
      </c>
      <c r="J282" s="7" t="str">
        <f>CONCATENATE("[",TEXT(Show!A282,"#.0#"),":",TEXT(Show!B282,"#.0#"),"][",TEXT(Show!E282,"#.0#"),":",TEXT(Show!F282,"#.0#"),"]")</f>
        <v>[:][:]</v>
      </c>
    </row>
    <row r="283" spans="1:10" hidden="1" x14ac:dyDescent="0.25">
      <c r="A283" s="40" t="str">
        <f>IFERROR(IF(Calc!E283&lt;=$C$4,Calc!D283,""),"")</f>
        <v/>
      </c>
      <c r="B283" s="40" t="str">
        <f>IFERROR(IF(Calc!E283&lt;=$C$4,CONCATENATE(TEXT(Calc!C283,"#0.000#")," || ",TEXT(INDEX(Calc!L283:P283,$B$4),"#0.000#")),""),"")</f>
        <v/>
      </c>
      <c r="C283" s="41" t="str">
        <f>IFERROR(IF(Calc!E283&lt;=$C$4,Calc!E283,""),"")</f>
        <v/>
      </c>
      <c r="D283" s="33" t="str">
        <f>IFERROR(IF(Calc!E283&lt;=$D$4,"Nice",""),"")</f>
        <v/>
      </c>
      <c r="E283" s="40" t="str">
        <f>IFERROR(IF(Calc!J283&lt;=$C$4,Calc!I283,""),"")</f>
        <v/>
      </c>
      <c r="F283" s="40" t="str">
        <f>IFERROR(IF(Calc!J283&lt;=$C$4,CONCATENATE(TEXT(Calc!H283,"#0.000#")," + ",TEXT(INDEX(Calc!L283:P283,$B$4),"#0.000#")),""),"")</f>
        <v/>
      </c>
      <c r="G283" s="41" t="str">
        <f>IFERROR(IF(Calc!J283&lt;=$C$4,Calc!J283,""),"")</f>
        <v/>
      </c>
      <c r="H283" s="33" t="str">
        <f>IFERROR(IF(Calc!J283&lt;=$D$4,"Nice",""),"")</f>
        <v/>
      </c>
      <c r="J283" s="7" t="str">
        <f>CONCATENATE("[",TEXT(Show!A283,"#.0#"),":",TEXT(Show!B283,"#.0#"),"][",TEXT(Show!E283,"#.0#"),":",TEXT(Show!F283,"#.0#"),"]")</f>
        <v>[:][:]</v>
      </c>
    </row>
    <row r="284" spans="1:10" hidden="1" x14ac:dyDescent="0.25">
      <c r="A284" s="40" t="str">
        <f>IFERROR(IF(Calc!E284&lt;=$C$4,Calc!D284,""),"")</f>
        <v/>
      </c>
      <c r="B284" s="40" t="str">
        <f>IFERROR(IF(Calc!E284&lt;=$C$4,CONCATENATE(TEXT(Calc!C284,"#0.000#")," || ",TEXT(INDEX(Calc!L284:P284,$B$4),"#0.000#")),""),"")</f>
        <v/>
      </c>
      <c r="C284" s="41" t="str">
        <f>IFERROR(IF(Calc!E284&lt;=$C$4,Calc!E284,""),"")</f>
        <v/>
      </c>
      <c r="D284" s="33" t="str">
        <f>IFERROR(IF(Calc!E284&lt;=$D$4,"Nice",""),"")</f>
        <v/>
      </c>
      <c r="E284" s="40" t="str">
        <f>IFERROR(IF(Calc!J284&lt;=$C$4,Calc!I284,""),"")</f>
        <v/>
      </c>
      <c r="F284" s="40" t="str">
        <f>IFERROR(IF(Calc!J284&lt;=$C$4,CONCATENATE(TEXT(Calc!H284,"#0.000#")," + ",TEXT(INDEX(Calc!L284:P284,$B$4),"#0.000#")),""),"")</f>
        <v/>
      </c>
      <c r="G284" s="41" t="str">
        <f>IFERROR(IF(Calc!J284&lt;=$C$4,Calc!J284,""),"")</f>
        <v/>
      </c>
      <c r="H284" s="33" t="str">
        <f>IFERROR(IF(Calc!J284&lt;=$D$4,"Nice",""),"")</f>
        <v/>
      </c>
      <c r="J284" s="7" t="str">
        <f>CONCATENATE("[",TEXT(Show!A284,"#.0#"),":",TEXT(Show!B284,"#.0#"),"][",TEXT(Show!E284,"#.0#"),":",TEXT(Show!F284,"#.0#"),"]")</f>
        <v>[:][:]</v>
      </c>
    </row>
    <row r="285" spans="1:10" hidden="1" x14ac:dyDescent="0.25">
      <c r="A285" s="40" t="str">
        <f>IFERROR(IF(Calc!E285&lt;=$C$4,Calc!D285,""),"")</f>
        <v/>
      </c>
      <c r="B285" s="40" t="str">
        <f>IFERROR(IF(Calc!E285&lt;=$C$4,CONCATENATE(TEXT(Calc!C285,"#0.000#")," || ",TEXT(INDEX(Calc!L285:P285,$B$4),"#0.000#")),""),"")</f>
        <v/>
      </c>
      <c r="C285" s="41" t="str">
        <f>IFERROR(IF(Calc!E285&lt;=$C$4,Calc!E285,""),"")</f>
        <v/>
      </c>
      <c r="D285" s="33" t="str">
        <f>IFERROR(IF(Calc!E285&lt;=$D$4,"Nice",""),"")</f>
        <v/>
      </c>
      <c r="E285" s="40" t="str">
        <f>IFERROR(IF(Calc!J285&lt;=$C$4,Calc!I285,""),"")</f>
        <v/>
      </c>
      <c r="F285" s="40" t="str">
        <f>IFERROR(IF(Calc!J285&lt;=$C$4,CONCATENATE(TEXT(Calc!H285,"#0.000#")," + ",TEXT(INDEX(Calc!L285:P285,$B$4),"#0.000#")),""),"")</f>
        <v/>
      </c>
      <c r="G285" s="41" t="str">
        <f>IFERROR(IF(Calc!J285&lt;=$C$4,Calc!J285,""),"")</f>
        <v/>
      </c>
      <c r="H285" s="33" t="str">
        <f>IFERROR(IF(Calc!J285&lt;=$D$4,"Nice",""),"")</f>
        <v/>
      </c>
      <c r="J285" s="7" t="str">
        <f>CONCATENATE("[",TEXT(Show!A285,"#.0#"),":",TEXT(Show!B285,"#.0#"),"][",TEXT(Show!E285,"#.0#"),":",TEXT(Show!F285,"#.0#"),"]")</f>
        <v>[:][:]</v>
      </c>
    </row>
    <row r="286" spans="1:10" hidden="1" x14ac:dyDescent="0.25">
      <c r="A286" s="40" t="str">
        <f>IFERROR(IF(Calc!E286&lt;=$C$4,Calc!D286,""),"")</f>
        <v/>
      </c>
      <c r="B286" s="40" t="str">
        <f>IFERROR(IF(Calc!E286&lt;=$C$4,CONCATENATE(TEXT(Calc!C286,"#0.000#")," || ",TEXT(INDEX(Calc!L286:P286,$B$4),"#0.000#")),""),"")</f>
        <v/>
      </c>
      <c r="C286" s="41" t="str">
        <f>IFERROR(IF(Calc!E286&lt;=$C$4,Calc!E286,""),"")</f>
        <v/>
      </c>
      <c r="D286" s="33" t="str">
        <f>IFERROR(IF(Calc!E286&lt;=$D$4,"Nice",""),"")</f>
        <v/>
      </c>
      <c r="E286" s="40" t="str">
        <f>IFERROR(IF(Calc!J286&lt;=$C$4,Calc!I286,""),"")</f>
        <v/>
      </c>
      <c r="F286" s="40" t="str">
        <f>IFERROR(IF(Calc!J286&lt;=$C$4,CONCATENATE(TEXT(Calc!H286,"#0.000#")," + ",TEXT(INDEX(Calc!L286:P286,$B$4),"#0.000#")),""),"")</f>
        <v/>
      </c>
      <c r="G286" s="41" t="str">
        <f>IFERROR(IF(Calc!J286&lt;=$C$4,Calc!J286,""),"")</f>
        <v/>
      </c>
      <c r="H286" s="33" t="str">
        <f>IFERROR(IF(Calc!J286&lt;=$D$4,"Nice",""),"")</f>
        <v/>
      </c>
      <c r="J286" s="7" t="str">
        <f>CONCATENATE("[",TEXT(Show!A286,"#.0#"),":",TEXT(Show!B286,"#.0#"),"][",TEXT(Show!E286,"#.0#"),":",TEXT(Show!F286,"#.0#"),"]")</f>
        <v>[:][:]</v>
      </c>
    </row>
    <row r="287" spans="1:10" hidden="1" x14ac:dyDescent="0.25">
      <c r="A287" s="40" t="str">
        <f>IFERROR(IF(Calc!E287&lt;=$C$4,Calc!D287,""),"")</f>
        <v/>
      </c>
      <c r="B287" s="40" t="str">
        <f>IFERROR(IF(Calc!E287&lt;=$C$4,CONCATENATE(TEXT(Calc!C287,"#0.000#")," || ",TEXT(INDEX(Calc!L287:P287,$B$4),"#0.000#")),""),"")</f>
        <v/>
      </c>
      <c r="C287" s="41" t="str">
        <f>IFERROR(IF(Calc!E287&lt;=$C$4,Calc!E287,""),"")</f>
        <v/>
      </c>
      <c r="D287" s="33" t="str">
        <f>IFERROR(IF(Calc!E287&lt;=$D$4,"Nice",""),"")</f>
        <v/>
      </c>
      <c r="E287" s="40" t="str">
        <f>IFERROR(IF(Calc!J287&lt;=$C$4,Calc!I287,""),"")</f>
        <v/>
      </c>
      <c r="F287" s="40" t="str">
        <f>IFERROR(IF(Calc!J287&lt;=$C$4,CONCATENATE(TEXT(Calc!H287,"#0.000#")," + ",TEXT(INDEX(Calc!L287:P287,$B$4),"#0.000#")),""),"")</f>
        <v/>
      </c>
      <c r="G287" s="41" t="str">
        <f>IFERROR(IF(Calc!J287&lt;=$C$4,Calc!J287,""),"")</f>
        <v/>
      </c>
      <c r="H287" s="33" t="str">
        <f>IFERROR(IF(Calc!J287&lt;=$D$4,"Nice",""),"")</f>
        <v/>
      </c>
      <c r="J287" s="7" t="str">
        <f>CONCATENATE("[",TEXT(Show!A287,"#.0#"),":",TEXT(Show!B287,"#.0#"),"][",TEXT(Show!E287,"#.0#"),":",TEXT(Show!F287,"#.0#"),"]")</f>
        <v>[:][:]</v>
      </c>
    </row>
    <row r="288" spans="1:10" hidden="1" x14ac:dyDescent="0.25">
      <c r="A288" s="40" t="str">
        <f>IFERROR(IF(Calc!E288&lt;=$C$4,Calc!D288,""),"")</f>
        <v/>
      </c>
      <c r="B288" s="40" t="str">
        <f>IFERROR(IF(Calc!E288&lt;=$C$4,CONCATENATE(TEXT(Calc!C288,"#0.000#")," || ",TEXT(INDEX(Calc!L288:P288,$B$4),"#0.000#")),""),"")</f>
        <v/>
      </c>
      <c r="C288" s="41" t="str">
        <f>IFERROR(IF(Calc!E288&lt;=$C$4,Calc!E288,""),"")</f>
        <v/>
      </c>
      <c r="D288" s="33" t="str">
        <f>IFERROR(IF(Calc!E288&lt;=$D$4,"Nice",""),"")</f>
        <v/>
      </c>
      <c r="E288" s="40" t="str">
        <f>IFERROR(IF(Calc!J288&lt;=$C$4,Calc!I288,""),"")</f>
        <v/>
      </c>
      <c r="F288" s="40" t="str">
        <f>IFERROR(IF(Calc!J288&lt;=$C$4,CONCATENATE(TEXT(Calc!H288,"#0.000#")," + ",TEXT(INDEX(Calc!L288:P288,$B$4),"#0.000#")),""),"")</f>
        <v/>
      </c>
      <c r="G288" s="41" t="str">
        <f>IFERROR(IF(Calc!J288&lt;=$C$4,Calc!J288,""),"")</f>
        <v/>
      </c>
      <c r="H288" s="33" t="str">
        <f>IFERROR(IF(Calc!J288&lt;=$D$4,"Nice",""),"")</f>
        <v/>
      </c>
      <c r="J288" s="7" t="str">
        <f>CONCATENATE("[",TEXT(Show!A288,"#.0#"),":",TEXT(Show!B288,"#.0#"),"][",TEXT(Show!E288,"#.0#"),":",TEXT(Show!F288,"#.0#"),"]")</f>
        <v>[:][:]</v>
      </c>
    </row>
    <row r="289" spans="1:10" hidden="1" x14ac:dyDescent="0.25">
      <c r="A289" s="40" t="str">
        <f>IFERROR(IF(Calc!E289&lt;=$C$4,Calc!D289,""),"")</f>
        <v/>
      </c>
      <c r="B289" s="40" t="str">
        <f>IFERROR(IF(Calc!E289&lt;=$C$4,CONCATENATE(TEXT(Calc!C289,"#0.000#")," || ",TEXT(INDEX(Calc!L289:P289,$B$4),"#0.000#")),""),"")</f>
        <v/>
      </c>
      <c r="C289" s="41" t="str">
        <f>IFERROR(IF(Calc!E289&lt;=$C$4,Calc!E289,""),"")</f>
        <v/>
      </c>
      <c r="D289" s="33" t="str">
        <f>IFERROR(IF(Calc!E289&lt;=$D$4,"Nice",""),"")</f>
        <v/>
      </c>
      <c r="E289" s="40" t="str">
        <f>IFERROR(IF(Calc!J289&lt;=$C$4,Calc!I289,""),"")</f>
        <v/>
      </c>
      <c r="F289" s="40" t="str">
        <f>IFERROR(IF(Calc!J289&lt;=$C$4,CONCATENATE(TEXT(Calc!H289,"#0.000#")," + ",TEXT(INDEX(Calc!L289:P289,$B$4),"#0.000#")),""),"")</f>
        <v/>
      </c>
      <c r="G289" s="41" t="str">
        <f>IFERROR(IF(Calc!J289&lt;=$C$4,Calc!J289,""),"")</f>
        <v/>
      </c>
      <c r="H289" s="33" t="str">
        <f>IFERROR(IF(Calc!J289&lt;=$D$4,"Nice",""),"")</f>
        <v/>
      </c>
      <c r="J289" s="7" t="str">
        <f>CONCATENATE("[",TEXT(Show!A289,"#.0#"),":",TEXT(Show!B289,"#.0#"),"][",TEXT(Show!E289,"#.0#"),":",TEXT(Show!F289,"#.0#"),"]")</f>
        <v>[:][:]</v>
      </c>
    </row>
    <row r="290" spans="1:10" hidden="1" x14ac:dyDescent="0.25">
      <c r="A290" s="40" t="str">
        <f>IFERROR(IF(Calc!E290&lt;=$C$4,Calc!D290,""),"")</f>
        <v/>
      </c>
      <c r="B290" s="40" t="str">
        <f>IFERROR(IF(Calc!E290&lt;=$C$4,CONCATENATE(TEXT(Calc!C290,"#0.000#")," || ",TEXT(INDEX(Calc!L290:P290,$B$4),"#0.000#")),""),"")</f>
        <v/>
      </c>
      <c r="C290" s="41" t="str">
        <f>IFERROR(IF(Calc!E290&lt;=$C$4,Calc!E290,""),"")</f>
        <v/>
      </c>
      <c r="D290" s="33" t="str">
        <f>IFERROR(IF(Calc!E290&lt;=$D$4,"Nice",""),"")</f>
        <v/>
      </c>
      <c r="E290" s="40" t="str">
        <f>IFERROR(IF(Calc!J290&lt;=$C$4,Calc!I290,""),"")</f>
        <v/>
      </c>
      <c r="F290" s="40" t="str">
        <f>IFERROR(IF(Calc!J290&lt;=$C$4,CONCATENATE(TEXT(Calc!H290,"#0.000#")," + ",TEXT(INDEX(Calc!L290:P290,$B$4),"#0.000#")),""),"")</f>
        <v/>
      </c>
      <c r="G290" s="41" t="str">
        <f>IFERROR(IF(Calc!J290&lt;=$C$4,Calc!J290,""),"")</f>
        <v/>
      </c>
      <c r="H290" s="33" t="str">
        <f>IFERROR(IF(Calc!J290&lt;=$D$4,"Nice",""),"")</f>
        <v/>
      </c>
      <c r="J290" s="7" t="str">
        <f>CONCATENATE("[",TEXT(Show!A290,"#.0#"),":",TEXT(Show!B290,"#.0#"),"][",TEXT(Show!E290,"#.0#"),":",TEXT(Show!F290,"#.0#"),"]")</f>
        <v>[:][:]</v>
      </c>
    </row>
    <row r="291" spans="1:10" hidden="1" x14ac:dyDescent="0.25">
      <c r="A291" s="40" t="str">
        <f>IFERROR(IF(Calc!E291&lt;=$C$4,Calc!D291,""),"")</f>
        <v/>
      </c>
      <c r="B291" s="40" t="str">
        <f>IFERROR(IF(Calc!E291&lt;=$C$4,CONCATENATE(TEXT(Calc!C291,"#0.000#")," || ",TEXT(INDEX(Calc!L291:P291,$B$4),"#0.000#")),""),"")</f>
        <v/>
      </c>
      <c r="C291" s="41" t="str">
        <f>IFERROR(IF(Calc!E291&lt;=$C$4,Calc!E291,""),"")</f>
        <v/>
      </c>
      <c r="D291" s="33" t="str">
        <f>IFERROR(IF(Calc!E291&lt;=$D$4,"Nice",""),"")</f>
        <v/>
      </c>
      <c r="E291" s="40" t="str">
        <f>IFERROR(IF(Calc!J291&lt;=$C$4,Calc!I291,""),"")</f>
        <v/>
      </c>
      <c r="F291" s="40" t="str">
        <f>IFERROR(IF(Calc!J291&lt;=$C$4,CONCATENATE(TEXT(Calc!H291,"#0.000#")," + ",TEXT(INDEX(Calc!L291:P291,$B$4),"#0.000#")),""),"")</f>
        <v/>
      </c>
      <c r="G291" s="41" t="str">
        <f>IFERROR(IF(Calc!J291&lt;=$C$4,Calc!J291,""),"")</f>
        <v/>
      </c>
      <c r="H291" s="33" t="str">
        <f>IFERROR(IF(Calc!J291&lt;=$D$4,"Nice",""),"")</f>
        <v/>
      </c>
      <c r="J291" s="7" t="str">
        <f>CONCATENATE("[",TEXT(Show!A291,"#.0#"),":",TEXT(Show!B291,"#.0#"),"][",TEXT(Show!E291,"#.0#"),":",TEXT(Show!F291,"#.0#"),"]")</f>
        <v>[:][:]</v>
      </c>
    </row>
    <row r="292" spans="1:10" hidden="1" x14ac:dyDescent="0.25">
      <c r="A292" s="40" t="str">
        <f>IFERROR(IF(Calc!E292&lt;=$C$4,Calc!D292,""),"")</f>
        <v/>
      </c>
      <c r="B292" s="40" t="str">
        <f>IFERROR(IF(Calc!E292&lt;=$C$4,CONCATENATE(TEXT(Calc!C292,"#0.000#")," || ",TEXT(INDEX(Calc!L292:P292,$B$4),"#0.000#")),""),"")</f>
        <v/>
      </c>
      <c r="C292" s="41" t="str">
        <f>IFERROR(IF(Calc!E292&lt;=$C$4,Calc!E292,""),"")</f>
        <v/>
      </c>
      <c r="D292" s="33" t="str">
        <f>IFERROR(IF(Calc!E292&lt;=$D$4,"Nice",""),"")</f>
        <v/>
      </c>
      <c r="E292" s="40" t="str">
        <f>IFERROR(IF(Calc!J292&lt;=$C$4,Calc!I292,""),"")</f>
        <v/>
      </c>
      <c r="F292" s="40" t="str">
        <f>IFERROR(IF(Calc!J292&lt;=$C$4,CONCATENATE(TEXT(Calc!H292,"#0.000#")," + ",TEXT(INDEX(Calc!L292:P292,$B$4),"#0.000#")),""),"")</f>
        <v/>
      </c>
      <c r="G292" s="41" t="str">
        <f>IFERROR(IF(Calc!J292&lt;=$C$4,Calc!J292,""),"")</f>
        <v/>
      </c>
      <c r="H292" s="33" t="str">
        <f>IFERROR(IF(Calc!J292&lt;=$D$4,"Nice",""),"")</f>
        <v/>
      </c>
      <c r="J292" s="7" t="str">
        <f>CONCATENATE("[",TEXT(Show!A292,"#.0#"),":",TEXT(Show!B292,"#.0#"),"][",TEXT(Show!E292,"#.0#"),":",TEXT(Show!F292,"#.0#"),"]")</f>
        <v>[:][:]</v>
      </c>
    </row>
    <row r="293" spans="1:10" hidden="1" x14ac:dyDescent="0.25">
      <c r="A293" s="40" t="str">
        <f>IFERROR(IF(Calc!E293&lt;=$C$4,Calc!D293,""),"")</f>
        <v/>
      </c>
      <c r="B293" s="40" t="str">
        <f>IFERROR(IF(Calc!E293&lt;=$C$4,CONCATENATE(TEXT(Calc!C293,"#0.000#")," || ",TEXT(INDEX(Calc!L293:P293,$B$4),"#0.000#")),""),"")</f>
        <v/>
      </c>
      <c r="C293" s="41" t="str">
        <f>IFERROR(IF(Calc!E293&lt;=$C$4,Calc!E293,""),"")</f>
        <v/>
      </c>
      <c r="D293" s="33" t="str">
        <f>IFERROR(IF(Calc!E293&lt;=$D$4,"Nice",""),"")</f>
        <v/>
      </c>
      <c r="E293" s="40" t="str">
        <f>IFERROR(IF(Calc!J293&lt;=$C$4,Calc!I293,""),"")</f>
        <v/>
      </c>
      <c r="F293" s="40" t="str">
        <f>IFERROR(IF(Calc!J293&lt;=$C$4,CONCATENATE(TEXT(Calc!H293,"#0.000#")," + ",TEXT(INDEX(Calc!L293:P293,$B$4),"#0.000#")),""),"")</f>
        <v/>
      </c>
      <c r="G293" s="41" t="str">
        <f>IFERROR(IF(Calc!J293&lt;=$C$4,Calc!J293,""),"")</f>
        <v/>
      </c>
      <c r="H293" s="33" t="str">
        <f>IFERROR(IF(Calc!J293&lt;=$D$4,"Nice",""),"")</f>
        <v/>
      </c>
      <c r="J293" s="7" t="str">
        <f>CONCATENATE("[",TEXT(Show!A293,"#.0#"),":",TEXT(Show!B293,"#.0#"),"][",TEXT(Show!E293,"#.0#"),":",TEXT(Show!F293,"#.0#"),"]")</f>
        <v>[:][:]</v>
      </c>
    </row>
    <row r="294" spans="1:10" hidden="1" x14ac:dyDescent="0.25">
      <c r="A294" s="40" t="str">
        <f>IFERROR(IF(Calc!E294&lt;=$C$4,Calc!D294,""),"")</f>
        <v/>
      </c>
      <c r="B294" s="40" t="str">
        <f>IFERROR(IF(Calc!E294&lt;=$C$4,CONCATENATE(TEXT(Calc!C294,"#0.000#")," || ",TEXT(INDEX(Calc!L294:P294,$B$4),"#0.000#")),""),"")</f>
        <v/>
      </c>
      <c r="C294" s="41" t="str">
        <f>IFERROR(IF(Calc!E294&lt;=$C$4,Calc!E294,""),"")</f>
        <v/>
      </c>
      <c r="D294" s="33" t="str">
        <f>IFERROR(IF(Calc!E294&lt;=$D$4,"Nice",""),"")</f>
        <v/>
      </c>
      <c r="E294" s="40" t="str">
        <f>IFERROR(IF(Calc!J294&lt;=$C$4,Calc!I294,""),"")</f>
        <v/>
      </c>
      <c r="F294" s="40" t="str">
        <f>IFERROR(IF(Calc!J294&lt;=$C$4,CONCATENATE(TEXT(Calc!H294,"#0.000#")," + ",TEXT(INDEX(Calc!L294:P294,$B$4),"#0.000#")),""),"")</f>
        <v/>
      </c>
      <c r="G294" s="41" t="str">
        <f>IFERROR(IF(Calc!J294&lt;=$C$4,Calc!J294,""),"")</f>
        <v/>
      </c>
      <c r="H294" s="33" t="str">
        <f>IFERROR(IF(Calc!J294&lt;=$D$4,"Nice",""),"")</f>
        <v/>
      </c>
      <c r="J294" s="7" t="str">
        <f>CONCATENATE("[",TEXT(Show!A294,"#.0#"),":",TEXT(Show!B294,"#.0#"),"][",TEXT(Show!E294,"#.0#"),":",TEXT(Show!F294,"#.0#"),"]")</f>
        <v>[:][:]</v>
      </c>
    </row>
    <row r="295" spans="1:10" hidden="1" x14ac:dyDescent="0.25">
      <c r="A295" s="40" t="str">
        <f>IFERROR(IF(Calc!E295&lt;=$C$4,Calc!D295,""),"")</f>
        <v/>
      </c>
      <c r="B295" s="40" t="str">
        <f>IFERROR(IF(Calc!E295&lt;=$C$4,CONCATENATE(TEXT(Calc!C295,"#0.000#")," || ",TEXT(INDEX(Calc!L295:P295,$B$4),"#0.000#")),""),"")</f>
        <v/>
      </c>
      <c r="C295" s="41" t="str">
        <f>IFERROR(IF(Calc!E295&lt;=$C$4,Calc!E295,""),"")</f>
        <v/>
      </c>
      <c r="D295" s="33" t="str">
        <f>IFERROR(IF(Calc!E295&lt;=$D$4,"Nice",""),"")</f>
        <v/>
      </c>
      <c r="E295" s="40" t="str">
        <f>IFERROR(IF(Calc!J295&lt;=$C$4,Calc!I295,""),"")</f>
        <v/>
      </c>
      <c r="F295" s="40" t="str">
        <f>IFERROR(IF(Calc!J295&lt;=$C$4,CONCATENATE(TEXT(Calc!H295,"#0.000#")," + ",TEXT(INDEX(Calc!L295:P295,$B$4),"#0.000#")),""),"")</f>
        <v/>
      </c>
      <c r="G295" s="41" t="str">
        <f>IFERROR(IF(Calc!J295&lt;=$C$4,Calc!J295,""),"")</f>
        <v/>
      </c>
      <c r="H295" s="33" t="str">
        <f>IFERROR(IF(Calc!J295&lt;=$D$4,"Nice",""),"")</f>
        <v/>
      </c>
      <c r="J295" s="7" t="str">
        <f>CONCATENATE("[",TEXT(Show!A295,"#.0#"),":",TEXT(Show!B295,"#.0#"),"][",TEXT(Show!E295,"#.0#"),":",TEXT(Show!F295,"#.0#"),"]")</f>
        <v>[:][:]</v>
      </c>
    </row>
    <row r="296" spans="1:10" hidden="1" x14ac:dyDescent="0.25">
      <c r="A296" s="40" t="str">
        <f>IFERROR(IF(Calc!E296&lt;=$C$4,Calc!D296,""),"")</f>
        <v/>
      </c>
      <c r="B296" s="40" t="str">
        <f>IFERROR(IF(Calc!E296&lt;=$C$4,CONCATENATE(TEXT(Calc!C296,"#0.000#")," || ",TEXT(INDEX(Calc!L296:P296,$B$4),"#0.000#")),""),"")</f>
        <v/>
      </c>
      <c r="C296" s="41" t="str">
        <f>IFERROR(IF(Calc!E296&lt;=$C$4,Calc!E296,""),"")</f>
        <v/>
      </c>
      <c r="D296" s="33" t="str">
        <f>IFERROR(IF(Calc!E296&lt;=$D$4,"Nice",""),"")</f>
        <v/>
      </c>
      <c r="E296" s="40" t="str">
        <f>IFERROR(IF(Calc!J296&lt;=$C$4,Calc!I296,""),"")</f>
        <v/>
      </c>
      <c r="F296" s="40" t="str">
        <f>IFERROR(IF(Calc!J296&lt;=$C$4,CONCATENATE(TEXT(Calc!H296,"#0.000#")," + ",TEXT(INDEX(Calc!L296:P296,$B$4),"#0.000#")),""),"")</f>
        <v/>
      </c>
      <c r="G296" s="41" t="str">
        <f>IFERROR(IF(Calc!J296&lt;=$C$4,Calc!J296,""),"")</f>
        <v/>
      </c>
      <c r="H296" s="33" t="str">
        <f>IFERROR(IF(Calc!J296&lt;=$D$4,"Nice",""),"")</f>
        <v/>
      </c>
      <c r="J296" s="7" t="str">
        <f>CONCATENATE("[",TEXT(Show!A296,"#.0#"),":",TEXT(Show!B296,"#.0#"),"][",TEXT(Show!E296,"#.0#"),":",TEXT(Show!F296,"#.0#"),"]")</f>
        <v>[:][:]</v>
      </c>
    </row>
    <row r="297" spans="1:10" x14ac:dyDescent="0.25">
      <c r="A297" s="40">
        <f>IFERROR(IF(Calc!E297&lt;=$C$4,Calc!D297,""),"")</f>
        <v>39.610238510762073</v>
      </c>
      <c r="B297" s="40" t="str">
        <f>IFERROR(IF(Calc!E297&lt;=$C$4,CONCATENATE(TEXT(Calc!C297,"#0.000#")," || ",TEXT(INDEX(Calc!L297:P297,$B$4),"#0.000#")),""),"")</f>
        <v>61.900 || 110.000</v>
      </c>
      <c r="C297" s="41">
        <f>IFERROR(IF(Calc!E297&lt;=$C$4,Calc!E297,""),"")</f>
        <v>0.9744037230948166</v>
      </c>
      <c r="D297" s="33" t="str">
        <f>IFERROR(IF(Calc!E297&lt;=$D$4,"Nice",""),"")</f>
        <v/>
      </c>
      <c r="E297" s="40" t="str">
        <f>IFERROR(IF(Calc!J297&lt;=$C$4,Calc!I297,""),"")</f>
        <v/>
      </c>
      <c r="F297" s="40" t="str">
        <f>IFERROR(IF(Calc!J297&lt;=$C$4,CONCATENATE(TEXT(Calc!H297,"#0.000#")," + ",TEXT(INDEX(Calc!L297:P297,$B$4),"#0.000#")),""),"")</f>
        <v/>
      </c>
      <c r="G297" s="41" t="str">
        <f>IFERROR(IF(Calc!J297&lt;=$C$4,Calc!J297,""),"")</f>
        <v/>
      </c>
      <c r="H297" s="33" t="str">
        <f>IFERROR(IF(Calc!J297&lt;=$D$4,"Nice",""),"")</f>
        <v/>
      </c>
      <c r="J297" s="7" t="str">
        <f>CONCATENATE("[",TEXT(Show!A297,"#.0#"),":",TEXT(Show!B297,"#.0#"),"][",TEXT(Show!E297,"#.0#"),":",TEXT(Show!F297,"#.0#"),"]")</f>
        <v>[39.61:61.900 || 110.000][:]</v>
      </c>
    </row>
    <row r="298" spans="1:10" hidden="1" x14ac:dyDescent="0.25">
      <c r="A298" s="40">
        <f>IFERROR(IF(Calc!E298&lt;=$C$4,Calc!D298,""),"")</f>
        <v>39.610238510762073</v>
      </c>
      <c r="B298" s="40" t="str">
        <f>IFERROR(IF(Calc!E298&lt;=$C$4,CONCATENATE(TEXT(Calc!C298,"#0.000#")," || ",TEXT(INDEX(Calc!L298:P298,$B$4),"#0.000#")),""),"")</f>
        <v>61.900 || 110.000</v>
      </c>
      <c r="C298" s="41">
        <f>IFERROR(IF(Calc!E298&lt;=$C$4,Calc!E298,""),"")</f>
        <v>0.9744037230948166</v>
      </c>
      <c r="D298" s="33" t="str">
        <f>IFERROR(IF(Calc!E298&lt;=$D$4,"Nice",""),"")</f>
        <v/>
      </c>
      <c r="E298" s="40" t="str">
        <f>IFERROR(IF(Calc!J298&lt;=$C$4,Calc!I298,""),"")</f>
        <v/>
      </c>
      <c r="F298" s="40" t="str">
        <f>IFERROR(IF(Calc!J298&lt;=$C$4,CONCATENATE(TEXT(Calc!H298,"#0.000#")," + ",TEXT(INDEX(Calc!L298:P298,$B$4),"#0.000#")),""),"")</f>
        <v/>
      </c>
      <c r="G298" s="41" t="str">
        <f>IFERROR(IF(Calc!J298&lt;=$C$4,Calc!J298,""),"")</f>
        <v/>
      </c>
      <c r="H298" s="33" t="str">
        <f>IFERROR(IF(Calc!J298&lt;=$D$4,"Nice",""),"")</f>
        <v/>
      </c>
      <c r="J298" s="7" t="str">
        <f>CONCATENATE("[",TEXT(Show!A298,"#.0#"),":",TEXT(Show!B298,"#.0#"),"][",TEXT(Show!E298,"#.0#"),":",TEXT(Show!F298,"#.0#"),"]")</f>
        <v>[39.61:61.900 || 110.000][:]</v>
      </c>
    </row>
    <row r="299" spans="1:10" hidden="1" x14ac:dyDescent="0.25">
      <c r="A299" s="40">
        <f>IFERROR(IF(Calc!E299&lt;=$C$4,Calc!D299,""),"")</f>
        <v>39.610238510762073</v>
      </c>
      <c r="B299" s="40" t="str">
        <f>IFERROR(IF(Calc!E299&lt;=$C$4,CONCATENATE(TEXT(Calc!C299,"#0.000#")," || ",TEXT(INDEX(Calc!L299:P299,$B$4),"#0.000#")),""),"")</f>
        <v>61.900 || 110.000</v>
      </c>
      <c r="C299" s="41">
        <f>IFERROR(IF(Calc!E299&lt;=$C$4,Calc!E299,""),"")</f>
        <v>0.9744037230948166</v>
      </c>
      <c r="D299" s="33" t="str">
        <f>IFERROR(IF(Calc!E299&lt;=$D$4,"Nice",""),"")</f>
        <v/>
      </c>
      <c r="E299" s="40" t="str">
        <f>IFERROR(IF(Calc!J299&lt;=$C$4,Calc!I299,""),"")</f>
        <v/>
      </c>
      <c r="F299" s="40" t="str">
        <f>IFERROR(IF(Calc!J299&lt;=$C$4,CONCATENATE(TEXT(Calc!H299,"#0.000#")," + ",TEXT(INDEX(Calc!L299:P299,$B$4),"#0.000#")),""),"")</f>
        <v/>
      </c>
      <c r="G299" s="41" t="str">
        <f>IFERROR(IF(Calc!J299&lt;=$C$4,Calc!J299,""),"")</f>
        <v/>
      </c>
      <c r="H299" s="33" t="str">
        <f>IFERROR(IF(Calc!J299&lt;=$D$4,"Nice",""),"")</f>
        <v/>
      </c>
      <c r="J299" s="7" t="str">
        <f>CONCATENATE("[",TEXT(Show!A299,"#.0#"),":",TEXT(Show!B299,"#.0#"),"][",TEXT(Show!E299,"#.0#"),":",TEXT(Show!F299,"#.0#"),"]")</f>
        <v>[39.61:61.900 || 110.000][:]</v>
      </c>
    </row>
    <row r="300" spans="1:10" hidden="1" x14ac:dyDescent="0.25">
      <c r="A300" s="40">
        <f>IFERROR(IF(Calc!E300&lt;=$C$4,Calc!D300,""),"")</f>
        <v>39.610238510762073</v>
      </c>
      <c r="B300" s="40" t="str">
        <f>IFERROR(IF(Calc!E300&lt;=$C$4,CONCATENATE(TEXT(Calc!C300,"#0.000#")," || ",TEXT(INDEX(Calc!L300:P300,$B$4),"#0.000#")),""),"")</f>
        <v>61.900 || 110.000</v>
      </c>
      <c r="C300" s="41">
        <f>IFERROR(IF(Calc!E300&lt;=$C$4,Calc!E300,""),"")</f>
        <v>0.9744037230948166</v>
      </c>
      <c r="D300" s="33" t="str">
        <f>IFERROR(IF(Calc!E300&lt;=$D$4,"Nice",""),"")</f>
        <v/>
      </c>
      <c r="E300" s="40" t="str">
        <f>IFERROR(IF(Calc!J300&lt;=$C$4,Calc!I300,""),"")</f>
        <v/>
      </c>
      <c r="F300" s="40" t="str">
        <f>IFERROR(IF(Calc!J300&lt;=$C$4,CONCATENATE(TEXT(Calc!H300,"#0.000#")," + ",TEXT(INDEX(Calc!L300:P300,$B$4),"#0.000#")),""),"")</f>
        <v/>
      </c>
      <c r="G300" s="41" t="str">
        <f>IFERROR(IF(Calc!J300&lt;=$C$4,Calc!J300,""),"")</f>
        <v/>
      </c>
      <c r="H300" s="33" t="str">
        <f>IFERROR(IF(Calc!J300&lt;=$D$4,"Nice",""),"")</f>
        <v/>
      </c>
      <c r="J300" s="7" t="str">
        <f>CONCATENATE("[",TEXT(Show!A300,"#.0#"),":",TEXT(Show!B300,"#.0#"),"][",TEXT(Show!E300,"#.0#"),":",TEXT(Show!F300,"#.0#"),"]")</f>
        <v>[39.61:61.900 || 110.000][:]</v>
      </c>
    </row>
    <row r="301" spans="1:10" hidden="1" x14ac:dyDescent="0.25">
      <c r="A301" s="40" t="str">
        <f>IFERROR(IF(Calc!E301&lt;=$C$4,Calc!D301,""),"")</f>
        <v/>
      </c>
      <c r="B301" s="40" t="str">
        <f>IFERROR(IF(Calc!E301&lt;=$C$4,CONCATENATE(TEXT(Calc!C301,"#0.000#")," || ",TEXT(INDEX(Calc!L301:P301,$B$4),"#0.000#")),""),"")</f>
        <v/>
      </c>
      <c r="C301" s="41" t="str">
        <f>IFERROR(IF(Calc!E301&lt;=$C$4,Calc!E301,""),"")</f>
        <v/>
      </c>
      <c r="D301" s="33" t="str">
        <f>IFERROR(IF(Calc!E301&lt;=$D$4,"Nice",""),"")</f>
        <v/>
      </c>
      <c r="E301" s="40" t="str">
        <f>IFERROR(IF(Calc!J301&lt;=$C$4,Calc!I301,""),"")</f>
        <v/>
      </c>
      <c r="F301" s="40" t="str">
        <f>IFERROR(IF(Calc!J301&lt;=$C$4,CONCATENATE(TEXT(Calc!H301,"#0.000#")," + ",TEXT(INDEX(Calc!L301:P301,$B$4),"#0.000#")),""),"")</f>
        <v/>
      </c>
      <c r="G301" s="41" t="str">
        <f>IFERROR(IF(Calc!J301&lt;=$C$4,Calc!J301,""),"")</f>
        <v/>
      </c>
      <c r="H301" s="33" t="str">
        <f>IFERROR(IF(Calc!J301&lt;=$D$4,"Nice",""),"")</f>
        <v/>
      </c>
      <c r="J301" s="7" t="str">
        <f>CONCATENATE("[",TEXT(Show!A301,"#.0#"),":",TEXT(Show!B301,"#.0#"),"][",TEXT(Show!E301,"#.0#"),":",TEXT(Show!F301,"#.0#"),"]")</f>
        <v>[:][:]</v>
      </c>
    </row>
    <row r="302" spans="1:10" hidden="1" x14ac:dyDescent="0.25">
      <c r="A302" s="40" t="str">
        <f>IFERROR(IF(Calc!E302&lt;=$C$4,Calc!D302,""),"")</f>
        <v/>
      </c>
      <c r="B302" s="40" t="str">
        <f>IFERROR(IF(Calc!E302&lt;=$C$4,CONCATENATE(TEXT(Calc!C302,"#0.000#")," || ",TEXT(INDEX(Calc!L302:P302,$B$4),"#0.000#")),""),"")</f>
        <v/>
      </c>
      <c r="C302" s="41" t="str">
        <f>IFERROR(IF(Calc!E302&lt;=$C$4,Calc!E302,""),"")</f>
        <v/>
      </c>
      <c r="D302" s="33" t="str">
        <f>IFERROR(IF(Calc!E302&lt;=$D$4,"Nice",""),"")</f>
        <v/>
      </c>
      <c r="E302" s="40" t="str">
        <f>IFERROR(IF(Calc!J302&lt;=$C$4,Calc!I302,""),"")</f>
        <v/>
      </c>
      <c r="F302" s="40" t="str">
        <f>IFERROR(IF(Calc!J302&lt;=$C$4,CONCATENATE(TEXT(Calc!H302,"#0.000#")," + ",TEXT(INDEX(Calc!L302:P302,$B$4),"#0.000#")),""),"")</f>
        <v/>
      </c>
      <c r="G302" s="41" t="str">
        <f>IFERROR(IF(Calc!J302&lt;=$C$4,Calc!J302,""),"")</f>
        <v/>
      </c>
      <c r="H302" s="33" t="str">
        <f>IFERROR(IF(Calc!J302&lt;=$D$4,"Nice",""),"")</f>
        <v/>
      </c>
      <c r="J302" s="7" t="str">
        <f>CONCATENATE("[",TEXT(Show!A302,"#.0#"),":",TEXT(Show!B302,"#.0#"),"][",TEXT(Show!E302,"#.0#"),":",TEXT(Show!F302,"#.0#"),"]")</f>
        <v>[:][:]</v>
      </c>
    </row>
    <row r="303" spans="1:10" hidden="1" x14ac:dyDescent="0.25">
      <c r="A303" s="40" t="str">
        <f>IFERROR(IF(Calc!E303&lt;=$C$4,Calc!D303,""),"")</f>
        <v/>
      </c>
      <c r="B303" s="40" t="str">
        <f>IFERROR(IF(Calc!E303&lt;=$C$4,CONCATENATE(TEXT(Calc!C303,"#0.000#")," || ",TEXT(INDEX(Calc!L303:P303,$B$4),"#0.000#")),""),"")</f>
        <v/>
      </c>
      <c r="C303" s="41" t="str">
        <f>IFERROR(IF(Calc!E303&lt;=$C$4,Calc!E303,""),"")</f>
        <v/>
      </c>
      <c r="D303" s="33" t="str">
        <f>IFERROR(IF(Calc!E303&lt;=$D$4,"Nice",""),"")</f>
        <v/>
      </c>
      <c r="E303" s="40" t="str">
        <f>IFERROR(IF(Calc!J303&lt;=$C$4,Calc!I303,""),"")</f>
        <v/>
      </c>
      <c r="F303" s="40" t="str">
        <f>IFERROR(IF(Calc!J303&lt;=$C$4,CONCATENATE(TEXT(Calc!H303,"#0.000#")," + ",TEXT(INDEX(Calc!L303:P303,$B$4),"#0.000#")),""),"")</f>
        <v/>
      </c>
      <c r="G303" s="41" t="str">
        <f>IFERROR(IF(Calc!J303&lt;=$C$4,Calc!J303,""),"")</f>
        <v/>
      </c>
      <c r="H303" s="33" t="str">
        <f>IFERROR(IF(Calc!J303&lt;=$D$4,"Nice",""),"")</f>
        <v/>
      </c>
      <c r="J303" s="7" t="str">
        <f>CONCATENATE("[",TEXT(Show!A303,"#.0#"),":",TEXT(Show!B303,"#.0#"),"][",TEXT(Show!E303,"#.0#"),":",TEXT(Show!F303,"#.0#"),"]")</f>
        <v>[:][:]</v>
      </c>
    </row>
    <row r="304" spans="1:10" hidden="1" x14ac:dyDescent="0.25">
      <c r="A304" s="40" t="str">
        <f>IFERROR(IF(Calc!E304&lt;=$C$4,Calc!D304,""),"")</f>
        <v/>
      </c>
      <c r="B304" s="40" t="str">
        <f>IFERROR(IF(Calc!E304&lt;=$C$4,CONCATENATE(TEXT(Calc!C304,"#0.000#")," || ",TEXT(INDEX(Calc!L304:P304,$B$4),"#0.000#")),""),"")</f>
        <v/>
      </c>
      <c r="C304" s="41" t="str">
        <f>IFERROR(IF(Calc!E304&lt;=$C$4,Calc!E304,""),"")</f>
        <v/>
      </c>
      <c r="D304" s="33" t="str">
        <f>IFERROR(IF(Calc!E304&lt;=$D$4,"Nice",""),"")</f>
        <v/>
      </c>
      <c r="E304" s="40" t="str">
        <f>IFERROR(IF(Calc!J304&lt;=$C$4,Calc!I304,""),"")</f>
        <v/>
      </c>
      <c r="F304" s="40" t="str">
        <f>IFERROR(IF(Calc!J304&lt;=$C$4,CONCATENATE(TEXT(Calc!H304,"#0.000#")," + ",TEXT(INDEX(Calc!L304:P304,$B$4),"#0.000#")),""),"")</f>
        <v/>
      </c>
      <c r="G304" s="41" t="str">
        <f>IFERROR(IF(Calc!J304&lt;=$C$4,Calc!J304,""),"")</f>
        <v/>
      </c>
      <c r="H304" s="33" t="str">
        <f>IFERROR(IF(Calc!J304&lt;=$D$4,"Nice",""),"")</f>
        <v/>
      </c>
      <c r="J304" s="7" t="str">
        <f>CONCATENATE("[",TEXT(Show!A304,"#.0#"),":",TEXT(Show!B304,"#.0#"),"][",TEXT(Show!E304,"#.0#"),":",TEXT(Show!F304,"#.0#"),"]")</f>
        <v>[:][:]</v>
      </c>
    </row>
    <row r="305" spans="1:10" hidden="1" x14ac:dyDescent="0.25">
      <c r="A305" s="40" t="str">
        <f>IFERROR(IF(Calc!E305&lt;=$C$4,Calc!D305,""),"")</f>
        <v/>
      </c>
      <c r="B305" s="40" t="str">
        <f>IFERROR(IF(Calc!E305&lt;=$C$4,CONCATENATE(TEXT(Calc!C305,"#0.000#")," || ",TEXT(INDEX(Calc!L305:P305,$B$4),"#0.000#")),""),"")</f>
        <v/>
      </c>
      <c r="C305" s="41" t="str">
        <f>IFERROR(IF(Calc!E305&lt;=$C$4,Calc!E305,""),"")</f>
        <v/>
      </c>
      <c r="D305" s="33" t="str">
        <f>IFERROR(IF(Calc!E305&lt;=$D$4,"Nice",""),"")</f>
        <v/>
      </c>
      <c r="E305" s="40" t="str">
        <f>IFERROR(IF(Calc!J305&lt;=$C$4,Calc!I305,""),"")</f>
        <v/>
      </c>
      <c r="F305" s="40" t="str">
        <f>IFERROR(IF(Calc!J305&lt;=$C$4,CONCATENATE(TEXT(Calc!H305,"#0.000#")," + ",TEXT(INDEX(Calc!L305:P305,$B$4),"#0.000#")),""),"")</f>
        <v/>
      </c>
      <c r="G305" s="41" t="str">
        <f>IFERROR(IF(Calc!J305&lt;=$C$4,Calc!J305,""),"")</f>
        <v/>
      </c>
      <c r="H305" s="33" t="str">
        <f>IFERROR(IF(Calc!J305&lt;=$D$4,"Nice",""),"")</f>
        <v/>
      </c>
      <c r="J305" s="7" t="str">
        <f>CONCATENATE("[",TEXT(Show!A305,"#.0#"),":",TEXT(Show!B305,"#.0#"),"][",TEXT(Show!E305,"#.0#"),":",TEXT(Show!F305,"#.0#"),"]")</f>
        <v>[:][:]</v>
      </c>
    </row>
    <row r="306" spans="1:10" hidden="1" x14ac:dyDescent="0.25">
      <c r="A306" s="40" t="str">
        <f>IFERROR(IF(Calc!E306&lt;=$C$4,Calc!D306,""),"")</f>
        <v/>
      </c>
      <c r="B306" s="40" t="str">
        <f>IFERROR(IF(Calc!E306&lt;=$C$4,CONCATENATE(TEXT(Calc!C306,"#0.000#")," || ",TEXT(INDEX(Calc!L306:P306,$B$4),"#0.000#")),""),"")</f>
        <v/>
      </c>
      <c r="C306" s="41" t="str">
        <f>IFERROR(IF(Calc!E306&lt;=$C$4,Calc!E306,""),"")</f>
        <v/>
      </c>
      <c r="D306" s="33" t="str">
        <f>IFERROR(IF(Calc!E306&lt;=$D$4,"Nice",""),"")</f>
        <v/>
      </c>
      <c r="E306" s="40" t="str">
        <f>IFERROR(IF(Calc!J306&lt;=$C$4,Calc!I306,""),"")</f>
        <v/>
      </c>
      <c r="F306" s="40" t="str">
        <f>IFERROR(IF(Calc!J306&lt;=$C$4,CONCATENATE(TEXT(Calc!H306,"#0.000#")," + ",TEXT(INDEX(Calc!L306:P306,$B$4),"#0.000#")),""),"")</f>
        <v/>
      </c>
      <c r="G306" s="41" t="str">
        <f>IFERROR(IF(Calc!J306&lt;=$C$4,Calc!J306,""),"")</f>
        <v/>
      </c>
      <c r="H306" s="33" t="str">
        <f>IFERROR(IF(Calc!J306&lt;=$D$4,"Nice",""),"")</f>
        <v/>
      </c>
      <c r="J306" s="7" t="str">
        <f>CONCATENATE("[",TEXT(Show!A306,"#.0#"),":",TEXT(Show!B306,"#.0#"),"][",TEXT(Show!E306,"#.0#"),":",TEXT(Show!F306,"#.0#"),"]")</f>
        <v>[:][:]</v>
      </c>
    </row>
    <row r="307" spans="1:10" hidden="1" x14ac:dyDescent="0.25">
      <c r="A307" s="40" t="str">
        <f>IFERROR(IF(Calc!E307&lt;=$C$4,Calc!D307,""),"")</f>
        <v/>
      </c>
      <c r="B307" s="40" t="str">
        <f>IFERROR(IF(Calc!E307&lt;=$C$4,CONCATENATE(TEXT(Calc!C307,"#0.000#")," || ",TEXT(INDEX(Calc!L307:P307,$B$4),"#0.000#")),""),"")</f>
        <v/>
      </c>
      <c r="C307" s="41" t="str">
        <f>IFERROR(IF(Calc!E307&lt;=$C$4,Calc!E307,""),"")</f>
        <v/>
      </c>
      <c r="D307" s="33" t="str">
        <f>IFERROR(IF(Calc!E307&lt;=$D$4,"Nice",""),"")</f>
        <v/>
      </c>
      <c r="E307" s="40" t="str">
        <f>IFERROR(IF(Calc!J307&lt;=$C$4,Calc!I307,""),"")</f>
        <v/>
      </c>
      <c r="F307" s="40" t="str">
        <f>IFERROR(IF(Calc!J307&lt;=$C$4,CONCATENATE(TEXT(Calc!H307,"#0.000#")," + ",TEXT(INDEX(Calc!L307:P307,$B$4),"#0.000#")),""),"")</f>
        <v/>
      </c>
      <c r="G307" s="41" t="str">
        <f>IFERROR(IF(Calc!J307&lt;=$C$4,Calc!J307,""),"")</f>
        <v/>
      </c>
      <c r="H307" s="33" t="str">
        <f>IFERROR(IF(Calc!J307&lt;=$D$4,"Nice",""),"")</f>
        <v/>
      </c>
      <c r="J307" s="7" t="str">
        <f>CONCATENATE("[",TEXT(Show!A307,"#.0#"),":",TEXT(Show!B307,"#.0#"),"][",TEXT(Show!E307,"#.0#"),":",TEXT(Show!F307,"#.0#"),"]")</f>
        <v>[:][:]</v>
      </c>
    </row>
    <row r="308" spans="1:10" hidden="1" x14ac:dyDescent="0.25">
      <c r="A308" s="40" t="str">
        <f>IFERROR(IF(Calc!E308&lt;=$C$4,Calc!D308,""),"")</f>
        <v/>
      </c>
      <c r="B308" s="40" t="str">
        <f>IFERROR(IF(Calc!E308&lt;=$C$4,CONCATENATE(TEXT(Calc!C308,"#0.000#")," || ",TEXT(INDEX(Calc!L308:P308,$B$4),"#0.000#")),""),"")</f>
        <v/>
      </c>
      <c r="C308" s="41" t="str">
        <f>IFERROR(IF(Calc!E308&lt;=$C$4,Calc!E308,""),"")</f>
        <v/>
      </c>
      <c r="D308" s="33" t="str">
        <f>IFERROR(IF(Calc!E308&lt;=$D$4,"Nice",""),"")</f>
        <v/>
      </c>
      <c r="E308" s="40" t="str">
        <f>IFERROR(IF(Calc!J308&lt;=$C$4,Calc!I308,""),"")</f>
        <v/>
      </c>
      <c r="F308" s="40" t="str">
        <f>IFERROR(IF(Calc!J308&lt;=$C$4,CONCATENATE(TEXT(Calc!H308,"#0.000#")," + ",TEXT(INDEX(Calc!L308:P308,$B$4),"#0.000#")),""),"")</f>
        <v/>
      </c>
      <c r="G308" s="41" t="str">
        <f>IFERROR(IF(Calc!J308&lt;=$C$4,Calc!J308,""),"")</f>
        <v/>
      </c>
      <c r="H308" s="33" t="str">
        <f>IFERROR(IF(Calc!J308&lt;=$D$4,"Nice",""),"")</f>
        <v/>
      </c>
      <c r="J308" s="7" t="str">
        <f>CONCATENATE("[",TEXT(Show!A308,"#.0#"),":",TEXT(Show!B308,"#.0#"),"][",TEXT(Show!E308,"#.0#"),":",TEXT(Show!F308,"#.0#"),"]")</f>
        <v>[:][:]</v>
      </c>
    </row>
    <row r="309" spans="1:10" hidden="1" x14ac:dyDescent="0.25">
      <c r="A309" s="40" t="str">
        <f>IFERROR(IF(Calc!E309&lt;=$C$4,Calc!D309,""),"")</f>
        <v/>
      </c>
      <c r="B309" s="40" t="str">
        <f>IFERROR(IF(Calc!E309&lt;=$C$4,CONCATENATE(TEXT(Calc!C309,"#0.000#")," || ",TEXT(INDEX(Calc!L309:P309,$B$4),"#0.000#")),""),"")</f>
        <v/>
      </c>
      <c r="C309" s="41" t="str">
        <f>IFERROR(IF(Calc!E309&lt;=$C$4,Calc!E309,""),"")</f>
        <v/>
      </c>
      <c r="D309" s="33" t="str">
        <f>IFERROR(IF(Calc!E309&lt;=$D$4,"Nice",""),"")</f>
        <v/>
      </c>
      <c r="E309" s="40" t="str">
        <f>IFERROR(IF(Calc!J309&lt;=$C$4,Calc!I309,""),"")</f>
        <v/>
      </c>
      <c r="F309" s="40" t="str">
        <f>IFERROR(IF(Calc!J309&lt;=$C$4,CONCATENATE(TEXT(Calc!H309,"#0.000#")," + ",TEXT(INDEX(Calc!L309:P309,$B$4),"#0.000#")),""),"")</f>
        <v/>
      </c>
      <c r="G309" s="41" t="str">
        <f>IFERROR(IF(Calc!J309&lt;=$C$4,Calc!J309,""),"")</f>
        <v/>
      </c>
      <c r="H309" s="33" t="str">
        <f>IFERROR(IF(Calc!J309&lt;=$D$4,"Nice",""),"")</f>
        <v/>
      </c>
      <c r="J309" s="7" t="str">
        <f>CONCATENATE("[",TEXT(Show!A309,"#.0#"),":",TEXT(Show!B309,"#.0#"),"][",TEXT(Show!E309,"#.0#"),":",TEXT(Show!F309,"#.0#"),"]")</f>
        <v>[:][:]</v>
      </c>
    </row>
    <row r="310" spans="1:10" hidden="1" x14ac:dyDescent="0.25">
      <c r="A310" s="40" t="str">
        <f>IFERROR(IF(Calc!E310&lt;=$C$4,Calc!D310,""),"")</f>
        <v/>
      </c>
      <c r="B310" s="40" t="str">
        <f>IFERROR(IF(Calc!E310&lt;=$C$4,CONCATENATE(TEXT(Calc!C310,"#0.000#")," || ",TEXT(INDEX(Calc!L310:P310,$B$4),"#0.000#")),""),"")</f>
        <v/>
      </c>
      <c r="C310" s="41" t="str">
        <f>IFERROR(IF(Calc!E310&lt;=$C$4,Calc!E310,""),"")</f>
        <v/>
      </c>
      <c r="D310" s="33" t="str">
        <f>IFERROR(IF(Calc!E310&lt;=$D$4,"Nice",""),"")</f>
        <v/>
      </c>
      <c r="E310" s="40" t="str">
        <f>IFERROR(IF(Calc!J310&lt;=$C$4,Calc!I310,""),"")</f>
        <v/>
      </c>
      <c r="F310" s="40" t="str">
        <f>IFERROR(IF(Calc!J310&lt;=$C$4,CONCATENATE(TEXT(Calc!H310,"#0.000#")," + ",TEXT(INDEX(Calc!L310:P310,$B$4),"#0.000#")),""),"")</f>
        <v/>
      </c>
      <c r="G310" s="41" t="str">
        <f>IFERROR(IF(Calc!J310&lt;=$C$4,Calc!J310,""),"")</f>
        <v/>
      </c>
      <c r="H310" s="33" t="str">
        <f>IFERROR(IF(Calc!J310&lt;=$D$4,"Nice",""),"")</f>
        <v/>
      </c>
      <c r="J310" s="7" t="str">
        <f>CONCATENATE("[",TEXT(Show!A310,"#.0#"),":",TEXT(Show!B310,"#.0#"),"][",TEXT(Show!E310,"#.0#"),":",TEXT(Show!F310,"#.0#"),"]")</f>
        <v>[:][:]</v>
      </c>
    </row>
    <row r="311" spans="1:10" hidden="1" x14ac:dyDescent="0.25">
      <c r="A311" s="40" t="str">
        <f>IFERROR(IF(Calc!E311&lt;=$C$4,Calc!D311,""),"")</f>
        <v/>
      </c>
      <c r="B311" s="40" t="str">
        <f>IFERROR(IF(Calc!E311&lt;=$C$4,CONCATENATE(TEXT(Calc!C311,"#0.000#")," || ",TEXT(INDEX(Calc!L311:P311,$B$4),"#0.000#")),""),"")</f>
        <v/>
      </c>
      <c r="C311" s="41" t="str">
        <f>IFERROR(IF(Calc!E311&lt;=$C$4,Calc!E311,""),"")</f>
        <v/>
      </c>
      <c r="D311" s="33" t="str">
        <f>IFERROR(IF(Calc!E311&lt;=$D$4,"Nice",""),"")</f>
        <v/>
      </c>
      <c r="E311" s="40" t="str">
        <f>IFERROR(IF(Calc!J311&lt;=$C$4,Calc!I311,""),"")</f>
        <v/>
      </c>
      <c r="F311" s="40" t="str">
        <f>IFERROR(IF(Calc!J311&lt;=$C$4,CONCATENATE(TEXT(Calc!H311,"#0.000#")," + ",TEXT(INDEX(Calc!L311:P311,$B$4),"#0.000#")),""),"")</f>
        <v/>
      </c>
      <c r="G311" s="41" t="str">
        <f>IFERROR(IF(Calc!J311&lt;=$C$4,Calc!J311,""),"")</f>
        <v/>
      </c>
      <c r="H311" s="33" t="str">
        <f>IFERROR(IF(Calc!J311&lt;=$D$4,"Nice",""),"")</f>
        <v/>
      </c>
      <c r="J311" s="7" t="str">
        <f>CONCATENATE("[",TEXT(Show!A311,"#.0#"),":",TEXT(Show!B311,"#.0#"),"][",TEXT(Show!E311,"#.0#"),":",TEXT(Show!F311,"#.0#"),"]")</f>
        <v>[:][:]</v>
      </c>
    </row>
    <row r="312" spans="1:10" hidden="1" x14ac:dyDescent="0.25">
      <c r="A312" s="40" t="str">
        <f>IFERROR(IF(Calc!E312&lt;=$C$4,Calc!D312,""),"")</f>
        <v/>
      </c>
      <c r="B312" s="40" t="str">
        <f>IFERROR(IF(Calc!E312&lt;=$C$4,CONCATENATE(TEXT(Calc!C312,"#0.000#")," || ",TEXT(INDEX(Calc!L312:P312,$B$4),"#0.000#")),""),"")</f>
        <v/>
      </c>
      <c r="C312" s="41" t="str">
        <f>IFERROR(IF(Calc!E312&lt;=$C$4,Calc!E312,""),"")</f>
        <v/>
      </c>
      <c r="D312" s="33" t="str">
        <f>IFERROR(IF(Calc!E312&lt;=$D$4,"Nice",""),"")</f>
        <v/>
      </c>
      <c r="E312" s="40" t="str">
        <f>IFERROR(IF(Calc!J312&lt;=$C$4,Calc!I312,""),"")</f>
        <v/>
      </c>
      <c r="F312" s="40" t="str">
        <f>IFERROR(IF(Calc!J312&lt;=$C$4,CONCATENATE(TEXT(Calc!H312,"#0.000#")," + ",TEXT(INDEX(Calc!L312:P312,$B$4),"#0.000#")),""),"")</f>
        <v/>
      </c>
      <c r="G312" s="41" t="str">
        <f>IFERROR(IF(Calc!J312&lt;=$C$4,Calc!J312,""),"")</f>
        <v/>
      </c>
      <c r="H312" s="33" t="str">
        <f>IFERROR(IF(Calc!J312&lt;=$D$4,"Nice",""),"")</f>
        <v/>
      </c>
      <c r="J312" s="7" t="str">
        <f>CONCATENATE("[",TEXT(Show!A312,"#.0#"),":",TEXT(Show!B312,"#.0#"),"][",TEXT(Show!E312,"#.0#"),":",TEXT(Show!F312,"#.0#"),"]")</f>
        <v>[:][:]</v>
      </c>
    </row>
    <row r="313" spans="1:10" hidden="1" x14ac:dyDescent="0.25">
      <c r="A313" s="40" t="str">
        <f>IFERROR(IF(Calc!E313&lt;=$C$4,Calc!D313,""),"")</f>
        <v/>
      </c>
      <c r="B313" s="40" t="str">
        <f>IFERROR(IF(Calc!E313&lt;=$C$4,CONCATENATE(TEXT(Calc!C313,"#0.000#")," || ",TEXT(INDEX(Calc!L313:P313,$B$4),"#0.000#")),""),"")</f>
        <v/>
      </c>
      <c r="C313" s="41" t="str">
        <f>IFERROR(IF(Calc!E313&lt;=$C$4,Calc!E313,""),"")</f>
        <v/>
      </c>
      <c r="D313" s="33" t="str">
        <f>IFERROR(IF(Calc!E313&lt;=$D$4,"Nice",""),"")</f>
        <v/>
      </c>
      <c r="E313" s="40" t="str">
        <f>IFERROR(IF(Calc!J313&lt;=$C$4,Calc!I313,""),"")</f>
        <v/>
      </c>
      <c r="F313" s="40" t="str">
        <f>IFERROR(IF(Calc!J313&lt;=$C$4,CONCATENATE(TEXT(Calc!H313,"#0.000#")," + ",TEXT(INDEX(Calc!L313:P313,$B$4),"#0.000#")),""),"")</f>
        <v/>
      </c>
      <c r="G313" s="41" t="str">
        <f>IFERROR(IF(Calc!J313&lt;=$C$4,Calc!J313,""),"")</f>
        <v/>
      </c>
      <c r="H313" s="33" t="str">
        <f>IFERROR(IF(Calc!J313&lt;=$D$4,"Nice",""),"")</f>
        <v/>
      </c>
      <c r="J313" s="7" t="str">
        <f>CONCATENATE("[",TEXT(Show!A313,"#.0#"),":",TEXT(Show!B313,"#.0#"),"][",TEXT(Show!E313,"#.0#"),":",TEXT(Show!F313,"#.0#"),"]")</f>
        <v>[:][:]</v>
      </c>
    </row>
    <row r="314" spans="1:10" hidden="1" x14ac:dyDescent="0.25">
      <c r="A314" s="40" t="str">
        <f>IFERROR(IF(Calc!E314&lt;=$C$4,Calc!D314,""),"")</f>
        <v/>
      </c>
      <c r="B314" s="40" t="str">
        <f>IFERROR(IF(Calc!E314&lt;=$C$4,CONCATENATE(TEXT(Calc!C314,"#0.000#")," || ",TEXT(INDEX(Calc!L314:P314,$B$4),"#0.000#")),""),"")</f>
        <v/>
      </c>
      <c r="C314" s="41" t="str">
        <f>IFERROR(IF(Calc!E314&lt;=$C$4,Calc!E314,""),"")</f>
        <v/>
      </c>
      <c r="D314" s="33" t="str">
        <f>IFERROR(IF(Calc!E314&lt;=$D$4,"Nice",""),"")</f>
        <v/>
      </c>
      <c r="E314" s="40" t="str">
        <f>IFERROR(IF(Calc!J314&lt;=$C$4,Calc!I314,""),"")</f>
        <v/>
      </c>
      <c r="F314" s="40" t="str">
        <f>IFERROR(IF(Calc!J314&lt;=$C$4,CONCATENATE(TEXT(Calc!H314,"#0.000#")," + ",TEXT(INDEX(Calc!L314:P314,$B$4),"#0.000#")),""),"")</f>
        <v/>
      </c>
      <c r="G314" s="41" t="str">
        <f>IFERROR(IF(Calc!J314&lt;=$C$4,Calc!J314,""),"")</f>
        <v/>
      </c>
      <c r="H314" s="33" t="str">
        <f>IFERROR(IF(Calc!J314&lt;=$D$4,"Nice",""),"")</f>
        <v/>
      </c>
      <c r="J314" s="7" t="str">
        <f>CONCATENATE("[",TEXT(Show!A314,"#.0#"),":",TEXT(Show!B314,"#.0#"),"][",TEXT(Show!E314,"#.0#"),":",TEXT(Show!F314,"#.0#"),"]")</f>
        <v>[:][:]</v>
      </c>
    </row>
    <row r="315" spans="1:10" hidden="1" x14ac:dyDescent="0.25">
      <c r="A315" s="40" t="str">
        <f>IFERROR(IF(Calc!E315&lt;=$C$4,Calc!D315,""),"")</f>
        <v/>
      </c>
      <c r="B315" s="40" t="str">
        <f>IFERROR(IF(Calc!E315&lt;=$C$4,CONCATENATE(TEXT(Calc!C315,"#0.000#")," || ",TEXT(INDEX(Calc!L315:P315,$B$4),"#0.000#")),""),"")</f>
        <v/>
      </c>
      <c r="C315" s="41" t="str">
        <f>IFERROR(IF(Calc!E315&lt;=$C$4,Calc!E315,""),"")</f>
        <v/>
      </c>
      <c r="D315" s="33" t="str">
        <f>IFERROR(IF(Calc!E315&lt;=$D$4,"Nice",""),"")</f>
        <v/>
      </c>
      <c r="E315" s="40" t="str">
        <f>IFERROR(IF(Calc!J315&lt;=$C$4,Calc!I315,""),"")</f>
        <v/>
      </c>
      <c r="F315" s="40" t="str">
        <f>IFERROR(IF(Calc!J315&lt;=$C$4,CONCATENATE(TEXT(Calc!H315,"#0.000#")," + ",TEXT(INDEX(Calc!L315:P315,$B$4),"#0.000#")),""),"")</f>
        <v/>
      </c>
      <c r="G315" s="41" t="str">
        <f>IFERROR(IF(Calc!J315&lt;=$C$4,Calc!J315,""),"")</f>
        <v/>
      </c>
      <c r="H315" s="33" t="str">
        <f>IFERROR(IF(Calc!J315&lt;=$D$4,"Nice",""),"")</f>
        <v/>
      </c>
      <c r="J315" s="7" t="str">
        <f>CONCATENATE("[",TEXT(Show!A315,"#.0#"),":",TEXT(Show!B315,"#.0#"),"][",TEXT(Show!E315,"#.0#"),":",TEXT(Show!F315,"#.0#"),"]")</f>
        <v>[:][:]</v>
      </c>
    </row>
    <row r="316" spans="1:10" hidden="1" x14ac:dyDescent="0.25">
      <c r="A316" s="40" t="str">
        <f>IFERROR(IF(Calc!E316&lt;=$C$4,Calc!D316,""),"")</f>
        <v/>
      </c>
      <c r="B316" s="40" t="str">
        <f>IFERROR(IF(Calc!E316&lt;=$C$4,CONCATENATE(TEXT(Calc!C316,"#0.000#")," || ",TEXT(INDEX(Calc!L316:P316,$B$4),"#0.000#")),""),"")</f>
        <v/>
      </c>
      <c r="C316" s="41" t="str">
        <f>IFERROR(IF(Calc!E316&lt;=$C$4,Calc!E316,""),"")</f>
        <v/>
      </c>
      <c r="D316" s="33" t="str">
        <f>IFERROR(IF(Calc!E316&lt;=$D$4,"Nice",""),"")</f>
        <v/>
      </c>
      <c r="E316" s="40" t="str">
        <f>IFERROR(IF(Calc!J316&lt;=$C$4,Calc!I316,""),"")</f>
        <v/>
      </c>
      <c r="F316" s="40" t="str">
        <f>IFERROR(IF(Calc!J316&lt;=$C$4,CONCATENATE(TEXT(Calc!H316,"#0.000#")," + ",TEXT(INDEX(Calc!L316:P316,$B$4),"#0.000#")),""),"")</f>
        <v/>
      </c>
      <c r="G316" s="41" t="str">
        <f>IFERROR(IF(Calc!J316&lt;=$C$4,Calc!J316,""),"")</f>
        <v/>
      </c>
      <c r="H316" s="33" t="str">
        <f>IFERROR(IF(Calc!J316&lt;=$D$4,"Nice",""),"")</f>
        <v/>
      </c>
      <c r="J316" s="7" t="str">
        <f>CONCATENATE("[",TEXT(Show!A316,"#.0#"),":",TEXT(Show!B316,"#.0#"),"][",TEXT(Show!E316,"#.0#"),":",TEXT(Show!F316,"#.0#"),"]")</f>
        <v>[:][:]</v>
      </c>
    </row>
    <row r="317" spans="1:10" x14ac:dyDescent="0.25">
      <c r="A317" s="40">
        <f>IFERROR(IF(Calc!E317&lt;=$C$4,Calc!D317,""),"")</f>
        <v>39.702313400261893</v>
      </c>
      <c r="B317" s="40" t="str">
        <f>IFERROR(IF(Calc!E317&lt;=$C$4,CONCATENATE(TEXT(Calc!C317,"#0.000#")," || ",TEXT(INDEX(Calc!L317:P317,$B$4),"#0.000#")),""),"")</f>
        <v>51.100 || 178.000</v>
      </c>
      <c r="C317" s="41">
        <f>IFERROR(IF(Calc!E317&lt;=$C$4,Calc!E317,""),"")</f>
        <v>0.74421649934526712</v>
      </c>
      <c r="D317" s="33" t="str">
        <f>IFERROR(IF(Calc!E317&lt;=$D$4,"Nice",""),"")</f>
        <v/>
      </c>
      <c r="E317" s="40" t="str">
        <f>IFERROR(IF(Calc!J317&lt;=$C$4,Calc!I317,""),"")</f>
        <v/>
      </c>
      <c r="F317" s="40" t="str">
        <f>IFERROR(IF(Calc!J317&lt;=$C$4,CONCATENATE(TEXT(Calc!H317,"#0.000#")," + ",TEXT(INDEX(Calc!L317:P317,$B$4),"#0.000#")),""),"")</f>
        <v/>
      </c>
      <c r="G317" s="41" t="str">
        <f>IFERROR(IF(Calc!J317&lt;=$C$4,Calc!J317,""),"")</f>
        <v/>
      </c>
      <c r="H317" s="33" t="str">
        <f>IFERROR(IF(Calc!J317&lt;=$D$4,"Nice",""),"")</f>
        <v/>
      </c>
      <c r="J317" s="7" t="str">
        <f>CONCATENATE("[",TEXT(Show!A317,"#.0#"),":",TEXT(Show!B317,"#.0#"),"][",TEXT(Show!E317,"#.0#"),":",TEXT(Show!F317,"#.0#"),"]")</f>
        <v>[39.7:51.100 || 178.000][:]</v>
      </c>
    </row>
    <row r="318" spans="1:10" hidden="1" x14ac:dyDescent="0.25">
      <c r="A318" s="40">
        <f>IFERROR(IF(Calc!E318&lt;=$C$4,Calc!D318,""),"")</f>
        <v>39.702313400261893</v>
      </c>
      <c r="B318" s="40" t="str">
        <f>IFERROR(IF(Calc!E318&lt;=$C$4,CONCATENATE(TEXT(Calc!C318,"#0.000#")," || ",TEXT(INDEX(Calc!L318:P318,$B$4),"#0.000#")),""),"")</f>
        <v>51.100 || 178.000</v>
      </c>
      <c r="C318" s="41">
        <f>IFERROR(IF(Calc!E318&lt;=$C$4,Calc!E318,""),"")</f>
        <v>0.74421649934526712</v>
      </c>
      <c r="D318" s="33" t="str">
        <f>IFERROR(IF(Calc!E318&lt;=$D$4,"Nice",""),"")</f>
        <v/>
      </c>
      <c r="E318" s="40" t="str">
        <f>IFERROR(IF(Calc!J318&lt;=$C$4,Calc!I318,""),"")</f>
        <v/>
      </c>
      <c r="F318" s="40" t="str">
        <f>IFERROR(IF(Calc!J318&lt;=$C$4,CONCATENATE(TEXT(Calc!H318,"#0.000#")," + ",TEXT(INDEX(Calc!L318:P318,$B$4),"#0.000#")),""),"")</f>
        <v/>
      </c>
      <c r="G318" s="41" t="str">
        <f>IFERROR(IF(Calc!J318&lt;=$C$4,Calc!J318,""),"")</f>
        <v/>
      </c>
      <c r="H318" s="33" t="str">
        <f>IFERROR(IF(Calc!J318&lt;=$D$4,"Nice",""),"")</f>
        <v/>
      </c>
      <c r="J318" s="7" t="str">
        <f>CONCATENATE("[",TEXT(Show!A318,"#.0#"),":",TEXT(Show!B318,"#.0#"),"][",TEXT(Show!E318,"#.0#"),":",TEXT(Show!F318,"#.0#"),"]")</f>
        <v>[39.7:51.100 || 178.000][:]</v>
      </c>
    </row>
    <row r="319" spans="1:10" hidden="1" x14ac:dyDescent="0.25">
      <c r="A319" s="40">
        <f>IFERROR(IF(Calc!E319&lt;=$C$4,Calc!D319,""),"")</f>
        <v>39.702313400261893</v>
      </c>
      <c r="B319" s="40" t="str">
        <f>IFERROR(IF(Calc!E319&lt;=$C$4,CONCATENATE(TEXT(Calc!C319,"#0.000#")," || ",TEXT(INDEX(Calc!L319:P319,$B$4),"#0.000#")),""),"")</f>
        <v>51.100 || 178.000</v>
      </c>
      <c r="C319" s="41">
        <f>IFERROR(IF(Calc!E319&lt;=$C$4,Calc!E319,""),"")</f>
        <v>0.74421649934526712</v>
      </c>
      <c r="D319" s="33" t="str">
        <f>IFERROR(IF(Calc!E319&lt;=$D$4,"Nice",""),"")</f>
        <v/>
      </c>
      <c r="E319" s="40" t="str">
        <f>IFERROR(IF(Calc!J319&lt;=$C$4,Calc!I319,""),"")</f>
        <v/>
      </c>
      <c r="F319" s="40" t="str">
        <f>IFERROR(IF(Calc!J319&lt;=$C$4,CONCATENATE(TEXT(Calc!H319,"#0.000#")," + ",TEXT(INDEX(Calc!L319:P319,$B$4),"#0.000#")),""),"")</f>
        <v/>
      </c>
      <c r="G319" s="41" t="str">
        <f>IFERROR(IF(Calc!J319&lt;=$C$4,Calc!J319,""),"")</f>
        <v/>
      </c>
      <c r="H319" s="33" t="str">
        <f>IFERROR(IF(Calc!J319&lt;=$D$4,"Nice",""),"")</f>
        <v/>
      </c>
      <c r="J319" s="7" t="str">
        <f>CONCATENATE("[",TEXT(Show!A319,"#.0#"),":",TEXT(Show!B319,"#.0#"),"][",TEXT(Show!E319,"#.0#"),":",TEXT(Show!F319,"#.0#"),"]")</f>
        <v>[39.7:51.100 || 178.000][:]</v>
      </c>
    </row>
    <row r="320" spans="1:10" hidden="1" x14ac:dyDescent="0.25">
      <c r="A320" s="40">
        <f>IFERROR(IF(Calc!E320&lt;=$C$4,Calc!D320,""),"")</f>
        <v>39.702313400261893</v>
      </c>
      <c r="B320" s="40" t="str">
        <f>IFERROR(IF(Calc!E320&lt;=$C$4,CONCATENATE(TEXT(Calc!C320,"#0.000#")," || ",TEXT(INDEX(Calc!L320:P320,$B$4),"#0.000#")),""),"")</f>
        <v>51.100 || 178.000</v>
      </c>
      <c r="C320" s="41">
        <f>IFERROR(IF(Calc!E320&lt;=$C$4,Calc!E320,""),"")</f>
        <v>0.74421649934526712</v>
      </c>
      <c r="D320" s="33" t="str">
        <f>IFERROR(IF(Calc!E320&lt;=$D$4,"Nice",""),"")</f>
        <v/>
      </c>
      <c r="E320" s="40" t="str">
        <f>IFERROR(IF(Calc!J320&lt;=$C$4,Calc!I320,""),"")</f>
        <v/>
      </c>
      <c r="F320" s="40" t="str">
        <f>IFERROR(IF(Calc!J320&lt;=$C$4,CONCATENATE(TEXT(Calc!H320,"#0.000#")," + ",TEXT(INDEX(Calc!L320:P320,$B$4),"#0.000#")),""),"")</f>
        <v/>
      </c>
      <c r="G320" s="41" t="str">
        <f>IFERROR(IF(Calc!J320&lt;=$C$4,Calc!J320,""),"")</f>
        <v/>
      </c>
      <c r="H320" s="33" t="str">
        <f>IFERROR(IF(Calc!J320&lt;=$D$4,"Nice",""),"")</f>
        <v/>
      </c>
      <c r="J320" s="7" t="str">
        <f>CONCATENATE("[",TEXT(Show!A320,"#.0#"),":",TEXT(Show!B320,"#.0#"),"][",TEXT(Show!E320,"#.0#"),":",TEXT(Show!F320,"#.0#"),"]")</f>
        <v>[39.7:51.100 || 178.000][:]</v>
      </c>
    </row>
    <row r="321" spans="1:10" hidden="1" x14ac:dyDescent="0.25">
      <c r="A321" s="40" t="str">
        <f>IFERROR(IF(Calc!E321&lt;=$C$4,Calc!D321,""),"")</f>
        <v/>
      </c>
      <c r="B321" s="40" t="str">
        <f>IFERROR(IF(Calc!E321&lt;=$C$4,CONCATENATE(TEXT(Calc!C321,"#0.000#")," || ",TEXT(INDEX(Calc!L321:P321,$B$4),"#0.000#")),""),"")</f>
        <v/>
      </c>
      <c r="C321" s="41" t="str">
        <f>IFERROR(IF(Calc!E321&lt;=$C$4,Calc!E321,""),"")</f>
        <v/>
      </c>
      <c r="D321" s="33" t="str">
        <f>IFERROR(IF(Calc!E321&lt;=$D$4,"Nice",""),"")</f>
        <v/>
      </c>
      <c r="E321" s="40" t="str">
        <f>IFERROR(IF(Calc!J321&lt;=$C$4,Calc!I321,""),"")</f>
        <v/>
      </c>
      <c r="F321" s="40" t="str">
        <f>IFERROR(IF(Calc!J321&lt;=$C$4,CONCATENATE(TEXT(Calc!H321,"#0.000#")," + ",TEXT(INDEX(Calc!L321:P321,$B$4),"#0.000#")),""),"")</f>
        <v/>
      </c>
      <c r="G321" s="41" t="str">
        <f>IFERROR(IF(Calc!J321&lt;=$C$4,Calc!J321,""),"")</f>
        <v/>
      </c>
      <c r="H321" s="33" t="str">
        <f>IFERROR(IF(Calc!J321&lt;=$D$4,"Nice",""),"")</f>
        <v/>
      </c>
      <c r="J321" s="7" t="str">
        <f>CONCATENATE("[",TEXT(Show!A321,"#.0#"),":",TEXT(Show!B321,"#.0#"),"][",TEXT(Show!E321,"#.0#"),":",TEXT(Show!F321,"#.0#"),"]")</f>
        <v>[:][:]</v>
      </c>
    </row>
    <row r="322" spans="1:10" hidden="1" x14ac:dyDescent="0.25">
      <c r="A322" s="40" t="str">
        <f>IFERROR(IF(Calc!E322&lt;=$C$4,Calc!D322,""),"")</f>
        <v/>
      </c>
      <c r="B322" s="40" t="str">
        <f>IFERROR(IF(Calc!E322&lt;=$C$4,CONCATENATE(TEXT(Calc!C322,"#0.000#")," || ",TEXT(INDEX(Calc!L322:P322,$B$4),"#0.000#")),""),"")</f>
        <v/>
      </c>
      <c r="C322" s="41" t="str">
        <f>IFERROR(IF(Calc!E322&lt;=$C$4,Calc!E322,""),"")</f>
        <v/>
      </c>
      <c r="D322" s="33" t="str">
        <f>IFERROR(IF(Calc!E322&lt;=$D$4,"Nice",""),"")</f>
        <v/>
      </c>
      <c r="E322" s="40" t="str">
        <f>IFERROR(IF(Calc!J322&lt;=$C$4,Calc!I322,""),"")</f>
        <v/>
      </c>
      <c r="F322" s="40" t="str">
        <f>IFERROR(IF(Calc!J322&lt;=$C$4,CONCATENATE(TEXT(Calc!H322,"#0.000#")," + ",TEXT(INDEX(Calc!L322:P322,$B$4),"#0.000#")),""),"")</f>
        <v/>
      </c>
      <c r="G322" s="41" t="str">
        <f>IFERROR(IF(Calc!J322&lt;=$C$4,Calc!J322,""),"")</f>
        <v/>
      </c>
      <c r="H322" s="33" t="str">
        <f>IFERROR(IF(Calc!J322&lt;=$D$4,"Nice",""),"")</f>
        <v/>
      </c>
      <c r="J322" s="7" t="str">
        <f>CONCATENATE("[",TEXT(Show!A322,"#.0#"),":",TEXT(Show!B322,"#.0#"),"][",TEXT(Show!E322,"#.0#"),":",TEXT(Show!F322,"#.0#"),"]")</f>
        <v>[:][:]</v>
      </c>
    </row>
    <row r="323" spans="1:10" hidden="1" x14ac:dyDescent="0.25">
      <c r="A323" s="40" t="str">
        <f>IFERROR(IF(Calc!E323&lt;=$C$4,Calc!D323,""),"")</f>
        <v/>
      </c>
      <c r="B323" s="40" t="str">
        <f>IFERROR(IF(Calc!E323&lt;=$C$4,CONCATENATE(TEXT(Calc!C323,"#0.000#")," || ",TEXT(INDEX(Calc!L323:P323,$B$4),"#0.000#")),""),"")</f>
        <v/>
      </c>
      <c r="C323" s="41" t="str">
        <f>IFERROR(IF(Calc!E323&lt;=$C$4,Calc!E323,""),"")</f>
        <v/>
      </c>
      <c r="D323" s="33" t="str">
        <f>IFERROR(IF(Calc!E323&lt;=$D$4,"Nice",""),"")</f>
        <v/>
      </c>
      <c r="E323" s="40" t="str">
        <f>IFERROR(IF(Calc!J323&lt;=$C$4,Calc!I323,""),"")</f>
        <v/>
      </c>
      <c r="F323" s="40" t="str">
        <f>IFERROR(IF(Calc!J323&lt;=$C$4,CONCATENATE(TEXT(Calc!H323,"#0.000#")," + ",TEXT(INDEX(Calc!L323:P323,$B$4),"#0.000#")),""),"")</f>
        <v/>
      </c>
      <c r="G323" s="41" t="str">
        <f>IFERROR(IF(Calc!J323&lt;=$C$4,Calc!J323,""),"")</f>
        <v/>
      </c>
      <c r="H323" s="33" t="str">
        <f>IFERROR(IF(Calc!J323&lt;=$D$4,"Nice",""),"")</f>
        <v/>
      </c>
      <c r="J323" s="7" t="str">
        <f>CONCATENATE("[",TEXT(Show!A323,"#.0#"),":",TEXT(Show!B323,"#.0#"),"][",TEXT(Show!E323,"#.0#"),":",TEXT(Show!F323,"#.0#"),"]")</f>
        <v>[:][:]</v>
      </c>
    </row>
    <row r="324" spans="1:10" hidden="1" x14ac:dyDescent="0.25">
      <c r="A324" s="40" t="str">
        <f>IFERROR(IF(Calc!E324&lt;=$C$4,Calc!D324,""),"")</f>
        <v/>
      </c>
      <c r="B324" s="40" t="str">
        <f>IFERROR(IF(Calc!E324&lt;=$C$4,CONCATENATE(TEXT(Calc!C324,"#0.000#")," || ",TEXT(INDEX(Calc!L324:P324,$B$4),"#0.000#")),""),"")</f>
        <v/>
      </c>
      <c r="C324" s="41" t="str">
        <f>IFERROR(IF(Calc!E324&lt;=$C$4,Calc!E324,""),"")</f>
        <v/>
      </c>
      <c r="D324" s="33" t="str">
        <f>IFERROR(IF(Calc!E324&lt;=$D$4,"Nice",""),"")</f>
        <v/>
      </c>
      <c r="E324" s="40" t="str">
        <f>IFERROR(IF(Calc!J324&lt;=$C$4,Calc!I324,""),"")</f>
        <v/>
      </c>
      <c r="F324" s="40" t="str">
        <f>IFERROR(IF(Calc!J324&lt;=$C$4,CONCATENATE(TEXT(Calc!H324,"#0.000#")," + ",TEXT(INDEX(Calc!L324:P324,$B$4),"#0.000#")),""),"")</f>
        <v/>
      </c>
      <c r="G324" s="41" t="str">
        <f>IFERROR(IF(Calc!J324&lt;=$C$4,Calc!J324,""),"")</f>
        <v/>
      </c>
      <c r="H324" s="33" t="str">
        <f>IFERROR(IF(Calc!J324&lt;=$D$4,"Nice",""),"")</f>
        <v/>
      </c>
      <c r="J324" s="7" t="str">
        <f>CONCATENATE("[",TEXT(Show!A324,"#.0#"),":",TEXT(Show!B324,"#.0#"),"][",TEXT(Show!E324,"#.0#"),":",TEXT(Show!F324,"#.0#"),"]")</f>
        <v>[:][:]</v>
      </c>
    </row>
    <row r="325" spans="1:10" hidden="1" x14ac:dyDescent="0.25">
      <c r="A325" s="40" t="str">
        <f>IFERROR(IF(Calc!E325&lt;=$C$4,Calc!D325,""),"")</f>
        <v/>
      </c>
      <c r="B325" s="40" t="str">
        <f>IFERROR(IF(Calc!E325&lt;=$C$4,CONCATENATE(TEXT(Calc!C325,"#0.000#")," || ",TEXT(INDEX(Calc!L325:P325,$B$4),"#0.000#")),""),"")</f>
        <v/>
      </c>
      <c r="C325" s="41" t="str">
        <f>IFERROR(IF(Calc!E325&lt;=$C$4,Calc!E325,""),"")</f>
        <v/>
      </c>
      <c r="D325" s="33" t="str">
        <f>IFERROR(IF(Calc!E325&lt;=$D$4,"Nice",""),"")</f>
        <v/>
      </c>
      <c r="E325" s="40" t="str">
        <f>IFERROR(IF(Calc!J325&lt;=$C$4,Calc!I325,""),"")</f>
        <v/>
      </c>
      <c r="F325" s="40" t="str">
        <f>IFERROR(IF(Calc!J325&lt;=$C$4,CONCATENATE(TEXT(Calc!H325,"#0.000#")," + ",TEXT(INDEX(Calc!L325:P325,$B$4),"#0.000#")),""),"")</f>
        <v/>
      </c>
      <c r="G325" s="41" t="str">
        <f>IFERROR(IF(Calc!J325&lt;=$C$4,Calc!J325,""),"")</f>
        <v/>
      </c>
      <c r="H325" s="33" t="str">
        <f>IFERROR(IF(Calc!J325&lt;=$D$4,"Nice",""),"")</f>
        <v/>
      </c>
      <c r="J325" s="7" t="str">
        <f>CONCATENATE("[",TEXT(Show!A325,"#.0#"),":",TEXT(Show!B325,"#.0#"),"][",TEXT(Show!E325,"#.0#"),":",TEXT(Show!F325,"#.0#"),"]")</f>
        <v>[:][:]</v>
      </c>
    </row>
    <row r="326" spans="1:10" hidden="1" x14ac:dyDescent="0.25">
      <c r="A326" s="40" t="str">
        <f>IFERROR(IF(Calc!E326&lt;=$C$4,Calc!D326,""),"")</f>
        <v/>
      </c>
      <c r="B326" s="40" t="str">
        <f>IFERROR(IF(Calc!E326&lt;=$C$4,CONCATENATE(TEXT(Calc!C326,"#0.000#")," || ",TEXT(INDEX(Calc!L326:P326,$B$4),"#0.000#")),""),"")</f>
        <v/>
      </c>
      <c r="C326" s="41" t="str">
        <f>IFERROR(IF(Calc!E326&lt;=$C$4,Calc!E326,""),"")</f>
        <v/>
      </c>
      <c r="D326" s="33" t="str">
        <f>IFERROR(IF(Calc!E326&lt;=$D$4,"Nice",""),"")</f>
        <v/>
      </c>
      <c r="E326" s="40" t="str">
        <f>IFERROR(IF(Calc!J326&lt;=$C$4,Calc!I326,""),"")</f>
        <v/>
      </c>
      <c r="F326" s="40" t="str">
        <f>IFERROR(IF(Calc!J326&lt;=$C$4,CONCATENATE(TEXT(Calc!H326,"#0.000#")," + ",TEXT(INDEX(Calc!L326:P326,$B$4),"#0.000#")),""),"")</f>
        <v/>
      </c>
      <c r="G326" s="41" t="str">
        <f>IFERROR(IF(Calc!J326&lt;=$C$4,Calc!J326,""),"")</f>
        <v/>
      </c>
      <c r="H326" s="33" t="str">
        <f>IFERROR(IF(Calc!J326&lt;=$D$4,"Nice",""),"")</f>
        <v/>
      </c>
      <c r="J326" s="7" t="str">
        <f>CONCATENATE("[",TEXT(Show!A326,"#.0#"),":",TEXT(Show!B326,"#.0#"),"][",TEXT(Show!E326,"#.0#"),":",TEXT(Show!F326,"#.0#"),"]")</f>
        <v>[:][:]</v>
      </c>
    </row>
    <row r="327" spans="1:10" hidden="1" x14ac:dyDescent="0.25">
      <c r="A327" s="40" t="str">
        <f>IFERROR(IF(Calc!E327&lt;=$C$4,Calc!D327,""),"")</f>
        <v/>
      </c>
      <c r="B327" s="40" t="str">
        <f>IFERROR(IF(Calc!E327&lt;=$C$4,CONCATENATE(TEXT(Calc!C327,"#0.000#")," || ",TEXT(INDEX(Calc!L327:P327,$B$4),"#0.000#")),""),"")</f>
        <v/>
      </c>
      <c r="C327" s="41" t="str">
        <f>IFERROR(IF(Calc!E327&lt;=$C$4,Calc!E327,""),"")</f>
        <v/>
      </c>
      <c r="D327" s="33" t="str">
        <f>IFERROR(IF(Calc!E327&lt;=$D$4,"Nice",""),"")</f>
        <v/>
      </c>
      <c r="E327" s="40" t="str">
        <f>IFERROR(IF(Calc!J327&lt;=$C$4,Calc!I327,""),"")</f>
        <v/>
      </c>
      <c r="F327" s="40" t="str">
        <f>IFERROR(IF(Calc!J327&lt;=$C$4,CONCATENATE(TEXT(Calc!H327,"#0.000#")," + ",TEXT(INDEX(Calc!L327:P327,$B$4),"#0.000#")),""),"")</f>
        <v/>
      </c>
      <c r="G327" s="41" t="str">
        <f>IFERROR(IF(Calc!J327&lt;=$C$4,Calc!J327,""),"")</f>
        <v/>
      </c>
      <c r="H327" s="33" t="str">
        <f>IFERROR(IF(Calc!J327&lt;=$D$4,"Nice",""),"")</f>
        <v/>
      </c>
      <c r="J327" s="7" t="str">
        <f>CONCATENATE("[",TEXT(Show!A327,"#.0#"),":",TEXT(Show!B327,"#.0#"),"][",TEXT(Show!E327,"#.0#"),":",TEXT(Show!F327,"#.0#"),"]")</f>
        <v>[:][:]</v>
      </c>
    </row>
    <row r="328" spans="1:10" hidden="1" x14ac:dyDescent="0.25">
      <c r="A328" s="40" t="str">
        <f>IFERROR(IF(Calc!E328&lt;=$C$4,Calc!D328,""),"")</f>
        <v/>
      </c>
      <c r="B328" s="40" t="str">
        <f>IFERROR(IF(Calc!E328&lt;=$C$4,CONCATENATE(TEXT(Calc!C328,"#0.000#")," || ",TEXT(INDEX(Calc!L328:P328,$B$4),"#0.000#")),""),"")</f>
        <v/>
      </c>
      <c r="C328" s="41" t="str">
        <f>IFERROR(IF(Calc!E328&lt;=$C$4,Calc!E328,""),"")</f>
        <v/>
      </c>
      <c r="D328" s="33" t="str">
        <f>IFERROR(IF(Calc!E328&lt;=$D$4,"Nice",""),"")</f>
        <v/>
      </c>
      <c r="E328" s="40" t="str">
        <f>IFERROR(IF(Calc!J328&lt;=$C$4,Calc!I328,""),"")</f>
        <v/>
      </c>
      <c r="F328" s="40" t="str">
        <f>IFERROR(IF(Calc!J328&lt;=$C$4,CONCATENATE(TEXT(Calc!H328,"#0.000#")," + ",TEXT(INDEX(Calc!L328:P328,$B$4),"#0.000#")),""),"")</f>
        <v/>
      </c>
      <c r="G328" s="41" t="str">
        <f>IFERROR(IF(Calc!J328&lt;=$C$4,Calc!J328,""),"")</f>
        <v/>
      </c>
      <c r="H328" s="33" t="str">
        <f>IFERROR(IF(Calc!J328&lt;=$D$4,"Nice",""),"")</f>
        <v/>
      </c>
      <c r="J328" s="7" t="str">
        <f>CONCATENATE("[",TEXT(Show!A328,"#.0#"),":",TEXT(Show!B328,"#.0#"),"][",TEXT(Show!E328,"#.0#"),":",TEXT(Show!F328,"#.0#"),"]")</f>
        <v>[:][:]</v>
      </c>
    </row>
    <row r="329" spans="1:10" hidden="1" x14ac:dyDescent="0.25">
      <c r="A329" s="40" t="str">
        <f>IFERROR(IF(Calc!E329&lt;=$C$4,Calc!D329,""),"")</f>
        <v/>
      </c>
      <c r="B329" s="40" t="str">
        <f>IFERROR(IF(Calc!E329&lt;=$C$4,CONCATENATE(TEXT(Calc!C329,"#0.000#")," || ",TEXT(INDEX(Calc!L329:P329,$B$4),"#0.000#")),""),"")</f>
        <v/>
      </c>
      <c r="C329" s="41" t="str">
        <f>IFERROR(IF(Calc!E329&lt;=$C$4,Calc!E329,""),"")</f>
        <v/>
      </c>
      <c r="D329" s="33" t="str">
        <f>IFERROR(IF(Calc!E329&lt;=$D$4,"Nice",""),"")</f>
        <v/>
      </c>
      <c r="E329" s="40" t="str">
        <f>IFERROR(IF(Calc!J329&lt;=$C$4,Calc!I329,""),"")</f>
        <v/>
      </c>
      <c r="F329" s="40" t="str">
        <f>IFERROR(IF(Calc!J329&lt;=$C$4,CONCATENATE(TEXT(Calc!H329,"#0.000#")," + ",TEXT(INDEX(Calc!L329:P329,$B$4),"#0.000#")),""),"")</f>
        <v/>
      </c>
      <c r="G329" s="41" t="str">
        <f>IFERROR(IF(Calc!J329&lt;=$C$4,Calc!J329,""),"")</f>
        <v/>
      </c>
      <c r="H329" s="33" t="str">
        <f>IFERROR(IF(Calc!J329&lt;=$D$4,"Nice",""),"")</f>
        <v/>
      </c>
      <c r="J329" s="7" t="str">
        <f>CONCATENATE("[",TEXT(Show!A329,"#.0#"),":",TEXT(Show!B329,"#.0#"),"][",TEXT(Show!E329,"#.0#"),":",TEXT(Show!F329,"#.0#"),"]")</f>
        <v>[:][:]</v>
      </c>
    </row>
    <row r="330" spans="1:10" hidden="1" x14ac:dyDescent="0.25">
      <c r="A330" s="40" t="str">
        <f>IFERROR(IF(Calc!E330&lt;=$C$4,Calc!D330,""),"")</f>
        <v/>
      </c>
      <c r="B330" s="40" t="str">
        <f>IFERROR(IF(Calc!E330&lt;=$C$4,CONCATENATE(TEXT(Calc!C330,"#0.000#")," || ",TEXT(INDEX(Calc!L330:P330,$B$4),"#0.000#")),""),"")</f>
        <v/>
      </c>
      <c r="C330" s="41" t="str">
        <f>IFERROR(IF(Calc!E330&lt;=$C$4,Calc!E330,""),"")</f>
        <v/>
      </c>
      <c r="D330" s="33" t="str">
        <f>IFERROR(IF(Calc!E330&lt;=$D$4,"Nice",""),"")</f>
        <v/>
      </c>
      <c r="E330" s="40" t="str">
        <f>IFERROR(IF(Calc!J330&lt;=$C$4,Calc!I330,""),"")</f>
        <v/>
      </c>
      <c r="F330" s="40" t="str">
        <f>IFERROR(IF(Calc!J330&lt;=$C$4,CONCATENATE(TEXT(Calc!H330,"#0.000#")," + ",TEXT(INDEX(Calc!L330:P330,$B$4),"#0.000#")),""),"")</f>
        <v/>
      </c>
      <c r="G330" s="41" t="str">
        <f>IFERROR(IF(Calc!J330&lt;=$C$4,Calc!J330,""),"")</f>
        <v/>
      </c>
      <c r="H330" s="33" t="str">
        <f>IFERROR(IF(Calc!J330&lt;=$D$4,"Nice",""),"")</f>
        <v/>
      </c>
      <c r="J330" s="7" t="str">
        <f>CONCATENATE("[",TEXT(Show!A330,"#.0#"),":",TEXT(Show!B330,"#.0#"),"][",TEXT(Show!E330,"#.0#"),":",TEXT(Show!F330,"#.0#"),"]")</f>
        <v>[:][:]</v>
      </c>
    </row>
    <row r="331" spans="1:10" hidden="1" x14ac:dyDescent="0.25">
      <c r="A331" s="40" t="str">
        <f>IFERROR(IF(Calc!E331&lt;=$C$4,Calc!D331,""),"")</f>
        <v/>
      </c>
      <c r="B331" s="40" t="str">
        <f>IFERROR(IF(Calc!E331&lt;=$C$4,CONCATENATE(TEXT(Calc!C331,"#0.000#")," || ",TEXT(INDEX(Calc!L331:P331,$B$4),"#0.000#")),""),"")</f>
        <v/>
      </c>
      <c r="C331" s="41" t="str">
        <f>IFERROR(IF(Calc!E331&lt;=$C$4,Calc!E331,""),"")</f>
        <v/>
      </c>
      <c r="D331" s="33" t="str">
        <f>IFERROR(IF(Calc!E331&lt;=$D$4,"Nice",""),"")</f>
        <v/>
      </c>
      <c r="E331" s="40" t="str">
        <f>IFERROR(IF(Calc!J331&lt;=$C$4,Calc!I331,""),"")</f>
        <v/>
      </c>
      <c r="F331" s="40" t="str">
        <f>IFERROR(IF(Calc!J331&lt;=$C$4,CONCATENATE(TEXT(Calc!H331,"#0.000#")," + ",TEXT(INDEX(Calc!L331:P331,$B$4),"#0.000#")),""),"")</f>
        <v/>
      </c>
      <c r="G331" s="41" t="str">
        <f>IFERROR(IF(Calc!J331&lt;=$C$4,Calc!J331,""),"")</f>
        <v/>
      </c>
      <c r="H331" s="33" t="str">
        <f>IFERROR(IF(Calc!J331&lt;=$D$4,"Nice",""),"")</f>
        <v/>
      </c>
      <c r="J331" s="7" t="str">
        <f>CONCATENATE("[",TEXT(Show!A331,"#.0#"),":",TEXT(Show!B331,"#.0#"),"][",TEXT(Show!E331,"#.0#"),":",TEXT(Show!F331,"#.0#"),"]")</f>
        <v>[:][:]</v>
      </c>
    </row>
    <row r="332" spans="1:10" hidden="1" x14ac:dyDescent="0.25">
      <c r="A332" s="40" t="str">
        <f>IFERROR(IF(Calc!E332&lt;=$C$4,Calc!D332,""),"")</f>
        <v/>
      </c>
      <c r="B332" s="40" t="str">
        <f>IFERROR(IF(Calc!E332&lt;=$C$4,CONCATENATE(TEXT(Calc!C332,"#0.000#")," || ",TEXT(INDEX(Calc!L332:P332,$B$4),"#0.000#")),""),"")</f>
        <v/>
      </c>
      <c r="C332" s="41" t="str">
        <f>IFERROR(IF(Calc!E332&lt;=$C$4,Calc!E332,""),"")</f>
        <v/>
      </c>
      <c r="D332" s="33" t="str">
        <f>IFERROR(IF(Calc!E332&lt;=$D$4,"Nice",""),"")</f>
        <v/>
      </c>
      <c r="E332" s="40" t="str">
        <f>IFERROR(IF(Calc!J332&lt;=$C$4,Calc!I332,""),"")</f>
        <v/>
      </c>
      <c r="F332" s="40" t="str">
        <f>IFERROR(IF(Calc!J332&lt;=$C$4,CONCATENATE(TEXT(Calc!H332,"#0.000#")," + ",TEXT(INDEX(Calc!L332:P332,$B$4),"#0.000#")),""),"")</f>
        <v/>
      </c>
      <c r="G332" s="41" t="str">
        <f>IFERROR(IF(Calc!J332&lt;=$C$4,Calc!J332,""),"")</f>
        <v/>
      </c>
      <c r="H332" s="33" t="str">
        <f>IFERROR(IF(Calc!J332&lt;=$D$4,"Nice",""),"")</f>
        <v/>
      </c>
      <c r="J332" s="7" t="str">
        <f>CONCATENATE("[",TEXT(Show!A332,"#.0#"),":",TEXT(Show!B332,"#.0#"),"][",TEXT(Show!E332,"#.0#"),":",TEXT(Show!F332,"#.0#"),"]")</f>
        <v>[:][:]</v>
      </c>
    </row>
    <row r="333" spans="1:10" hidden="1" x14ac:dyDescent="0.25">
      <c r="A333" s="40" t="str">
        <f>IFERROR(IF(Calc!E333&lt;=$C$4,Calc!D333,""),"")</f>
        <v/>
      </c>
      <c r="B333" s="40" t="str">
        <f>IFERROR(IF(Calc!E333&lt;=$C$4,CONCATENATE(TEXT(Calc!C333,"#0.000#")," || ",TEXT(INDEX(Calc!L333:P333,$B$4),"#0.000#")),""),"")</f>
        <v/>
      </c>
      <c r="C333" s="41" t="str">
        <f>IFERROR(IF(Calc!E333&lt;=$C$4,Calc!E333,""),"")</f>
        <v/>
      </c>
      <c r="D333" s="33" t="str">
        <f>IFERROR(IF(Calc!E333&lt;=$D$4,"Nice",""),"")</f>
        <v/>
      </c>
      <c r="E333" s="40" t="str">
        <f>IFERROR(IF(Calc!J333&lt;=$C$4,Calc!I333,""),"")</f>
        <v/>
      </c>
      <c r="F333" s="40" t="str">
        <f>IFERROR(IF(Calc!J333&lt;=$C$4,CONCATENATE(TEXT(Calc!H333,"#0.000#")," + ",TEXT(INDEX(Calc!L333:P333,$B$4),"#0.000#")),""),"")</f>
        <v/>
      </c>
      <c r="G333" s="41" t="str">
        <f>IFERROR(IF(Calc!J333&lt;=$C$4,Calc!J333,""),"")</f>
        <v/>
      </c>
      <c r="H333" s="33" t="str">
        <f>IFERROR(IF(Calc!J333&lt;=$D$4,"Nice",""),"")</f>
        <v/>
      </c>
      <c r="J333" s="7" t="str">
        <f>CONCATENATE("[",TEXT(Show!A333,"#.0#"),":",TEXT(Show!B333,"#.0#"),"][",TEXT(Show!E333,"#.0#"),":",TEXT(Show!F333,"#.0#"),"]")</f>
        <v>[:][:]</v>
      </c>
    </row>
    <row r="334" spans="1:10" hidden="1" x14ac:dyDescent="0.25">
      <c r="A334" s="40" t="str">
        <f>IFERROR(IF(Calc!E334&lt;=$C$4,Calc!D334,""),"")</f>
        <v/>
      </c>
      <c r="B334" s="40" t="str">
        <f>IFERROR(IF(Calc!E334&lt;=$C$4,CONCATENATE(TEXT(Calc!C334,"#0.000#")," || ",TEXT(INDEX(Calc!L334:P334,$B$4),"#0.000#")),""),"")</f>
        <v/>
      </c>
      <c r="C334" s="41" t="str">
        <f>IFERROR(IF(Calc!E334&lt;=$C$4,Calc!E334,""),"")</f>
        <v/>
      </c>
      <c r="D334" s="33" t="str">
        <f>IFERROR(IF(Calc!E334&lt;=$D$4,"Nice",""),"")</f>
        <v/>
      </c>
      <c r="E334" s="40" t="str">
        <f>IFERROR(IF(Calc!J334&lt;=$C$4,Calc!I334,""),"")</f>
        <v/>
      </c>
      <c r="F334" s="40" t="str">
        <f>IFERROR(IF(Calc!J334&lt;=$C$4,CONCATENATE(TEXT(Calc!H334,"#0.000#")," + ",TEXT(INDEX(Calc!L334:P334,$B$4),"#0.000#")),""),"")</f>
        <v/>
      </c>
      <c r="G334" s="41" t="str">
        <f>IFERROR(IF(Calc!J334&lt;=$C$4,Calc!J334,""),"")</f>
        <v/>
      </c>
      <c r="H334" s="33" t="str">
        <f>IFERROR(IF(Calc!J334&lt;=$D$4,"Nice",""),"")</f>
        <v/>
      </c>
      <c r="J334" s="7" t="str">
        <f>CONCATENATE("[",TEXT(Show!A334,"#.0#"),":",TEXT(Show!B334,"#.0#"),"][",TEXT(Show!E334,"#.0#"),":",TEXT(Show!F334,"#.0#"),"]")</f>
        <v>[:][:]</v>
      </c>
    </row>
    <row r="335" spans="1:10" hidden="1" x14ac:dyDescent="0.25">
      <c r="A335" s="40" t="str">
        <f>IFERROR(IF(Calc!E335&lt;=$C$4,Calc!D335,""),"")</f>
        <v/>
      </c>
      <c r="B335" s="40" t="str">
        <f>IFERROR(IF(Calc!E335&lt;=$C$4,CONCATENATE(TEXT(Calc!C335,"#0.000#")," || ",TEXT(INDEX(Calc!L335:P335,$B$4),"#0.000#")),""),"")</f>
        <v/>
      </c>
      <c r="C335" s="41" t="str">
        <f>IFERROR(IF(Calc!E335&lt;=$C$4,Calc!E335,""),"")</f>
        <v/>
      </c>
      <c r="D335" s="33" t="str">
        <f>IFERROR(IF(Calc!E335&lt;=$D$4,"Nice",""),"")</f>
        <v/>
      </c>
      <c r="E335" s="40" t="str">
        <f>IFERROR(IF(Calc!J335&lt;=$C$4,Calc!I335,""),"")</f>
        <v/>
      </c>
      <c r="F335" s="40" t="str">
        <f>IFERROR(IF(Calc!J335&lt;=$C$4,CONCATENATE(TEXT(Calc!H335,"#0.000#")," + ",TEXT(INDEX(Calc!L335:P335,$B$4),"#0.000#")),""),"")</f>
        <v/>
      </c>
      <c r="G335" s="41" t="str">
        <f>IFERROR(IF(Calc!J335&lt;=$C$4,Calc!J335,""),"")</f>
        <v/>
      </c>
      <c r="H335" s="33" t="str">
        <f>IFERROR(IF(Calc!J335&lt;=$D$4,"Nice",""),"")</f>
        <v/>
      </c>
      <c r="J335" s="7" t="str">
        <f>CONCATENATE("[",TEXT(Show!A335,"#.0#"),":",TEXT(Show!B335,"#.0#"),"][",TEXT(Show!E335,"#.0#"),":",TEXT(Show!F335,"#.0#"),"]")</f>
        <v>[:][:]</v>
      </c>
    </row>
    <row r="336" spans="1:10" hidden="1" x14ac:dyDescent="0.25">
      <c r="A336" s="40" t="str">
        <f>IFERROR(IF(Calc!E336&lt;=$C$4,Calc!D336,""),"")</f>
        <v/>
      </c>
      <c r="B336" s="40" t="str">
        <f>IFERROR(IF(Calc!E336&lt;=$C$4,CONCATENATE(TEXT(Calc!C336,"#0.000#")," || ",TEXT(INDEX(Calc!L336:P336,$B$4),"#0.000#")),""),"")</f>
        <v/>
      </c>
      <c r="C336" s="41" t="str">
        <f>IFERROR(IF(Calc!E336&lt;=$C$4,Calc!E336,""),"")</f>
        <v/>
      </c>
      <c r="D336" s="33" t="str">
        <f>IFERROR(IF(Calc!E336&lt;=$D$4,"Nice",""),"")</f>
        <v/>
      </c>
      <c r="E336" s="40" t="str">
        <f>IFERROR(IF(Calc!J336&lt;=$C$4,Calc!I336,""),"")</f>
        <v/>
      </c>
      <c r="F336" s="40" t="str">
        <f>IFERROR(IF(Calc!J336&lt;=$C$4,CONCATENATE(TEXT(Calc!H336,"#0.000#")," + ",TEXT(INDEX(Calc!L336:P336,$B$4),"#0.000#")),""),"")</f>
        <v/>
      </c>
      <c r="G336" s="41" t="str">
        <f>IFERROR(IF(Calc!J336&lt;=$C$4,Calc!J336,""),"")</f>
        <v/>
      </c>
      <c r="H336" s="33" t="str">
        <f>IFERROR(IF(Calc!J336&lt;=$D$4,"Nice",""),"")</f>
        <v/>
      </c>
      <c r="J336" s="7" t="str">
        <f>CONCATENATE("[",TEXT(Show!A336,"#.0#"),":",TEXT(Show!B336,"#.0#"),"][",TEXT(Show!E336,"#.0#"),":",TEXT(Show!F336,"#.0#"),"]")</f>
        <v>[:][:]</v>
      </c>
    </row>
    <row r="337" spans="1:10" x14ac:dyDescent="0.25">
      <c r="A337" s="40">
        <f>IFERROR(IF(Calc!E337&lt;=$C$4,Calc!D337,""),"")</f>
        <v>39.942411517696456</v>
      </c>
      <c r="B337" s="40" t="str">
        <f>IFERROR(IF(Calc!E337&lt;=$C$4,CONCATENATE(TEXT(Calc!C337,"#0.000#")," || ",TEXT(INDEX(Calc!L337:P337,$B$4),"#0.000#")),""),"")</f>
        <v>46.400 || 287.000</v>
      </c>
      <c r="C337" s="41">
        <f>IFERROR(IF(Calc!E337&lt;=$C$4,Calc!E337,""),"")</f>
        <v>0.14397120575885936</v>
      </c>
      <c r="D337" s="33" t="str">
        <f>IFERROR(IF(Calc!E337&lt;=$D$4,"Nice",""),"")</f>
        <v>Nice</v>
      </c>
      <c r="E337" s="40" t="str">
        <f>IFERROR(IF(Calc!J337&lt;=$C$4,Calc!I337,""),"")</f>
        <v/>
      </c>
      <c r="F337" s="40" t="str">
        <f>IFERROR(IF(Calc!J337&lt;=$C$4,CONCATENATE(TEXT(Calc!H337,"#0.000#")," + ",TEXT(INDEX(Calc!L337:P337,$B$4),"#0.000#")),""),"")</f>
        <v/>
      </c>
      <c r="G337" s="41" t="str">
        <f>IFERROR(IF(Calc!J337&lt;=$C$4,Calc!J337,""),"")</f>
        <v/>
      </c>
      <c r="H337" s="33" t="str">
        <f>IFERROR(IF(Calc!J337&lt;=$D$4,"Nice",""),"")</f>
        <v/>
      </c>
      <c r="J337" s="7" t="str">
        <f>CONCATENATE("[",TEXT(Show!A337,"#.0#"),":",TEXT(Show!B337,"#.0#"),"][",TEXT(Show!E337,"#.0#"),":",TEXT(Show!F337,"#.0#"),"]")</f>
        <v>[39.94:46.400 || 287.000][:]</v>
      </c>
    </row>
    <row r="338" spans="1:10" hidden="1" x14ac:dyDescent="0.25">
      <c r="A338" s="40">
        <f>IFERROR(IF(Calc!E338&lt;=$C$4,Calc!D338,""),"")</f>
        <v>39.942411517696456</v>
      </c>
      <c r="B338" s="40" t="str">
        <f>IFERROR(IF(Calc!E338&lt;=$C$4,CONCATENATE(TEXT(Calc!C338,"#0.000#")," || ",TEXT(INDEX(Calc!L338:P338,$B$4),"#0.000#")),""),"")</f>
        <v>46.400 || 287.000</v>
      </c>
      <c r="C338" s="41">
        <f>IFERROR(IF(Calc!E338&lt;=$C$4,Calc!E338,""),"")</f>
        <v>0.14397120575885936</v>
      </c>
      <c r="D338" s="33" t="str">
        <f>IFERROR(IF(Calc!E338&lt;=$D$4,"Nice",""),"")</f>
        <v>Nice</v>
      </c>
      <c r="E338" s="40" t="str">
        <f>IFERROR(IF(Calc!J338&lt;=$C$4,Calc!I338,""),"")</f>
        <v/>
      </c>
      <c r="F338" s="40" t="str">
        <f>IFERROR(IF(Calc!J338&lt;=$C$4,CONCATENATE(TEXT(Calc!H338,"#0.000#")," + ",TEXT(INDEX(Calc!L338:P338,$B$4),"#0.000#")),""),"")</f>
        <v/>
      </c>
      <c r="G338" s="41" t="str">
        <f>IFERROR(IF(Calc!J338&lt;=$C$4,Calc!J338,""),"")</f>
        <v/>
      </c>
      <c r="H338" s="33" t="str">
        <f>IFERROR(IF(Calc!J338&lt;=$D$4,"Nice",""),"")</f>
        <v/>
      </c>
      <c r="J338" s="7" t="str">
        <f>CONCATENATE("[",TEXT(Show!A338,"#.0#"),":",TEXT(Show!B338,"#.0#"),"][",TEXT(Show!E338,"#.0#"),":",TEXT(Show!F338,"#.0#"),"]")</f>
        <v>[39.94:46.400 || 287.000][:]</v>
      </c>
    </row>
    <row r="339" spans="1:10" hidden="1" x14ac:dyDescent="0.25">
      <c r="A339" s="40">
        <f>IFERROR(IF(Calc!E339&lt;=$C$4,Calc!D339,""),"")</f>
        <v>39.942411517696456</v>
      </c>
      <c r="B339" s="40" t="str">
        <f>IFERROR(IF(Calc!E339&lt;=$C$4,CONCATENATE(TEXT(Calc!C339,"#0.000#")," || ",TEXT(INDEX(Calc!L339:P339,$B$4),"#0.000#")),""),"")</f>
        <v>46.400 || 287.000</v>
      </c>
      <c r="C339" s="41">
        <f>IFERROR(IF(Calc!E339&lt;=$C$4,Calc!E339,""),"")</f>
        <v>0.14397120575885936</v>
      </c>
      <c r="D339" s="33" t="str">
        <f>IFERROR(IF(Calc!E339&lt;=$D$4,"Nice",""),"")</f>
        <v>Nice</v>
      </c>
      <c r="E339" s="40" t="str">
        <f>IFERROR(IF(Calc!J339&lt;=$C$4,Calc!I339,""),"")</f>
        <v/>
      </c>
      <c r="F339" s="40" t="str">
        <f>IFERROR(IF(Calc!J339&lt;=$C$4,CONCATENATE(TEXT(Calc!H339,"#0.000#")," + ",TEXT(INDEX(Calc!L339:P339,$B$4),"#0.000#")),""),"")</f>
        <v/>
      </c>
      <c r="G339" s="41" t="str">
        <f>IFERROR(IF(Calc!J339&lt;=$C$4,Calc!J339,""),"")</f>
        <v/>
      </c>
      <c r="H339" s="33" t="str">
        <f>IFERROR(IF(Calc!J339&lt;=$D$4,"Nice",""),"")</f>
        <v/>
      </c>
      <c r="J339" s="7" t="str">
        <f>CONCATENATE("[",TEXT(Show!A339,"#.0#"),":",TEXT(Show!B339,"#.0#"),"][",TEXT(Show!E339,"#.0#"),":",TEXT(Show!F339,"#.0#"),"]")</f>
        <v>[39.94:46.400 || 287.000][:]</v>
      </c>
    </row>
    <row r="340" spans="1:10" hidden="1" x14ac:dyDescent="0.25">
      <c r="A340" s="40">
        <f>IFERROR(IF(Calc!E340&lt;=$C$4,Calc!D340,""),"")</f>
        <v>39.942411517696456</v>
      </c>
      <c r="B340" s="40" t="str">
        <f>IFERROR(IF(Calc!E340&lt;=$C$4,CONCATENATE(TEXT(Calc!C340,"#0.000#")," || ",TEXT(INDEX(Calc!L340:P340,$B$4),"#0.000#")),""),"")</f>
        <v>46.400 || 287.000</v>
      </c>
      <c r="C340" s="41">
        <f>IFERROR(IF(Calc!E340&lt;=$C$4,Calc!E340,""),"")</f>
        <v>0.14397120575885936</v>
      </c>
      <c r="D340" s="33" t="str">
        <f>IFERROR(IF(Calc!E340&lt;=$D$4,"Nice",""),"")</f>
        <v>Nice</v>
      </c>
      <c r="E340" s="40" t="str">
        <f>IFERROR(IF(Calc!J340&lt;=$C$4,Calc!I340,""),"")</f>
        <v/>
      </c>
      <c r="F340" s="40" t="str">
        <f>IFERROR(IF(Calc!J340&lt;=$C$4,CONCATENATE(TEXT(Calc!H340,"#0.000#")," + ",TEXT(INDEX(Calc!L340:P340,$B$4),"#0.000#")),""),"")</f>
        <v/>
      </c>
      <c r="G340" s="41" t="str">
        <f>IFERROR(IF(Calc!J340&lt;=$C$4,Calc!J340,""),"")</f>
        <v/>
      </c>
      <c r="H340" s="33" t="str">
        <f>IFERROR(IF(Calc!J340&lt;=$D$4,"Nice",""),"")</f>
        <v/>
      </c>
      <c r="J340" s="7" t="str">
        <f>CONCATENATE("[",TEXT(Show!A340,"#.0#"),":",TEXT(Show!B340,"#.0#"),"][",TEXT(Show!E340,"#.0#"),":",TEXT(Show!F340,"#.0#"),"]")</f>
        <v>[39.94:46.400 || 287.000][:]</v>
      </c>
    </row>
    <row r="341" spans="1:10" hidden="1" x14ac:dyDescent="0.25">
      <c r="A341" s="40" t="str">
        <f>IFERROR(IF(Calc!E341&lt;=$C$4,Calc!D341,""),"")</f>
        <v/>
      </c>
      <c r="B341" s="40" t="str">
        <f>IFERROR(IF(Calc!E341&lt;=$C$4,CONCATENATE(TEXT(Calc!C341,"#0.000#")," || ",TEXT(INDEX(Calc!L341:P341,$B$4),"#0.000#")),""),"")</f>
        <v/>
      </c>
      <c r="C341" s="41" t="str">
        <f>IFERROR(IF(Calc!E341&lt;=$C$4,Calc!E341,""),"")</f>
        <v/>
      </c>
      <c r="D341" s="33" t="str">
        <f>IFERROR(IF(Calc!E341&lt;=$D$4,"Nice",""),"")</f>
        <v/>
      </c>
      <c r="E341" s="40" t="str">
        <f>IFERROR(IF(Calc!J341&lt;=$C$4,Calc!I341,""),"")</f>
        <v/>
      </c>
      <c r="F341" s="40" t="str">
        <f>IFERROR(IF(Calc!J341&lt;=$C$4,CONCATENATE(TEXT(Calc!H341,"#0.000#")," + ",TEXT(INDEX(Calc!L341:P341,$B$4),"#0.000#")),""),"")</f>
        <v/>
      </c>
      <c r="G341" s="41" t="str">
        <f>IFERROR(IF(Calc!J341&lt;=$C$4,Calc!J341,""),"")</f>
        <v/>
      </c>
      <c r="H341" s="33" t="str">
        <f>IFERROR(IF(Calc!J341&lt;=$D$4,"Nice",""),"")</f>
        <v/>
      </c>
      <c r="J341" s="7" t="str">
        <f>CONCATENATE("[",TEXT(Show!A341,"#.0#"),":",TEXT(Show!B341,"#.0#"),"][",TEXT(Show!E341,"#.0#"),":",TEXT(Show!F341,"#.0#"),"]")</f>
        <v>[:][:]</v>
      </c>
    </row>
    <row r="342" spans="1:10" hidden="1" x14ac:dyDescent="0.25">
      <c r="A342" s="40" t="str">
        <f>IFERROR(IF(Calc!E342&lt;=$C$4,Calc!D342,""),"")</f>
        <v/>
      </c>
      <c r="B342" s="40" t="str">
        <f>IFERROR(IF(Calc!E342&lt;=$C$4,CONCATENATE(TEXT(Calc!C342,"#0.000#")," || ",TEXT(INDEX(Calc!L342:P342,$B$4),"#0.000#")),""),"")</f>
        <v/>
      </c>
      <c r="C342" s="41" t="str">
        <f>IFERROR(IF(Calc!E342&lt;=$C$4,Calc!E342,""),"")</f>
        <v/>
      </c>
      <c r="D342" s="33" t="str">
        <f>IFERROR(IF(Calc!E342&lt;=$D$4,"Nice",""),"")</f>
        <v/>
      </c>
      <c r="E342" s="40" t="str">
        <f>IFERROR(IF(Calc!J342&lt;=$C$4,Calc!I342,""),"")</f>
        <v/>
      </c>
      <c r="F342" s="40" t="str">
        <f>IFERROR(IF(Calc!J342&lt;=$C$4,CONCATENATE(TEXT(Calc!H342,"#0.000#")," + ",TEXT(INDEX(Calc!L342:P342,$B$4),"#0.000#")),""),"")</f>
        <v/>
      </c>
      <c r="G342" s="41" t="str">
        <f>IFERROR(IF(Calc!J342&lt;=$C$4,Calc!J342,""),"")</f>
        <v/>
      </c>
      <c r="H342" s="33" t="str">
        <f>IFERROR(IF(Calc!J342&lt;=$D$4,"Nice",""),"")</f>
        <v/>
      </c>
      <c r="J342" s="7" t="str">
        <f>CONCATENATE("[",TEXT(Show!A342,"#.0#"),":",TEXT(Show!B342,"#.0#"),"][",TEXT(Show!E342,"#.0#"),":",TEXT(Show!F342,"#.0#"),"]")</f>
        <v>[:][:]</v>
      </c>
    </row>
    <row r="343" spans="1:10" hidden="1" x14ac:dyDescent="0.25">
      <c r="A343" s="40" t="str">
        <f>IFERROR(IF(Calc!E343&lt;=$C$4,Calc!D343,""),"")</f>
        <v/>
      </c>
      <c r="B343" s="40" t="str">
        <f>IFERROR(IF(Calc!E343&lt;=$C$4,CONCATENATE(TEXT(Calc!C343,"#0.000#")," || ",TEXT(INDEX(Calc!L343:P343,$B$4),"#0.000#")),""),"")</f>
        <v/>
      </c>
      <c r="C343" s="41" t="str">
        <f>IFERROR(IF(Calc!E343&lt;=$C$4,Calc!E343,""),"")</f>
        <v/>
      </c>
      <c r="D343" s="33" t="str">
        <f>IFERROR(IF(Calc!E343&lt;=$D$4,"Nice",""),"")</f>
        <v/>
      </c>
      <c r="E343" s="40" t="str">
        <f>IFERROR(IF(Calc!J343&lt;=$C$4,Calc!I343,""),"")</f>
        <v/>
      </c>
      <c r="F343" s="40" t="str">
        <f>IFERROR(IF(Calc!J343&lt;=$C$4,CONCATENATE(TEXT(Calc!H343,"#0.000#")," + ",TEXT(INDEX(Calc!L343:P343,$B$4),"#0.000#")),""),"")</f>
        <v/>
      </c>
      <c r="G343" s="41" t="str">
        <f>IFERROR(IF(Calc!J343&lt;=$C$4,Calc!J343,""),"")</f>
        <v/>
      </c>
      <c r="H343" s="33" t="str">
        <f>IFERROR(IF(Calc!J343&lt;=$D$4,"Nice",""),"")</f>
        <v/>
      </c>
      <c r="J343" s="7" t="str">
        <f>CONCATENATE("[",TEXT(Show!A343,"#.0#"),":",TEXT(Show!B343,"#.0#"),"][",TEXT(Show!E343,"#.0#"),":",TEXT(Show!F343,"#.0#"),"]")</f>
        <v>[:][:]</v>
      </c>
    </row>
    <row r="344" spans="1:10" hidden="1" x14ac:dyDescent="0.25">
      <c r="A344" s="40" t="str">
        <f>IFERROR(IF(Calc!E344&lt;=$C$4,Calc!D344,""),"")</f>
        <v/>
      </c>
      <c r="B344" s="40" t="str">
        <f>IFERROR(IF(Calc!E344&lt;=$C$4,CONCATENATE(TEXT(Calc!C344,"#0.000#")," || ",TEXT(INDEX(Calc!L344:P344,$B$4),"#0.000#")),""),"")</f>
        <v/>
      </c>
      <c r="C344" s="41" t="str">
        <f>IFERROR(IF(Calc!E344&lt;=$C$4,Calc!E344,""),"")</f>
        <v/>
      </c>
      <c r="D344" s="33" t="str">
        <f>IFERROR(IF(Calc!E344&lt;=$D$4,"Nice",""),"")</f>
        <v/>
      </c>
      <c r="E344" s="40" t="str">
        <f>IFERROR(IF(Calc!J344&lt;=$C$4,Calc!I344,""),"")</f>
        <v/>
      </c>
      <c r="F344" s="40" t="str">
        <f>IFERROR(IF(Calc!J344&lt;=$C$4,CONCATENATE(TEXT(Calc!H344,"#0.000#")," + ",TEXT(INDEX(Calc!L344:P344,$B$4),"#0.000#")),""),"")</f>
        <v/>
      </c>
      <c r="G344" s="41" t="str">
        <f>IFERROR(IF(Calc!J344&lt;=$C$4,Calc!J344,""),"")</f>
        <v/>
      </c>
      <c r="H344" s="33" t="str">
        <f>IFERROR(IF(Calc!J344&lt;=$D$4,"Nice",""),"")</f>
        <v/>
      </c>
      <c r="J344" s="7" t="str">
        <f>CONCATENATE("[",TEXT(Show!A344,"#.0#"),":",TEXT(Show!B344,"#.0#"),"][",TEXT(Show!E344,"#.0#"),":",TEXT(Show!F344,"#.0#"),"]")</f>
        <v>[:][:]</v>
      </c>
    </row>
    <row r="345" spans="1:10" hidden="1" x14ac:dyDescent="0.25">
      <c r="A345" s="40" t="str">
        <f>IFERROR(IF(Calc!E345&lt;=$C$4,Calc!D345,""),"")</f>
        <v/>
      </c>
      <c r="B345" s="40" t="str">
        <f>IFERROR(IF(Calc!E345&lt;=$C$4,CONCATENATE(TEXT(Calc!C345,"#0.000#")," || ",TEXT(INDEX(Calc!L345:P345,$B$4),"#0.000#")),""),"")</f>
        <v/>
      </c>
      <c r="C345" s="41" t="str">
        <f>IFERROR(IF(Calc!E345&lt;=$C$4,Calc!E345,""),"")</f>
        <v/>
      </c>
      <c r="D345" s="33" t="str">
        <f>IFERROR(IF(Calc!E345&lt;=$D$4,"Nice",""),"")</f>
        <v/>
      </c>
      <c r="E345" s="40" t="str">
        <f>IFERROR(IF(Calc!J345&lt;=$C$4,Calc!I345,""),"")</f>
        <v/>
      </c>
      <c r="F345" s="40" t="str">
        <f>IFERROR(IF(Calc!J345&lt;=$C$4,CONCATENATE(TEXT(Calc!H345,"#0.000#")," + ",TEXT(INDEX(Calc!L345:P345,$B$4),"#0.000#")),""),"")</f>
        <v/>
      </c>
      <c r="G345" s="41" t="str">
        <f>IFERROR(IF(Calc!J345&lt;=$C$4,Calc!J345,""),"")</f>
        <v/>
      </c>
      <c r="H345" s="33" t="str">
        <f>IFERROR(IF(Calc!J345&lt;=$D$4,"Nice",""),"")</f>
        <v/>
      </c>
      <c r="J345" s="7" t="str">
        <f>CONCATENATE("[",TEXT(Show!A345,"#.0#"),":",TEXT(Show!B345,"#.0#"),"][",TEXT(Show!E345,"#.0#"),":",TEXT(Show!F345,"#.0#"),"]")</f>
        <v>[:][:]</v>
      </c>
    </row>
    <row r="346" spans="1:10" hidden="1" x14ac:dyDescent="0.25">
      <c r="A346" s="40" t="str">
        <f>IFERROR(IF(Calc!E346&lt;=$C$4,Calc!D346,""),"")</f>
        <v/>
      </c>
      <c r="B346" s="40" t="str">
        <f>IFERROR(IF(Calc!E346&lt;=$C$4,CONCATENATE(TEXT(Calc!C346,"#0.000#")," || ",TEXT(INDEX(Calc!L346:P346,$B$4),"#0.000#")),""),"")</f>
        <v/>
      </c>
      <c r="C346" s="41" t="str">
        <f>IFERROR(IF(Calc!E346&lt;=$C$4,Calc!E346,""),"")</f>
        <v/>
      </c>
      <c r="D346" s="33" t="str">
        <f>IFERROR(IF(Calc!E346&lt;=$D$4,"Nice",""),"")</f>
        <v/>
      </c>
      <c r="E346" s="40" t="str">
        <f>IFERROR(IF(Calc!J346&lt;=$C$4,Calc!I346,""),"")</f>
        <v/>
      </c>
      <c r="F346" s="40" t="str">
        <f>IFERROR(IF(Calc!J346&lt;=$C$4,CONCATENATE(TEXT(Calc!H346,"#0.000#")," + ",TEXT(INDEX(Calc!L346:P346,$B$4),"#0.000#")),""),"")</f>
        <v/>
      </c>
      <c r="G346" s="41" t="str">
        <f>IFERROR(IF(Calc!J346&lt;=$C$4,Calc!J346,""),"")</f>
        <v/>
      </c>
      <c r="H346" s="33" t="str">
        <f>IFERROR(IF(Calc!J346&lt;=$D$4,"Nice",""),"")</f>
        <v/>
      </c>
      <c r="J346" s="7" t="str">
        <f>CONCATENATE("[",TEXT(Show!A346,"#.0#"),":",TEXT(Show!B346,"#.0#"),"][",TEXT(Show!E346,"#.0#"),":",TEXT(Show!F346,"#.0#"),"]")</f>
        <v>[:][:]</v>
      </c>
    </row>
    <row r="347" spans="1:10" hidden="1" x14ac:dyDescent="0.25">
      <c r="A347" s="40" t="str">
        <f>IFERROR(IF(Calc!E347&lt;=$C$4,Calc!D347,""),"")</f>
        <v/>
      </c>
      <c r="B347" s="40" t="str">
        <f>IFERROR(IF(Calc!E347&lt;=$C$4,CONCATENATE(TEXT(Calc!C347,"#0.000#")," || ",TEXT(INDEX(Calc!L347:P347,$B$4),"#0.000#")),""),"")</f>
        <v/>
      </c>
      <c r="C347" s="41" t="str">
        <f>IFERROR(IF(Calc!E347&lt;=$C$4,Calc!E347,""),"")</f>
        <v/>
      </c>
      <c r="D347" s="33" t="str">
        <f>IFERROR(IF(Calc!E347&lt;=$D$4,"Nice",""),"")</f>
        <v/>
      </c>
      <c r="E347" s="40" t="str">
        <f>IFERROR(IF(Calc!J347&lt;=$C$4,Calc!I347,""),"")</f>
        <v/>
      </c>
      <c r="F347" s="40" t="str">
        <f>IFERROR(IF(Calc!J347&lt;=$C$4,CONCATENATE(TEXT(Calc!H347,"#0.000#")," + ",TEXT(INDEX(Calc!L347:P347,$B$4),"#0.000#")),""),"")</f>
        <v/>
      </c>
      <c r="G347" s="41" t="str">
        <f>IFERROR(IF(Calc!J347&lt;=$C$4,Calc!J347,""),"")</f>
        <v/>
      </c>
      <c r="H347" s="33" t="str">
        <f>IFERROR(IF(Calc!J347&lt;=$D$4,"Nice",""),"")</f>
        <v/>
      </c>
      <c r="J347" s="7" t="str">
        <f>CONCATENATE("[",TEXT(Show!A347,"#.0#"),":",TEXT(Show!B347,"#.0#"),"][",TEXT(Show!E347,"#.0#"),":",TEXT(Show!F347,"#.0#"),"]")</f>
        <v>[:][:]</v>
      </c>
    </row>
    <row r="348" spans="1:10" hidden="1" x14ac:dyDescent="0.25">
      <c r="A348" s="40" t="str">
        <f>IFERROR(IF(Calc!E348&lt;=$C$4,Calc!D348,""),"")</f>
        <v/>
      </c>
      <c r="B348" s="40" t="str">
        <f>IFERROR(IF(Calc!E348&lt;=$C$4,CONCATENATE(TEXT(Calc!C348,"#0.000#")," || ",TEXT(INDEX(Calc!L348:P348,$B$4),"#0.000#")),""),"")</f>
        <v/>
      </c>
      <c r="C348" s="41" t="str">
        <f>IFERROR(IF(Calc!E348&lt;=$C$4,Calc!E348,""),"")</f>
        <v/>
      </c>
      <c r="D348" s="33" t="str">
        <f>IFERROR(IF(Calc!E348&lt;=$D$4,"Nice",""),"")</f>
        <v/>
      </c>
      <c r="E348" s="40" t="str">
        <f>IFERROR(IF(Calc!J348&lt;=$C$4,Calc!I348,""),"")</f>
        <v/>
      </c>
      <c r="F348" s="40" t="str">
        <f>IFERROR(IF(Calc!J348&lt;=$C$4,CONCATENATE(TEXT(Calc!H348,"#0.000#")," + ",TEXT(INDEX(Calc!L348:P348,$B$4),"#0.000#")),""),"")</f>
        <v/>
      </c>
      <c r="G348" s="41" t="str">
        <f>IFERROR(IF(Calc!J348&lt;=$C$4,Calc!J348,""),"")</f>
        <v/>
      </c>
      <c r="H348" s="33" t="str">
        <f>IFERROR(IF(Calc!J348&lt;=$D$4,"Nice",""),"")</f>
        <v/>
      </c>
      <c r="J348" s="7" t="str">
        <f>CONCATENATE("[",TEXT(Show!A348,"#.0#"),":",TEXT(Show!B348,"#.0#"),"][",TEXT(Show!E348,"#.0#"),":",TEXT(Show!F348,"#.0#"),"]")</f>
        <v>[:][:]</v>
      </c>
    </row>
    <row r="349" spans="1:10" hidden="1" x14ac:dyDescent="0.25">
      <c r="A349" s="40" t="str">
        <f>IFERROR(IF(Calc!E349&lt;=$C$4,Calc!D349,""),"")</f>
        <v/>
      </c>
      <c r="B349" s="40" t="str">
        <f>IFERROR(IF(Calc!E349&lt;=$C$4,CONCATENATE(TEXT(Calc!C349,"#0.000#")," || ",TEXT(INDEX(Calc!L349:P349,$B$4),"#0.000#")),""),"")</f>
        <v/>
      </c>
      <c r="C349" s="41" t="str">
        <f>IFERROR(IF(Calc!E349&lt;=$C$4,Calc!E349,""),"")</f>
        <v/>
      </c>
      <c r="D349" s="33" t="str">
        <f>IFERROR(IF(Calc!E349&lt;=$D$4,"Nice",""),"")</f>
        <v/>
      </c>
      <c r="E349" s="40" t="str">
        <f>IFERROR(IF(Calc!J349&lt;=$C$4,Calc!I349,""),"")</f>
        <v/>
      </c>
      <c r="F349" s="40" t="str">
        <f>IFERROR(IF(Calc!J349&lt;=$C$4,CONCATENATE(TEXT(Calc!H349,"#0.000#")," + ",TEXT(INDEX(Calc!L349:P349,$B$4),"#0.000#")),""),"")</f>
        <v/>
      </c>
      <c r="G349" s="41" t="str">
        <f>IFERROR(IF(Calc!J349&lt;=$C$4,Calc!J349,""),"")</f>
        <v/>
      </c>
      <c r="H349" s="33" t="str">
        <f>IFERROR(IF(Calc!J349&lt;=$D$4,"Nice",""),"")</f>
        <v/>
      </c>
      <c r="J349" s="7" t="str">
        <f>CONCATENATE("[",TEXT(Show!A349,"#.0#"),":",TEXT(Show!B349,"#.0#"),"][",TEXT(Show!E349,"#.0#"),":",TEXT(Show!F349,"#.0#"),"]")</f>
        <v>[:][:]</v>
      </c>
    </row>
    <row r="350" spans="1:10" hidden="1" x14ac:dyDescent="0.25">
      <c r="A350" s="40" t="str">
        <f>IFERROR(IF(Calc!E350&lt;=$C$4,Calc!D350,""),"")</f>
        <v/>
      </c>
      <c r="B350" s="40" t="str">
        <f>IFERROR(IF(Calc!E350&lt;=$C$4,CONCATENATE(TEXT(Calc!C350,"#0.000#")," || ",TEXT(INDEX(Calc!L350:P350,$B$4),"#0.000#")),""),"")</f>
        <v/>
      </c>
      <c r="C350" s="41" t="str">
        <f>IFERROR(IF(Calc!E350&lt;=$C$4,Calc!E350,""),"")</f>
        <v/>
      </c>
      <c r="D350" s="33" t="str">
        <f>IFERROR(IF(Calc!E350&lt;=$D$4,"Nice",""),"")</f>
        <v/>
      </c>
      <c r="E350" s="40" t="str">
        <f>IFERROR(IF(Calc!J350&lt;=$C$4,Calc!I350,""),"")</f>
        <v/>
      </c>
      <c r="F350" s="40" t="str">
        <f>IFERROR(IF(Calc!J350&lt;=$C$4,CONCATENATE(TEXT(Calc!H350,"#0.000#")," + ",TEXT(INDEX(Calc!L350:P350,$B$4),"#0.000#")),""),"")</f>
        <v/>
      </c>
      <c r="G350" s="41" t="str">
        <f>IFERROR(IF(Calc!J350&lt;=$C$4,Calc!J350,""),"")</f>
        <v/>
      </c>
      <c r="H350" s="33" t="str">
        <f>IFERROR(IF(Calc!J350&lt;=$D$4,"Nice",""),"")</f>
        <v/>
      </c>
      <c r="J350" s="7" t="str">
        <f>CONCATENATE("[",TEXT(Show!A350,"#.0#"),":",TEXT(Show!B350,"#.0#"),"][",TEXT(Show!E350,"#.0#"),":",TEXT(Show!F350,"#.0#"),"]")</f>
        <v>[:][:]</v>
      </c>
    </row>
    <row r="351" spans="1:10" hidden="1" x14ac:dyDescent="0.25">
      <c r="A351" s="40" t="str">
        <f>IFERROR(IF(Calc!E351&lt;=$C$4,Calc!D351,""),"")</f>
        <v/>
      </c>
      <c r="B351" s="40" t="str">
        <f>IFERROR(IF(Calc!E351&lt;=$C$4,CONCATENATE(TEXT(Calc!C351,"#0.000#")," || ",TEXT(INDEX(Calc!L351:P351,$B$4),"#0.000#")),""),"")</f>
        <v/>
      </c>
      <c r="C351" s="41" t="str">
        <f>IFERROR(IF(Calc!E351&lt;=$C$4,Calc!E351,""),"")</f>
        <v/>
      </c>
      <c r="D351" s="33" t="str">
        <f>IFERROR(IF(Calc!E351&lt;=$D$4,"Nice",""),"")</f>
        <v/>
      </c>
      <c r="E351" s="40" t="str">
        <f>IFERROR(IF(Calc!J351&lt;=$C$4,Calc!I351,""),"")</f>
        <v/>
      </c>
      <c r="F351" s="40" t="str">
        <f>IFERROR(IF(Calc!J351&lt;=$C$4,CONCATENATE(TEXT(Calc!H351,"#0.000#")," + ",TEXT(INDEX(Calc!L351:P351,$B$4),"#0.000#")),""),"")</f>
        <v/>
      </c>
      <c r="G351" s="41" t="str">
        <f>IFERROR(IF(Calc!J351&lt;=$C$4,Calc!J351,""),"")</f>
        <v/>
      </c>
      <c r="H351" s="33" t="str">
        <f>IFERROR(IF(Calc!J351&lt;=$D$4,"Nice",""),"")</f>
        <v/>
      </c>
      <c r="J351" s="7" t="str">
        <f>CONCATENATE("[",TEXT(Show!A351,"#.0#"),":",TEXT(Show!B351,"#.0#"),"][",TEXT(Show!E351,"#.0#"),":",TEXT(Show!F351,"#.0#"),"]")</f>
        <v>[:][:]</v>
      </c>
    </row>
    <row r="352" spans="1:10" hidden="1" x14ac:dyDescent="0.25">
      <c r="A352" s="40" t="str">
        <f>IFERROR(IF(Calc!E352&lt;=$C$4,Calc!D352,""),"")</f>
        <v/>
      </c>
      <c r="B352" s="40" t="str">
        <f>IFERROR(IF(Calc!E352&lt;=$C$4,CONCATENATE(TEXT(Calc!C352,"#0.000#")," || ",TEXT(INDEX(Calc!L352:P352,$B$4),"#0.000#")),""),"")</f>
        <v/>
      </c>
      <c r="C352" s="41" t="str">
        <f>IFERROR(IF(Calc!E352&lt;=$C$4,Calc!E352,""),"")</f>
        <v/>
      </c>
      <c r="D352" s="33" t="str">
        <f>IFERROR(IF(Calc!E352&lt;=$D$4,"Nice",""),"")</f>
        <v/>
      </c>
      <c r="E352" s="40" t="str">
        <f>IFERROR(IF(Calc!J352&lt;=$C$4,Calc!I352,""),"")</f>
        <v/>
      </c>
      <c r="F352" s="40" t="str">
        <f>IFERROR(IF(Calc!J352&lt;=$C$4,CONCATENATE(TEXT(Calc!H352,"#0.000#")," + ",TEXT(INDEX(Calc!L352:P352,$B$4),"#0.000#")),""),"")</f>
        <v/>
      </c>
      <c r="G352" s="41" t="str">
        <f>IFERROR(IF(Calc!J352&lt;=$C$4,Calc!J352,""),"")</f>
        <v/>
      </c>
      <c r="H352" s="33" t="str">
        <f>IFERROR(IF(Calc!J352&lt;=$D$4,"Nice",""),"")</f>
        <v/>
      </c>
      <c r="J352" s="7" t="str">
        <f>CONCATENATE("[",TEXT(Show!A352,"#.0#"),":",TEXT(Show!B352,"#.0#"),"][",TEXT(Show!E352,"#.0#"),":",TEXT(Show!F352,"#.0#"),"]")</f>
        <v>[:][:]</v>
      </c>
    </row>
    <row r="353" spans="1:10" hidden="1" x14ac:dyDescent="0.25">
      <c r="A353" s="40" t="str">
        <f>IFERROR(IF(Calc!E353&lt;=$C$4,Calc!D353,""),"")</f>
        <v/>
      </c>
      <c r="B353" s="40" t="str">
        <f>IFERROR(IF(Calc!E353&lt;=$C$4,CONCATENATE(TEXT(Calc!C353,"#0.000#")," || ",TEXT(INDEX(Calc!L353:P353,$B$4),"#0.000#")),""),"")</f>
        <v/>
      </c>
      <c r="C353" s="41" t="str">
        <f>IFERROR(IF(Calc!E353&lt;=$C$4,Calc!E353,""),"")</f>
        <v/>
      </c>
      <c r="D353" s="33" t="str">
        <f>IFERROR(IF(Calc!E353&lt;=$D$4,"Nice",""),"")</f>
        <v/>
      </c>
      <c r="E353" s="40" t="str">
        <f>IFERROR(IF(Calc!J353&lt;=$C$4,Calc!I353,""),"")</f>
        <v/>
      </c>
      <c r="F353" s="40" t="str">
        <f>IFERROR(IF(Calc!J353&lt;=$C$4,CONCATENATE(TEXT(Calc!H353,"#0.000#")," + ",TEXT(INDEX(Calc!L353:P353,$B$4),"#0.000#")),""),"")</f>
        <v/>
      </c>
      <c r="G353" s="41" t="str">
        <f>IFERROR(IF(Calc!J353&lt;=$C$4,Calc!J353,""),"")</f>
        <v/>
      </c>
      <c r="H353" s="33" t="str">
        <f>IFERROR(IF(Calc!J353&lt;=$D$4,"Nice",""),"")</f>
        <v/>
      </c>
      <c r="J353" s="7" t="str">
        <f>CONCATENATE("[",TEXT(Show!A353,"#.0#"),":",TEXT(Show!B353,"#.0#"),"][",TEXT(Show!E353,"#.0#"),":",TEXT(Show!F353,"#.0#"),"]")</f>
        <v>[:][:]</v>
      </c>
    </row>
    <row r="354" spans="1:10" hidden="1" x14ac:dyDescent="0.25">
      <c r="A354" s="40" t="str">
        <f>IFERROR(IF(Calc!E354&lt;=$C$4,Calc!D354,""),"")</f>
        <v/>
      </c>
      <c r="B354" s="40" t="str">
        <f>IFERROR(IF(Calc!E354&lt;=$C$4,CONCATENATE(TEXT(Calc!C354,"#0.000#")," || ",TEXT(INDEX(Calc!L354:P354,$B$4),"#0.000#")),""),"")</f>
        <v/>
      </c>
      <c r="C354" s="41" t="str">
        <f>IFERROR(IF(Calc!E354&lt;=$C$4,Calc!E354,""),"")</f>
        <v/>
      </c>
      <c r="D354" s="33" t="str">
        <f>IFERROR(IF(Calc!E354&lt;=$D$4,"Nice",""),"")</f>
        <v/>
      </c>
      <c r="E354" s="40" t="str">
        <f>IFERROR(IF(Calc!J354&lt;=$C$4,Calc!I354,""),"")</f>
        <v/>
      </c>
      <c r="F354" s="40" t="str">
        <f>IFERROR(IF(Calc!J354&lt;=$C$4,CONCATENATE(TEXT(Calc!H354,"#0.000#")," + ",TEXT(INDEX(Calc!L354:P354,$B$4),"#0.000#")),""),"")</f>
        <v/>
      </c>
      <c r="G354" s="41" t="str">
        <f>IFERROR(IF(Calc!J354&lt;=$C$4,Calc!J354,""),"")</f>
        <v/>
      </c>
      <c r="H354" s="33" t="str">
        <f>IFERROR(IF(Calc!J354&lt;=$D$4,"Nice",""),"")</f>
        <v/>
      </c>
      <c r="J354" s="7" t="str">
        <f>CONCATENATE("[",TEXT(Show!A354,"#.0#"),":",TEXT(Show!B354,"#.0#"),"][",TEXT(Show!E354,"#.0#"),":",TEXT(Show!F354,"#.0#"),"]")</f>
        <v>[:][:]</v>
      </c>
    </row>
    <row r="355" spans="1:10" hidden="1" x14ac:dyDescent="0.25">
      <c r="A355" s="40" t="str">
        <f>IFERROR(IF(Calc!E355&lt;=$C$4,Calc!D355,""),"")</f>
        <v/>
      </c>
      <c r="B355" s="40" t="str">
        <f>IFERROR(IF(Calc!E355&lt;=$C$4,CONCATENATE(TEXT(Calc!C355,"#0.000#")," || ",TEXT(INDEX(Calc!L355:P355,$B$4),"#0.000#")),""),"")</f>
        <v/>
      </c>
      <c r="C355" s="41" t="str">
        <f>IFERROR(IF(Calc!E355&lt;=$C$4,Calc!E355,""),"")</f>
        <v/>
      </c>
      <c r="D355" s="33" t="str">
        <f>IFERROR(IF(Calc!E355&lt;=$D$4,"Nice",""),"")</f>
        <v/>
      </c>
      <c r="E355" s="40" t="str">
        <f>IFERROR(IF(Calc!J355&lt;=$C$4,Calc!I355,""),"")</f>
        <v/>
      </c>
      <c r="F355" s="40" t="str">
        <f>IFERROR(IF(Calc!J355&lt;=$C$4,CONCATENATE(TEXT(Calc!H355,"#0.000#")," + ",TEXT(INDEX(Calc!L355:P355,$B$4),"#0.000#")),""),"")</f>
        <v/>
      </c>
      <c r="G355" s="41" t="str">
        <f>IFERROR(IF(Calc!J355&lt;=$C$4,Calc!J355,""),"")</f>
        <v/>
      </c>
      <c r="H355" s="33" t="str">
        <f>IFERROR(IF(Calc!J355&lt;=$D$4,"Nice",""),"")</f>
        <v/>
      </c>
      <c r="J355" s="7" t="str">
        <f>CONCATENATE("[",TEXT(Show!A355,"#.0#"),":",TEXT(Show!B355,"#.0#"),"][",TEXT(Show!E355,"#.0#"),":",TEXT(Show!F355,"#.0#"),"]")</f>
        <v>[:][:]</v>
      </c>
    </row>
    <row r="356" spans="1:10" hidden="1" x14ac:dyDescent="0.25">
      <c r="A356" s="40" t="str">
        <f>IFERROR(IF(Calc!E356&lt;=$C$4,Calc!D356,""),"")</f>
        <v/>
      </c>
      <c r="B356" s="40" t="str">
        <f>IFERROR(IF(Calc!E356&lt;=$C$4,CONCATENATE(TEXT(Calc!C356,"#0.000#")," || ",TEXT(INDEX(Calc!L356:P356,$B$4),"#0.000#")),""),"")</f>
        <v/>
      </c>
      <c r="C356" s="41" t="str">
        <f>IFERROR(IF(Calc!E356&lt;=$C$4,Calc!E356,""),"")</f>
        <v/>
      </c>
      <c r="D356" s="33" t="str">
        <f>IFERROR(IF(Calc!E356&lt;=$D$4,"Nice",""),"")</f>
        <v/>
      </c>
      <c r="E356" s="40" t="str">
        <f>IFERROR(IF(Calc!J356&lt;=$C$4,Calc!I356,""),"")</f>
        <v/>
      </c>
      <c r="F356" s="40" t="str">
        <f>IFERROR(IF(Calc!J356&lt;=$C$4,CONCATENATE(TEXT(Calc!H356,"#0.000#")," + ",TEXT(INDEX(Calc!L356:P356,$B$4),"#0.000#")),""),"")</f>
        <v/>
      </c>
      <c r="G356" s="41" t="str">
        <f>IFERROR(IF(Calc!J356&lt;=$C$4,Calc!J356,""),"")</f>
        <v/>
      </c>
      <c r="H356" s="33" t="str">
        <f>IFERROR(IF(Calc!J356&lt;=$D$4,"Nice",""),"")</f>
        <v/>
      </c>
      <c r="J356" s="7" t="str">
        <f>CONCATENATE("[",TEXT(Show!A356,"#.0#"),":",TEXT(Show!B356,"#.0#"),"][",TEXT(Show!E356,"#.0#"),":",TEXT(Show!F356,"#.0#"),"]")</f>
        <v>[:][:]</v>
      </c>
    </row>
    <row r="357" spans="1:10" hidden="1" x14ac:dyDescent="0.25">
      <c r="A357" s="40" t="str">
        <f>IFERROR(IF(Calc!E357&lt;=$C$4,Calc!D357,""),"")</f>
        <v/>
      </c>
      <c r="B357" s="40" t="str">
        <f>IFERROR(IF(Calc!E357&lt;=$C$4,CONCATENATE(TEXT(Calc!C357,"#0.000#")," || ",TEXT(INDEX(Calc!L357:P357,$B$4),"#0.000#")),""),"")</f>
        <v/>
      </c>
      <c r="C357" s="41" t="str">
        <f>IFERROR(IF(Calc!E357&lt;=$C$4,Calc!E357,""),"")</f>
        <v/>
      </c>
      <c r="D357" s="33" t="str">
        <f>IFERROR(IF(Calc!E357&lt;=$D$4,"Nice",""),"")</f>
        <v/>
      </c>
      <c r="E357" s="40" t="str">
        <f>IFERROR(IF(Calc!J357&lt;=$C$4,Calc!I357,""),"")</f>
        <v/>
      </c>
      <c r="F357" s="40" t="str">
        <f>IFERROR(IF(Calc!J357&lt;=$C$4,CONCATENATE(TEXT(Calc!H357,"#0.000#")," + ",TEXT(INDEX(Calc!L357:P357,$B$4),"#0.000#")),""),"")</f>
        <v/>
      </c>
      <c r="G357" s="41" t="str">
        <f>IFERROR(IF(Calc!J357&lt;=$C$4,Calc!J357,""),"")</f>
        <v/>
      </c>
      <c r="H357" s="33" t="str">
        <f>IFERROR(IF(Calc!J357&lt;=$D$4,"Nice",""),"")</f>
        <v/>
      </c>
      <c r="J357" s="7" t="str">
        <f>CONCATENATE("[",TEXT(Show!A357,"#.0#"),":",TEXT(Show!B357,"#.0#"),"][",TEXT(Show!E357,"#.0#"),":",TEXT(Show!F357,"#.0#"),"]")</f>
        <v>[:][:]</v>
      </c>
    </row>
    <row r="358" spans="1:10" hidden="1" x14ac:dyDescent="0.25">
      <c r="A358" s="40" t="str">
        <f>IFERROR(IF(Calc!E358&lt;=$C$4,Calc!D358,""),"")</f>
        <v/>
      </c>
      <c r="B358" s="40" t="str">
        <f>IFERROR(IF(Calc!E358&lt;=$C$4,CONCATENATE(TEXT(Calc!C358,"#0.000#")," || ",TEXT(INDEX(Calc!L358:P358,$B$4),"#0.000#")),""),"")</f>
        <v/>
      </c>
      <c r="C358" s="41" t="str">
        <f>IFERROR(IF(Calc!E358&lt;=$C$4,Calc!E358,""),"")</f>
        <v/>
      </c>
      <c r="D358" s="33" t="str">
        <f>IFERROR(IF(Calc!E358&lt;=$D$4,"Nice",""),"")</f>
        <v/>
      </c>
      <c r="E358" s="40" t="str">
        <f>IFERROR(IF(Calc!J358&lt;=$C$4,Calc!I358,""),"")</f>
        <v/>
      </c>
      <c r="F358" s="40" t="str">
        <f>IFERROR(IF(Calc!J358&lt;=$C$4,CONCATENATE(TEXT(Calc!H358,"#0.000#")," + ",TEXT(INDEX(Calc!L358:P358,$B$4),"#0.000#")),""),"")</f>
        <v/>
      </c>
      <c r="G358" s="41" t="str">
        <f>IFERROR(IF(Calc!J358&lt;=$C$4,Calc!J358,""),"")</f>
        <v/>
      </c>
      <c r="H358" s="33" t="str">
        <f>IFERROR(IF(Calc!J358&lt;=$D$4,"Nice",""),"")</f>
        <v/>
      </c>
      <c r="J358" s="7" t="str">
        <f>CONCATENATE("[",TEXT(Show!A358,"#.0#"),":",TEXT(Show!B358,"#.0#"),"][",TEXT(Show!E358,"#.0#"),":",TEXT(Show!F358,"#.0#"),"]")</f>
        <v>[:][:]</v>
      </c>
    </row>
    <row r="359" spans="1:10" hidden="1" x14ac:dyDescent="0.25">
      <c r="A359" s="40" t="str">
        <f>IFERROR(IF(Calc!E359&lt;=$C$4,Calc!D359,""),"")</f>
        <v/>
      </c>
      <c r="B359" s="40" t="str">
        <f>IFERROR(IF(Calc!E359&lt;=$C$4,CONCATENATE(TEXT(Calc!C359,"#0.000#")," || ",TEXT(INDEX(Calc!L359:P359,$B$4),"#0.000#")),""),"")</f>
        <v/>
      </c>
      <c r="C359" s="41" t="str">
        <f>IFERROR(IF(Calc!E359&lt;=$C$4,Calc!E359,""),"")</f>
        <v/>
      </c>
      <c r="D359" s="33" t="str">
        <f>IFERROR(IF(Calc!E359&lt;=$D$4,"Nice",""),"")</f>
        <v/>
      </c>
      <c r="E359" s="40" t="str">
        <f>IFERROR(IF(Calc!J359&lt;=$C$4,Calc!I359,""),"")</f>
        <v/>
      </c>
      <c r="F359" s="40" t="str">
        <f>IFERROR(IF(Calc!J359&lt;=$C$4,CONCATENATE(TEXT(Calc!H359,"#0.000#")," + ",TEXT(INDEX(Calc!L359:P359,$B$4),"#0.000#")),""),"")</f>
        <v/>
      </c>
      <c r="G359" s="41" t="str">
        <f>IFERROR(IF(Calc!J359&lt;=$C$4,Calc!J359,""),"")</f>
        <v/>
      </c>
      <c r="H359" s="33" t="str">
        <f>IFERROR(IF(Calc!J359&lt;=$D$4,"Nice",""),"")</f>
        <v/>
      </c>
      <c r="J359" s="7" t="str">
        <f>CONCATENATE("[",TEXT(Show!A359,"#.0#"),":",TEXT(Show!B359,"#.0#"),"][",TEXT(Show!E359,"#.0#"),":",TEXT(Show!F359,"#.0#"),"]")</f>
        <v>[:][:]</v>
      </c>
    </row>
    <row r="360" spans="1:10" hidden="1" x14ac:dyDescent="0.25">
      <c r="A360" s="40" t="str">
        <f>IFERROR(IF(Calc!E360&lt;=$C$4,Calc!D360,""),"")</f>
        <v/>
      </c>
      <c r="B360" s="40" t="str">
        <f>IFERROR(IF(Calc!E360&lt;=$C$4,CONCATENATE(TEXT(Calc!C360,"#0.000#")," || ",TEXT(INDEX(Calc!L360:P360,$B$4),"#0.000#")),""),"")</f>
        <v/>
      </c>
      <c r="C360" s="41" t="str">
        <f>IFERROR(IF(Calc!E360&lt;=$C$4,Calc!E360,""),"")</f>
        <v/>
      </c>
      <c r="D360" s="33" t="str">
        <f>IFERROR(IF(Calc!E360&lt;=$D$4,"Nice",""),"")</f>
        <v/>
      </c>
      <c r="E360" s="40" t="str">
        <f>IFERROR(IF(Calc!J360&lt;=$C$4,Calc!I360,""),"")</f>
        <v/>
      </c>
      <c r="F360" s="40" t="str">
        <f>IFERROR(IF(Calc!J360&lt;=$C$4,CONCATENATE(TEXT(Calc!H360,"#0.000#")," + ",TEXT(INDEX(Calc!L360:P360,$B$4),"#0.000#")),""),"")</f>
        <v/>
      </c>
      <c r="G360" s="41" t="str">
        <f>IFERROR(IF(Calc!J360&lt;=$C$4,Calc!J360,""),"")</f>
        <v/>
      </c>
      <c r="H360" s="33" t="str">
        <f>IFERROR(IF(Calc!J360&lt;=$D$4,"Nice",""),"")</f>
        <v/>
      </c>
      <c r="J360" s="7" t="str">
        <f>CONCATENATE("[",TEXT(Show!A360,"#.0#"),":",TEXT(Show!B360,"#.0#"),"][",TEXT(Show!E360,"#.0#"),":",TEXT(Show!F360,"#.0#"),"]")</f>
        <v>[:][:]</v>
      </c>
    </row>
    <row r="361" spans="1:10" hidden="1" x14ac:dyDescent="0.25">
      <c r="A361" s="40" t="str">
        <f>IFERROR(IF(Calc!E361&lt;=$C$4,Calc!D361,""),"")</f>
        <v/>
      </c>
      <c r="B361" s="40" t="str">
        <f>IFERROR(IF(Calc!E361&lt;=$C$4,CONCATENATE(TEXT(Calc!C361,"#0.000#")," || ",TEXT(INDEX(Calc!L361:P361,$B$4),"#0.000#")),""),"")</f>
        <v/>
      </c>
      <c r="C361" s="41" t="str">
        <f>IFERROR(IF(Calc!E361&lt;=$C$4,Calc!E361,""),"")</f>
        <v/>
      </c>
      <c r="D361" s="33" t="str">
        <f>IFERROR(IF(Calc!E361&lt;=$D$4,"Nice",""),"")</f>
        <v/>
      </c>
      <c r="E361" s="40" t="str">
        <f>IFERROR(IF(Calc!J361&lt;=$C$4,Calc!I361,""),"")</f>
        <v/>
      </c>
      <c r="F361" s="40" t="str">
        <f>IFERROR(IF(Calc!J361&lt;=$C$4,CONCATENATE(TEXT(Calc!H361,"#0.000#")," + ",TEXT(INDEX(Calc!L361:P361,$B$4),"#0.000#")),""),"")</f>
        <v/>
      </c>
      <c r="G361" s="41" t="str">
        <f>IFERROR(IF(Calc!J361&lt;=$C$4,Calc!J361,""),"")</f>
        <v/>
      </c>
      <c r="H361" s="33" t="str">
        <f>IFERROR(IF(Calc!J361&lt;=$D$4,"Nice",""),"")</f>
        <v/>
      </c>
      <c r="J361" s="7" t="str">
        <f>CONCATENATE("[",TEXT(Show!A361,"#.0#"),":",TEXT(Show!B361,"#.0#"),"][",TEXT(Show!E361,"#.0#"),":",TEXT(Show!F361,"#.0#"),"]")</f>
        <v>[:][:]</v>
      </c>
    </row>
    <row r="362" spans="1:10" hidden="1" x14ac:dyDescent="0.25">
      <c r="A362" s="40" t="str">
        <f>IFERROR(IF(Calc!E362&lt;=$C$4,Calc!D362,""),"")</f>
        <v/>
      </c>
      <c r="B362" s="40" t="str">
        <f>IFERROR(IF(Calc!E362&lt;=$C$4,CONCATENATE(TEXT(Calc!C362,"#0.000#")," || ",TEXT(INDEX(Calc!L362:P362,$B$4),"#0.000#")),""),"")</f>
        <v/>
      </c>
      <c r="C362" s="41" t="str">
        <f>IFERROR(IF(Calc!E362&lt;=$C$4,Calc!E362,""),"")</f>
        <v/>
      </c>
      <c r="D362" s="33" t="str">
        <f>IFERROR(IF(Calc!E362&lt;=$D$4,"Nice",""),"")</f>
        <v/>
      </c>
      <c r="E362" s="40" t="str">
        <f>IFERROR(IF(Calc!J362&lt;=$C$4,Calc!I362,""),"")</f>
        <v/>
      </c>
      <c r="F362" s="40" t="str">
        <f>IFERROR(IF(Calc!J362&lt;=$C$4,CONCATENATE(TEXT(Calc!H362,"#0.000#")," + ",TEXT(INDEX(Calc!L362:P362,$B$4),"#0.000#")),""),"")</f>
        <v/>
      </c>
      <c r="G362" s="41" t="str">
        <f>IFERROR(IF(Calc!J362&lt;=$C$4,Calc!J362,""),"")</f>
        <v/>
      </c>
      <c r="H362" s="33" t="str">
        <f>IFERROR(IF(Calc!J362&lt;=$D$4,"Nice",""),"")</f>
        <v/>
      </c>
      <c r="J362" s="7" t="str">
        <f>CONCATENATE("[",TEXT(Show!A362,"#.0#"),":",TEXT(Show!B362,"#.0#"),"][",TEXT(Show!E362,"#.0#"),":",TEXT(Show!F362,"#.0#"),"]")</f>
        <v>[:][:]</v>
      </c>
    </row>
    <row r="363" spans="1:10" hidden="1" x14ac:dyDescent="0.25">
      <c r="A363" s="40" t="str">
        <f>IFERROR(IF(Calc!E363&lt;=$C$4,Calc!D363,""),"")</f>
        <v/>
      </c>
      <c r="B363" s="40" t="str">
        <f>IFERROR(IF(Calc!E363&lt;=$C$4,CONCATENATE(TEXT(Calc!C363,"#0.000#")," || ",TEXT(INDEX(Calc!L363:P363,$B$4),"#0.000#")),""),"")</f>
        <v/>
      </c>
      <c r="C363" s="41" t="str">
        <f>IFERROR(IF(Calc!E363&lt;=$C$4,Calc!E363,""),"")</f>
        <v/>
      </c>
      <c r="D363" s="33" t="str">
        <f>IFERROR(IF(Calc!E363&lt;=$D$4,"Nice",""),"")</f>
        <v/>
      </c>
      <c r="E363" s="40" t="str">
        <f>IFERROR(IF(Calc!J363&lt;=$C$4,Calc!I363,""),"")</f>
        <v/>
      </c>
      <c r="F363" s="40" t="str">
        <f>IFERROR(IF(Calc!J363&lt;=$C$4,CONCATENATE(TEXT(Calc!H363,"#0.000#")," + ",TEXT(INDEX(Calc!L363:P363,$B$4),"#0.000#")),""),"")</f>
        <v/>
      </c>
      <c r="G363" s="41" t="str">
        <f>IFERROR(IF(Calc!J363&lt;=$C$4,Calc!J363,""),"")</f>
        <v/>
      </c>
      <c r="H363" s="33" t="str">
        <f>IFERROR(IF(Calc!J363&lt;=$D$4,"Nice",""),"")</f>
        <v/>
      </c>
      <c r="J363" s="7" t="str">
        <f>CONCATENATE("[",TEXT(Show!A363,"#.0#"),":",TEXT(Show!B363,"#.0#"),"][",TEXT(Show!E363,"#.0#"),":",TEXT(Show!F363,"#.0#"),"]")</f>
        <v>[:][:]</v>
      </c>
    </row>
    <row r="364" spans="1:10" hidden="1" x14ac:dyDescent="0.25">
      <c r="A364" s="40" t="str">
        <f>IFERROR(IF(Calc!E364&lt;=$C$4,Calc!D364,""),"")</f>
        <v/>
      </c>
      <c r="B364" s="40" t="str">
        <f>IFERROR(IF(Calc!E364&lt;=$C$4,CONCATENATE(TEXT(Calc!C364,"#0.000#")," || ",TEXT(INDEX(Calc!L364:P364,$B$4),"#0.000#")),""),"")</f>
        <v/>
      </c>
      <c r="C364" s="41" t="str">
        <f>IFERROR(IF(Calc!E364&lt;=$C$4,Calc!E364,""),"")</f>
        <v/>
      </c>
      <c r="D364" s="33" t="str">
        <f>IFERROR(IF(Calc!E364&lt;=$D$4,"Nice",""),"")</f>
        <v/>
      </c>
      <c r="E364" s="40" t="str">
        <f>IFERROR(IF(Calc!J364&lt;=$C$4,Calc!I364,""),"")</f>
        <v/>
      </c>
      <c r="F364" s="40" t="str">
        <f>IFERROR(IF(Calc!J364&lt;=$C$4,CONCATENATE(TEXT(Calc!H364,"#0.000#")," + ",TEXT(INDEX(Calc!L364:P364,$B$4),"#0.000#")),""),"")</f>
        <v/>
      </c>
      <c r="G364" s="41" t="str">
        <f>IFERROR(IF(Calc!J364&lt;=$C$4,Calc!J364,""),"")</f>
        <v/>
      </c>
      <c r="H364" s="33" t="str">
        <f>IFERROR(IF(Calc!J364&lt;=$D$4,"Nice",""),"")</f>
        <v/>
      </c>
      <c r="J364" s="7" t="str">
        <f>CONCATENATE("[",TEXT(Show!A364,"#.0#"),":",TEXT(Show!B364,"#.0#"),"][",TEXT(Show!E364,"#.0#"),":",TEXT(Show!F364,"#.0#"),"]")</f>
        <v>[:][:]</v>
      </c>
    </row>
    <row r="365" spans="1:10" hidden="1" x14ac:dyDescent="0.25">
      <c r="A365" s="40" t="str">
        <f>IFERROR(IF(Calc!E365&lt;=$C$4,Calc!D365,""),"")</f>
        <v/>
      </c>
      <c r="B365" s="40" t="str">
        <f>IFERROR(IF(Calc!E365&lt;=$C$4,CONCATENATE(TEXT(Calc!C365,"#0.000#")," || ",TEXT(INDEX(Calc!L365:P365,$B$4),"#0.000#")),""),"")</f>
        <v/>
      </c>
      <c r="C365" s="41" t="str">
        <f>IFERROR(IF(Calc!E365&lt;=$C$4,Calc!E365,""),"")</f>
        <v/>
      </c>
      <c r="D365" s="33" t="str">
        <f>IFERROR(IF(Calc!E365&lt;=$D$4,"Nice",""),"")</f>
        <v/>
      </c>
      <c r="E365" s="40" t="str">
        <f>IFERROR(IF(Calc!J365&lt;=$C$4,Calc!I365,""),"")</f>
        <v/>
      </c>
      <c r="F365" s="40" t="str">
        <f>IFERROR(IF(Calc!J365&lt;=$C$4,CONCATENATE(TEXT(Calc!H365,"#0.000#")," + ",TEXT(INDEX(Calc!L365:P365,$B$4),"#0.000#")),""),"")</f>
        <v/>
      </c>
      <c r="G365" s="41" t="str">
        <f>IFERROR(IF(Calc!J365&lt;=$C$4,Calc!J365,""),"")</f>
        <v/>
      </c>
      <c r="H365" s="33" t="str">
        <f>IFERROR(IF(Calc!J365&lt;=$D$4,"Nice",""),"")</f>
        <v/>
      </c>
      <c r="J365" s="7" t="str">
        <f>CONCATENATE("[",TEXT(Show!A365,"#.0#"),":",TEXT(Show!B365,"#.0#"),"][",TEXT(Show!E365,"#.0#"),":",TEXT(Show!F365,"#.0#"),"]")</f>
        <v>[:][:]</v>
      </c>
    </row>
    <row r="366" spans="1:10" hidden="1" x14ac:dyDescent="0.25">
      <c r="A366" s="40" t="str">
        <f>IFERROR(IF(Calc!E366&lt;=$C$4,Calc!D366,""),"")</f>
        <v/>
      </c>
      <c r="B366" s="40" t="str">
        <f>IFERROR(IF(Calc!E366&lt;=$C$4,CONCATENATE(TEXT(Calc!C366,"#0.000#")," || ",TEXT(INDEX(Calc!L366:P366,$B$4),"#0.000#")),""),"")</f>
        <v/>
      </c>
      <c r="C366" s="41" t="str">
        <f>IFERROR(IF(Calc!E366&lt;=$C$4,Calc!E366,""),"")</f>
        <v/>
      </c>
      <c r="D366" s="33" t="str">
        <f>IFERROR(IF(Calc!E366&lt;=$D$4,"Nice",""),"")</f>
        <v/>
      </c>
      <c r="E366" s="40" t="str">
        <f>IFERROR(IF(Calc!J366&lt;=$C$4,Calc!I366,""),"")</f>
        <v/>
      </c>
      <c r="F366" s="40" t="str">
        <f>IFERROR(IF(Calc!J366&lt;=$C$4,CONCATENATE(TEXT(Calc!H366,"#0.000#")," + ",TEXT(INDEX(Calc!L366:P366,$B$4),"#0.000#")),""),"")</f>
        <v/>
      </c>
      <c r="G366" s="41" t="str">
        <f>IFERROR(IF(Calc!J366&lt;=$C$4,Calc!J366,""),"")</f>
        <v/>
      </c>
      <c r="H366" s="33" t="str">
        <f>IFERROR(IF(Calc!J366&lt;=$D$4,"Nice",""),"")</f>
        <v/>
      </c>
      <c r="J366" s="7" t="str">
        <f>CONCATENATE("[",TEXT(Show!A366,"#.0#"),":",TEXT(Show!B366,"#.0#"),"][",TEXT(Show!E366,"#.0#"),":",TEXT(Show!F366,"#.0#"),"]")</f>
        <v>[:][:]</v>
      </c>
    </row>
    <row r="367" spans="1:10" hidden="1" x14ac:dyDescent="0.25">
      <c r="A367" s="40" t="str">
        <f>IFERROR(IF(Calc!E367&lt;=$C$4,Calc!D367,""),"")</f>
        <v/>
      </c>
      <c r="B367" s="40" t="str">
        <f>IFERROR(IF(Calc!E367&lt;=$C$4,CONCATENATE(TEXT(Calc!C367,"#0.000#")," || ",TEXT(INDEX(Calc!L367:P367,$B$4),"#0.000#")),""),"")</f>
        <v/>
      </c>
      <c r="C367" s="41" t="str">
        <f>IFERROR(IF(Calc!E367&lt;=$C$4,Calc!E367,""),"")</f>
        <v/>
      </c>
      <c r="D367" s="33" t="str">
        <f>IFERROR(IF(Calc!E367&lt;=$D$4,"Nice",""),"")</f>
        <v/>
      </c>
      <c r="E367" s="40" t="str">
        <f>IFERROR(IF(Calc!J367&lt;=$C$4,Calc!I367,""),"")</f>
        <v/>
      </c>
      <c r="F367" s="40" t="str">
        <f>IFERROR(IF(Calc!J367&lt;=$C$4,CONCATENATE(TEXT(Calc!H367,"#0.000#")," + ",TEXT(INDEX(Calc!L367:P367,$B$4),"#0.000#")),""),"")</f>
        <v/>
      </c>
      <c r="G367" s="41" t="str">
        <f>IFERROR(IF(Calc!J367&lt;=$C$4,Calc!J367,""),"")</f>
        <v/>
      </c>
      <c r="H367" s="33" t="str">
        <f>IFERROR(IF(Calc!J367&lt;=$D$4,"Nice",""),"")</f>
        <v/>
      </c>
      <c r="J367" s="7" t="str">
        <f>CONCATENATE("[",TEXT(Show!A367,"#.0#"),":",TEXT(Show!B367,"#.0#"),"][",TEXT(Show!E367,"#.0#"),":",TEXT(Show!F367,"#.0#"),"]")</f>
        <v>[:][:]</v>
      </c>
    </row>
    <row r="368" spans="1:10" hidden="1" x14ac:dyDescent="0.25">
      <c r="A368" s="40" t="str">
        <f>IFERROR(IF(Calc!E368&lt;=$C$4,Calc!D368,""),"")</f>
        <v/>
      </c>
      <c r="B368" s="40" t="str">
        <f>IFERROR(IF(Calc!E368&lt;=$C$4,CONCATENATE(TEXT(Calc!C368,"#0.000#")," || ",TEXT(INDEX(Calc!L368:P368,$B$4),"#0.000#")),""),"")</f>
        <v/>
      </c>
      <c r="C368" s="41" t="str">
        <f>IFERROR(IF(Calc!E368&lt;=$C$4,Calc!E368,""),"")</f>
        <v/>
      </c>
      <c r="D368" s="33" t="str">
        <f>IFERROR(IF(Calc!E368&lt;=$D$4,"Nice",""),"")</f>
        <v/>
      </c>
      <c r="E368" s="40" t="str">
        <f>IFERROR(IF(Calc!J368&lt;=$C$4,Calc!I368,""),"")</f>
        <v/>
      </c>
      <c r="F368" s="40" t="str">
        <f>IFERROR(IF(Calc!J368&lt;=$C$4,CONCATENATE(TEXT(Calc!H368,"#0.000#")," + ",TEXT(INDEX(Calc!L368:P368,$B$4),"#0.000#")),""),"")</f>
        <v/>
      </c>
      <c r="G368" s="41" t="str">
        <f>IFERROR(IF(Calc!J368&lt;=$C$4,Calc!J368,""),"")</f>
        <v/>
      </c>
      <c r="H368" s="33" t="str">
        <f>IFERROR(IF(Calc!J368&lt;=$D$4,"Nice",""),"")</f>
        <v/>
      </c>
      <c r="J368" s="7" t="str">
        <f>CONCATENATE("[",TEXT(Show!A368,"#.0#"),":",TEXT(Show!B368,"#.0#"),"][",TEXT(Show!E368,"#.0#"),":",TEXT(Show!F368,"#.0#"),"]")</f>
        <v>[:][:]</v>
      </c>
    </row>
    <row r="369" spans="1:10" hidden="1" x14ac:dyDescent="0.25">
      <c r="A369" s="40" t="str">
        <f>IFERROR(IF(Calc!E369&lt;=$C$4,Calc!D369,""),"")</f>
        <v/>
      </c>
      <c r="B369" s="40" t="str">
        <f>IFERROR(IF(Calc!E369&lt;=$C$4,CONCATENATE(TEXT(Calc!C369,"#0.000#")," || ",TEXT(INDEX(Calc!L369:P369,$B$4),"#0.000#")),""),"")</f>
        <v/>
      </c>
      <c r="C369" s="41" t="str">
        <f>IFERROR(IF(Calc!E369&lt;=$C$4,Calc!E369,""),"")</f>
        <v/>
      </c>
      <c r="D369" s="33" t="str">
        <f>IFERROR(IF(Calc!E369&lt;=$D$4,"Nice",""),"")</f>
        <v/>
      </c>
      <c r="E369" s="40" t="str">
        <f>IFERROR(IF(Calc!J369&lt;=$C$4,Calc!I369,""),"")</f>
        <v/>
      </c>
      <c r="F369" s="40" t="str">
        <f>IFERROR(IF(Calc!J369&lt;=$C$4,CONCATENATE(TEXT(Calc!H369,"#0.000#")," + ",TEXT(INDEX(Calc!L369:P369,$B$4),"#0.000#")),""),"")</f>
        <v/>
      </c>
      <c r="G369" s="41" t="str">
        <f>IFERROR(IF(Calc!J369&lt;=$C$4,Calc!J369,""),"")</f>
        <v/>
      </c>
      <c r="H369" s="33" t="str">
        <f>IFERROR(IF(Calc!J369&lt;=$D$4,"Nice",""),"")</f>
        <v/>
      </c>
      <c r="J369" s="7" t="str">
        <f>CONCATENATE("[",TEXT(Show!A369,"#.0#"),":",TEXT(Show!B369,"#.0#"),"][",TEXT(Show!E369,"#.0#"),":",TEXT(Show!F369,"#.0#"),"]")</f>
        <v>[:][:]</v>
      </c>
    </row>
    <row r="370" spans="1:10" hidden="1" x14ac:dyDescent="0.25">
      <c r="A370" s="40" t="str">
        <f>IFERROR(IF(Calc!E370&lt;=$C$4,Calc!D370,""),"")</f>
        <v/>
      </c>
      <c r="B370" s="40" t="str">
        <f>IFERROR(IF(Calc!E370&lt;=$C$4,CONCATENATE(TEXT(Calc!C370,"#0.000#")," || ",TEXT(INDEX(Calc!L370:P370,$B$4),"#0.000#")),""),"")</f>
        <v/>
      </c>
      <c r="C370" s="41" t="str">
        <f>IFERROR(IF(Calc!E370&lt;=$C$4,Calc!E370,""),"")</f>
        <v/>
      </c>
      <c r="D370" s="33" t="str">
        <f>IFERROR(IF(Calc!E370&lt;=$D$4,"Nice",""),"")</f>
        <v/>
      </c>
      <c r="E370" s="40" t="str">
        <f>IFERROR(IF(Calc!J370&lt;=$C$4,Calc!I370,""),"")</f>
        <v/>
      </c>
      <c r="F370" s="40" t="str">
        <f>IFERROR(IF(Calc!J370&lt;=$C$4,CONCATENATE(TEXT(Calc!H370,"#0.000#")," + ",TEXT(INDEX(Calc!L370:P370,$B$4),"#0.000#")),""),"")</f>
        <v/>
      </c>
      <c r="G370" s="41" t="str">
        <f>IFERROR(IF(Calc!J370&lt;=$C$4,Calc!J370,""),"")</f>
        <v/>
      </c>
      <c r="H370" s="33" t="str">
        <f>IFERROR(IF(Calc!J370&lt;=$D$4,"Nice",""),"")</f>
        <v/>
      </c>
      <c r="J370" s="7" t="str">
        <f>CONCATENATE("[",TEXT(Show!A370,"#.0#"),":",TEXT(Show!B370,"#.0#"),"][",TEXT(Show!E370,"#.0#"),":",TEXT(Show!F370,"#.0#"),"]")</f>
        <v>[:][:]</v>
      </c>
    </row>
    <row r="371" spans="1:10" hidden="1" x14ac:dyDescent="0.25">
      <c r="A371" s="40" t="str">
        <f>IFERROR(IF(Calc!E371&lt;=$C$4,Calc!D371,""),"")</f>
        <v/>
      </c>
      <c r="B371" s="40" t="str">
        <f>IFERROR(IF(Calc!E371&lt;=$C$4,CONCATENATE(TEXT(Calc!C371,"#0.000#")," || ",TEXT(INDEX(Calc!L371:P371,$B$4),"#0.000#")),""),"")</f>
        <v/>
      </c>
      <c r="C371" s="41" t="str">
        <f>IFERROR(IF(Calc!E371&lt;=$C$4,Calc!E371,""),"")</f>
        <v/>
      </c>
      <c r="D371" s="33" t="str">
        <f>IFERROR(IF(Calc!E371&lt;=$D$4,"Nice",""),"")</f>
        <v/>
      </c>
      <c r="E371" s="40" t="str">
        <f>IFERROR(IF(Calc!J371&lt;=$C$4,Calc!I371,""),"")</f>
        <v/>
      </c>
      <c r="F371" s="40" t="str">
        <f>IFERROR(IF(Calc!J371&lt;=$C$4,CONCATENATE(TEXT(Calc!H371,"#0.000#")," + ",TEXT(INDEX(Calc!L371:P371,$B$4),"#0.000#")),""),"")</f>
        <v/>
      </c>
      <c r="G371" s="41" t="str">
        <f>IFERROR(IF(Calc!J371&lt;=$C$4,Calc!J371,""),"")</f>
        <v/>
      </c>
      <c r="H371" s="33" t="str">
        <f>IFERROR(IF(Calc!J371&lt;=$D$4,"Nice",""),"")</f>
        <v/>
      </c>
      <c r="J371" s="7" t="str">
        <f>CONCATENATE("[",TEXT(Show!A371,"#.0#"),":",TEXT(Show!B371,"#.0#"),"][",TEXT(Show!E371,"#.0#"),":",TEXT(Show!F371,"#.0#"),"]")</f>
        <v>[:][:]</v>
      </c>
    </row>
    <row r="372" spans="1:10" hidden="1" x14ac:dyDescent="0.25">
      <c r="A372" s="40" t="str">
        <f>IFERROR(IF(Calc!E372&lt;=$C$4,Calc!D372,""),"")</f>
        <v/>
      </c>
      <c r="B372" s="40" t="str">
        <f>IFERROR(IF(Calc!E372&lt;=$C$4,CONCATENATE(TEXT(Calc!C372,"#0.000#")," || ",TEXT(INDEX(Calc!L372:P372,$B$4),"#0.000#")),""),"")</f>
        <v/>
      </c>
      <c r="C372" s="41" t="str">
        <f>IFERROR(IF(Calc!E372&lt;=$C$4,Calc!E372,""),"")</f>
        <v/>
      </c>
      <c r="D372" s="33" t="str">
        <f>IFERROR(IF(Calc!E372&lt;=$D$4,"Nice",""),"")</f>
        <v/>
      </c>
      <c r="E372" s="40" t="str">
        <f>IFERROR(IF(Calc!J372&lt;=$C$4,Calc!I372,""),"")</f>
        <v/>
      </c>
      <c r="F372" s="40" t="str">
        <f>IFERROR(IF(Calc!J372&lt;=$C$4,CONCATENATE(TEXT(Calc!H372,"#0.000#")," + ",TEXT(INDEX(Calc!L372:P372,$B$4),"#0.000#")),""),"")</f>
        <v/>
      </c>
      <c r="G372" s="41" t="str">
        <f>IFERROR(IF(Calc!J372&lt;=$C$4,Calc!J372,""),"")</f>
        <v/>
      </c>
      <c r="H372" s="33" t="str">
        <f>IFERROR(IF(Calc!J372&lt;=$D$4,"Nice",""),"")</f>
        <v/>
      </c>
      <c r="J372" s="7" t="str">
        <f>CONCATENATE("[",TEXT(Show!A372,"#.0#"),":",TEXT(Show!B372,"#.0#"),"][",TEXT(Show!E372,"#.0#"),":",TEXT(Show!F372,"#.0#"),"]")</f>
        <v>[:][:]</v>
      </c>
    </row>
    <row r="373" spans="1:10" x14ac:dyDescent="0.25">
      <c r="A373" s="40">
        <f>IFERROR(IF(Calc!E373&lt;=$C$4,Calc!D373,""),"")</f>
        <v>39.737555309734518</v>
      </c>
      <c r="B373" s="40" t="str">
        <f>IFERROR(IF(Calc!E373&lt;=$C$4,CONCATENATE(TEXT(Calc!C373,"#0.000#")," || ",TEXT(INDEX(Calc!L373:P373,$B$4),"#0.000#")),""),"")</f>
        <v>42.200 || 681.000</v>
      </c>
      <c r="C373" s="41">
        <f>IFERROR(IF(Calc!E373&lt;=$C$4,Calc!E373,""),"")</f>
        <v>0.65611172566370612</v>
      </c>
      <c r="D373" s="33" t="str">
        <f>IFERROR(IF(Calc!E373&lt;=$D$4,"Nice",""),"")</f>
        <v/>
      </c>
      <c r="E373" s="40" t="str">
        <f>IFERROR(IF(Calc!J373&lt;=$C$4,Calc!I373,""),"")</f>
        <v/>
      </c>
      <c r="F373" s="40" t="str">
        <f>IFERROR(IF(Calc!J373&lt;=$C$4,CONCATENATE(TEXT(Calc!H373,"#0.000#")," + ",TEXT(INDEX(Calc!L373:P373,$B$4),"#0.000#")),""),"")</f>
        <v/>
      </c>
      <c r="G373" s="41" t="str">
        <f>IFERROR(IF(Calc!J373&lt;=$C$4,Calc!J373,""),"")</f>
        <v/>
      </c>
      <c r="H373" s="33" t="str">
        <f>IFERROR(IF(Calc!J373&lt;=$D$4,"Nice",""),"")</f>
        <v/>
      </c>
      <c r="J373" s="7" t="str">
        <f>CONCATENATE("[",TEXT(Show!A373,"#.0#"),":",TEXT(Show!B373,"#.0#"),"][",TEXT(Show!E373,"#.0#"),":",TEXT(Show!F373,"#.0#"),"]")</f>
        <v>[39.74:42.200 || 681.000][:]</v>
      </c>
    </row>
    <row r="374" spans="1:10" hidden="1" x14ac:dyDescent="0.25">
      <c r="A374" s="40">
        <f>IFERROR(IF(Calc!E374&lt;=$C$4,Calc!D374,""),"")</f>
        <v>39.737555309734518</v>
      </c>
      <c r="B374" s="40" t="str">
        <f>IFERROR(IF(Calc!E374&lt;=$C$4,CONCATENATE(TEXT(Calc!C374,"#0.000#")," || ",TEXT(INDEX(Calc!L374:P374,$B$4),"#0.000#")),""),"")</f>
        <v>42.200 || 681.000</v>
      </c>
      <c r="C374" s="41">
        <f>IFERROR(IF(Calc!E374&lt;=$C$4,Calc!E374,""),"")</f>
        <v>0.65611172566370612</v>
      </c>
      <c r="D374" s="33" t="str">
        <f>IFERROR(IF(Calc!E374&lt;=$D$4,"Nice",""),"")</f>
        <v/>
      </c>
      <c r="E374" s="40" t="str">
        <f>IFERROR(IF(Calc!J374&lt;=$C$4,Calc!I374,""),"")</f>
        <v/>
      </c>
      <c r="F374" s="40" t="str">
        <f>IFERROR(IF(Calc!J374&lt;=$C$4,CONCATENATE(TEXT(Calc!H374,"#0.000#")," + ",TEXT(INDEX(Calc!L374:P374,$B$4),"#0.000#")),""),"")</f>
        <v/>
      </c>
      <c r="G374" s="41" t="str">
        <f>IFERROR(IF(Calc!J374&lt;=$C$4,Calc!J374,""),"")</f>
        <v/>
      </c>
      <c r="H374" s="33" t="str">
        <f>IFERROR(IF(Calc!J374&lt;=$D$4,"Nice",""),"")</f>
        <v/>
      </c>
      <c r="J374" s="7" t="str">
        <f>CONCATENATE("[",TEXT(Show!A374,"#.0#"),":",TEXT(Show!B374,"#.0#"),"][",TEXT(Show!E374,"#.0#"),":",TEXT(Show!F374,"#.0#"),"]")</f>
        <v>[39.74:42.200 || 681.000][:]</v>
      </c>
    </row>
    <row r="375" spans="1:10" hidden="1" x14ac:dyDescent="0.25">
      <c r="A375" s="40">
        <f>IFERROR(IF(Calc!E375&lt;=$C$4,Calc!D375,""),"")</f>
        <v>39.737555309734518</v>
      </c>
      <c r="B375" s="40" t="str">
        <f>IFERROR(IF(Calc!E375&lt;=$C$4,CONCATENATE(TEXT(Calc!C375,"#0.000#")," || ",TEXT(INDEX(Calc!L375:P375,$B$4),"#0.000#")),""),"")</f>
        <v>42.200 || 681.000</v>
      </c>
      <c r="C375" s="41">
        <f>IFERROR(IF(Calc!E375&lt;=$C$4,Calc!E375,""),"")</f>
        <v>0.65611172566370612</v>
      </c>
      <c r="D375" s="33" t="str">
        <f>IFERROR(IF(Calc!E375&lt;=$D$4,"Nice",""),"")</f>
        <v/>
      </c>
      <c r="E375" s="40" t="str">
        <f>IFERROR(IF(Calc!J375&lt;=$C$4,Calc!I375,""),"")</f>
        <v/>
      </c>
      <c r="F375" s="40" t="str">
        <f>IFERROR(IF(Calc!J375&lt;=$C$4,CONCATENATE(TEXT(Calc!H375,"#0.000#")," + ",TEXT(INDEX(Calc!L375:P375,$B$4),"#0.000#")),""),"")</f>
        <v/>
      </c>
      <c r="G375" s="41" t="str">
        <f>IFERROR(IF(Calc!J375&lt;=$C$4,Calc!J375,""),"")</f>
        <v/>
      </c>
      <c r="H375" s="33" t="str">
        <f>IFERROR(IF(Calc!J375&lt;=$D$4,"Nice",""),"")</f>
        <v/>
      </c>
      <c r="J375" s="7" t="str">
        <f>CONCATENATE("[",TEXT(Show!A375,"#.0#"),":",TEXT(Show!B375,"#.0#"),"][",TEXT(Show!E375,"#.0#"),":",TEXT(Show!F375,"#.0#"),"]")</f>
        <v>[39.74:42.200 || 681.000][:]</v>
      </c>
    </row>
    <row r="376" spans="1:10" hidden="1" x14ac:dyDescent="0.25">
      <c r="A376" s="40">
        <f>IFERROR(IF(Calc!E376&lt;=$C$4,Calc!D376,""),"")</f>
        <v>39.737555309734518</v>
      </c>
      <c r="B376" s="40" t="str">
        <f>IFERROR(IF(Calc!E376&lt;=$C$4,CONCATENATE(TEXT(Calc!C376,"#0.000#")," || ",TEXT(INDEX(Calc!L376:P376,$B$4),"#0.000#")),""),"")</f>
        <v>42.200 || 681.000</v>
      </c>
      <c r="C376" s="41">
        <f>IFERROR(IF(Calc!E376&lt;=$C$4,Calc!E376,""),"")</f>
        <v>0.65611172566370612</v>
      </c>
      <c r="D376" s="33" t="str">
        <f>IFERROR(IF(Calc!E376&lt;=$D$4,"Nice",""),"")</f>
        <v/>
      </c>
      <c r="E376" s="40" t="str">
        <f>IFERROR(IF(Calc!J376&lt;=$C$4,Calc!I376,""),"")</f>
        <v/>
      </c>
      <c r="F376" s="40" t="str">
        <f>IFERROR(IF(Calc!J376&lt;=$C$4,CONCATENATE(TEXT(Calc!H376,"#0.000#")," + ",TEXT(INDEX(Calc!L376:P376,$B$4),"#0.000#")),""),"")</f>
        <v/>
      </c>
      <c r="G376" s="41" t="str">
        <f>IFERROR(IF(Calc!J376&lt;=$C$4,Calc!J376,""),"")</f>
        <v/>
      </c>
      <c r="H376" s="33" t="str">
        <f>IFERROR(IF(Calc!J376&lt;=$D$4,"Nice",""),"")</f>
        <v/>
      </c>
      <c r="J376" s="7" t="str">
        <f>CONCATENATE("[",TEXT(Show!A376,"#.0#"),":",TEXT(Show!B376,"#.0#"),"][",TEXT(Show!E376,"#.0#"),":",TEXT(Show!F376,"#.0#"),"]")</f>
        <v>[39.74:42.200 || 681.000][:]</v>
      </c>
    </row>
    <row r="377" spans="1:10" x14ac:dyDescent="0.25">
      <c r="A377" s="40">
        <f>IFERROR(IF(Calc!E377&lt;=$C$4,Calc!D377,""),"")</f>
        <v>39.952032315071953</v>
      </c>
      <c r="B377" s="40" t="str">
        <f>IFERROR(IF(Calc!E377&lt;=$C$4,CONCATENATE(TEXT(Calc!C377,"#0.000#")," || ",TEXT(INDEX(Calc!L377:P377,$B$4),"#0.000#")),""),"")</f>
        <v>42.200 || 750.000</v>
      </c>
      <c r="C377" s="41">
        <f>IFERROR(IF(Calc!E377&lt;=$C$4,Calc!E377,""),"")</f>
        <v>0.11991921232011649</v>
      </c>
      <c r="D377" s="33" t="str">
        <f>IFERROR(IF(Calc!E377&lt;=$D$4,"Nice",""),"")</f>
        <v>Nice</v>
      </c>
      <c r="E377" s="40" t="str">
        <f>IFERROR(IF(Calc!J377&lt;=$C$4,Calc!I377,""),"")</f>
        <v/>
      </c>
      <c r="F377" s="40" t="str">
        <f>IFERROR(IF(Calc!J377&lt;=$C$4,CONCATENATE(TEXT(Calc!H377,"#0.000#")," + ",TEXT(INDEX(Calc!L377:P377,$B$4),"#0.000#")),""),"")</f>
        <v/>
      </c>
      <c r="G377" s="41" t="str">
        <f>IFERROR(IF(Calc!J377&lt;=$C$4,Calc!J377,""),"")</f>
        <v/>
      </c>
      <c r="H377" s="33" t="str">
        <f>IFERROR(IF(Calc!J377&lt;=$D$4,"Nice",""),"")</f>
        <v/>
      </c>
      <c r="J377" s="7" t="str">
        <f>CONCATENATE("[",TEXT(Show!A377,"#.0#"),":",TEXT(Show!B377,"#.0#"),"][",TEXT(Show!E377,"#.0#"),":",TEXT(Show!F377,"#.0#"),"]")</f>
        <v>[39.95:42.200 || 750.000][:]</v>
      </c>
    </row>
    <row r="378" spans="1:10" hidden="1" x14ac:dyDescent="0.25">
      <c r="A378" s="40">
        <f>IFERROR(IF(Calc!E378&lt;=$C$4,Calc!D378,""),"")</f>
        <v>39.952032315071953</v>
      </c>
      <c r="B378" s="40" t="str">
        <f>IFERROR(IF(Calc!E378&lt;=$C$4,CONCATENATE(TEXT(Calc!C378,"#0.000#")," || ",TEXT(INDEX(Calc!L378:P378,$B$4),"#0.000#")),""),"")</f>
        <v>42.200 || 750.000</v>
      </c>
      <c r="C378" s="41">
        <f>IFERROR(IF(Calc!E378&lt;=$C$4,Calc!E378,""),"")</f>
        <v>0.11991921232011649</v>
      </c>
      <c r="D378" s="33" t="str">
        <f>IFERROR(IF(Calc!E378&lt;=$D$4,"Nice",""),"")</f>
        <v>Nice</v>
      </c>
      <c r="E378" s="40" t="str">
        <f>IFERROR(IF(Calc!J378&lt;=$C$4,Calc!I378,""),"")</f>
        <v/>
      </c>
      <c r="F378" s="40" t="str">
        <f>IFERROR(IF(Calc!J378&lt;=$C$4,CONCATENATE(TEXT(Calc!H378,"#0.000#")," + ",TEXT(INDEX(Calc!L378:P378,$B$4),"#0.000#")),""),"")</f>
        <v/>
      </c>
      <c r="G378" s="41" t="str">
        <f>IFERROR(IF(Calc!J378&lt;=$C$4,Calc!J378,""),"")</f>
        <v/>
      </c>
      <c r="H378" s="33" t="str">
        <f>IFERROR(IF(Calc!J378&lt;=$D$4,"Nice",""),"")</f>
        <v/>
      </c>
      <c r="J378" s="7" t="str">
        <f>CONCATENATE("[",TEXT(Show!A378,"#.0#"),":",TEXT(Show!B378,"#.0#"),"][",TEXT(Show!E378,"#.0#"),":",TEXT(Show!F378,"#.0#"),"]")</f>
        <v>[39.95:42.200 || 750.000][:]</v>
      </c>
    </row>
    <row r="379" spans="1:10" hidden="1" x14ac:dyDescent="0.25">
      <c r="A379" s="40">
        <f>IFERROR(IF(Calc!E379&lt;=$C$4,Calc!D379,""),"")</f>
        <v>39.952032315071953</v>
      </c>
      <c r="B379" s="40" t="str">
        <f>IFERROR(IF(Calc!E379&lt;=$C$4,CONCATENATE(TEXT(Calc!C379,"#0.000#")," || ",TEXT(INDEX(Calc!L379:P379,$B$4),"#0.000#")),""),"")</f>
        <v>42.200 || 750.000</v>
      </c>
      <c r="C379" s="41">
        <f>IFERROR(IF(Calc!E379&lt;=$C$4,Calc!E379,""),"")</f>
        <v>0.11991921232011649</v>
      </c>
      <c r="D379" s="33" t="str">
        <f>IFERROR(IF(Calc!E379&lt;=$D$4,"Nice",""),"")</f>
        <v>Nice</v>
      </c>
      <c r="E379" s="40" t="str">
        <f>IFERROR(IF(Calc!J379&lt;=$C$4,Calc!I379,""),"")</f>
        <v/>
      </c>
      <c r="F379" s="40" t="str">
        <f>IFERROR(IF(Calc!J379&lt;=$C$4,CONCATENATE(TEXT(Calc!H379,"#0.000#")," + ",TEXT(INDEX(Calc!L379:P379,$B$4),"#0.000#")),""),"")</f>
        <v/>
      </c>
      <c r="G379" s="41" t="str">
        <f>IFERROR(IF(Calc!J379&lt;=$C$4,Calc!J379,""),"")</f>
        <v/>
      </c>
      <c r="H379" s="33" t="str">
        <f>IFERROR(IF(Calc!J379&lt;=$D$4,"Nice",""),"")</f>
        <v/>
      </c>
      <c r="J379" s="7" t="str">
        <f>CONCATENATE("[",TEXT(Show!A379,"#.0#"),":",TEXT(Show!B379,"#.0#"),"][",TEXT(Show!E379,"#.0#"),":",TEXT(Show!F379,"#.0#"),"]")</f>
        <v>[39.95:42.200 || 750.000][:]</v>
      </c>
    </row>
    <row r="380" spans="1:10" hidden="1" x14ac:dyDescent="0.25">
      <c r="A380" s="40">
        <f>IFERROR(IF(Calc!E380&lt;=$C$4,Calc!D380,""),"")</f>
        <v>39.952032315071953</v>
      </c>
      <c r="B380" s="40" t="str">
        <f>IFERROR(IF(Calc!E380&lt;=$C$4,CONCATENATE(TEXT(Calc!C380,"#0.000#")," || ",TEXT(INDEX(Calc!L380:P380,$B$4),"#0.000#")),""),"")</f>
        <v>42.200 || 750.000</v>
      </c>
      <c r="C380" s="41">
        <f>IFERROR(IF(Calc!E380&lt;=$C$4,Calc!E380,""),"")</f>
        <v>0.11991921232011649</v>
      </c>
      <c r="D380" s="33" t="str">
        <f>IFERROR(IF(Calc!E380&lt;=$D$4,"Nice",""),"")</f>
        <v>Nice</v>
      </c>
      <c r="E380" s="40" t="str">
        <f>IFERROR(IF(Calc!J380&lt;=$C$4,Calc!I380,""),"")</f>
        <v/>
      </c>
      <c r="F380" s="40" t="str">
        <f>IFERROR(IF(Calc!J380&lt;=$C$4,CONCATENATE(TEXT(Calc!H380,"#0.000#")," + ",TEXT(INDEX(Calc!L380:P380,$B$4),"#0.000#")),""),"")</f>
        <v/>
      </c>
      <c r="G380" s="41" t="str">
        <f>IFERROR(IF(Calc!J380&lt;=$C$4,Calc!J380,""),"")</f>
        <v/>
      </c>
      <c r="H380" s="33" t="str">
        <f>IFERROR(IF(Calc!J380&lt;=$D$4,"Nice",""),"")</f>
        <v/>
      </c>
      <c r="J380" s="7" t="str">
        <f>CONCATENATE("[",TEXT(Show!A380,"#.0#"),":",TEXT(Show!B380,"#.0#"),"][",TEXT(Show!E380,"#.0#"),":",TEXT(Show!F380,"#.0#"),"]")</f>
        <v>[39.95:42.200 || 750.000][:]</v>
      </c>
    </row>
    <row r="381" spans="1:10" x14ac:dyDescent="0.25">
      <c r="A381" s="40">
        <f>IFERROR(IF(Calc!E381&lt;=$C$4,Calc!D381,""),"")</f>
        <v>40.146448339483399</v>
      </c>
      <c r="B381" s="40" t="str">
        <f>IFERROR(IF(Calc!E381&lt;=$C$4,CONCATENATE(TEXT(Calc!C381,"#0.000#")," || ",TEXT(INDEX(Calc!L381:P381,$B$4),"#0.000#")),""),"")</f>
        <v>42.200 || 825.000</v>
      </c>
      <c r="C381" s="41">
        <f>IFERROR(IF(Calc!E381&lt;=$C$4,Calc!E381,""),"")</f>
        <v>0.3661208487084977</v>
      </c>
      <c r="D381" s="33" t="str">
        <f>IFERROR(IF(Calc!E381&lt;=$D$4,"Nice",""),"")</f>
        <v/>
      </c>
      <c r="E381" s="40" t="str">
        <f>IFERROR(IF(Calc!J381&lt;=$C$4,Calc!I381,""),"")</f>
        <v/>
      </c>
      <c r="F381" s="40" t="str">
        <f>IFERROR(IF(Calc!J381&lt;=$C$4,CONCATENATE(TEXT(Calc!H381,"#0.000#")," + ",TEXT(INDEX(Calc!L381:P381,$B$4),"#0.000#")),""),"")</f>
        <v/>
      </c>
      <c r="G381" s="41" t="str">
        <f>IFERROR(IF(Calc!J381&lt;=$C$4,Calc!J381,""),"")</f>
        <v/>
      </c>
      <c r="H381" s="33" t="str">
        <f>IFERROR(IF(Calc!J381&lt;=$D$4,"Nice",""),"")</f>
        <v/>
      </c>
      <c r="J381" s="7" t="str">
        <f>CONCATENATE("[",TEXT(Show!A381,"#.0#"),":",TEXT(Show!B381,"#.0#"),"][",TEXT(Show!E381,"#.0#"),":",TEXT(Show!F381,"#.0#"),"]")</f>
        <v>[40.15:42.200 || 825.000][:]</v>
      </c>
    </row>
    <row r="382" spans="1:10" hidden="1" x14ac:dyDescent="0.25">
      <c r="A382" s="40">
        <f>IFERROR(IF(Calc!E382&lt;=$C$4,Calc!D382,""),"")</f>
        <v>40.146448339483399</v>
      </c>
      <c r="B382" s="40" t="str">
        <f>IFERROR(IF(Calc!E382&lt;=$C$4,CONCATENATE(TEXT(Calc!C382,"#0.000#")," || ",TEXT(INDEX(Calc!L382:P382,$B$4),"#0.000#")),""),"")</f>
        <v>42.200 || 825.000</v>
      </c>
      <c r="C382" s="41">
        <f>IFERROR(IF(Calc!E382&lt;=$C$4,Calc!E382,""),"")</f>
        <v>0.3661208487084977</v>
      </c>
      <c r="D382" s="33" t="str">
        <f>IFERROR(IF(Calc!E382&lt;=$D$4,"Nice",""),"")</f>
        <v/>
      </c>
      <c r="E382" s="40" t="str">
        <f>IFERROR(IF(Calc!J382&lt;=$C$4,Calc!I382,""),"")</f>
        <v/>
      </c>
      <c r="F382" s="40" t="str">
        <f>IFERROR(IF(Calc!J382&lt;=$C$4,CONCATENATE(TEXT(Calc!H382,"#0.000#")," + ",TEXT(INDEX(Calc!L382:P382,$B$4),"#0.000#")),""),"")</f>
        <v/>
      </c>
      <c r="G382" s="41" t="str">
        <f>IFERROR(IF(Calc!J382&lt;=$C$4,Calc!J382,""),"")</f>
        <v/>
      </c>
      <c r="H382" s="33" t="str">
        <f>IFERROR(IF(Calc!J382&lt;=$D$4,"Nice",""),"")</f>
        <v/>
      </c>
      <c r="J382" s="7" t="str">
        <f>CONCATENATE("[",TEXT(Show!A382,"#.0#"),":",TEXT(Show!B382,"#.0#"),"][",TEXT(Show!E382,"#.0#"),":",TEXT(Show!F382,"#.0#"),"]")</f>
        <v>[40.15:42.200 || 825.000][:]</v>
      </c>
    </row>
    <row r="383" spans="1:10" hidden="1" x14ac:dyDescent="0.25">
      <c r="A383" s="40">
        <f>IFERROR(IF(Calc!E383&lt;=$C$4,Calc!D383,""),"")</f>
        <v>40.146448339483399</v>
      </c>
      <c r="B383" s="40" t="str">
        <f>IFERROR(IF(Calc!E383&lt;=$C$4,CONCATENATE(TEXT(Calc!C383,"#0.000#")," || ",TEXT(INDEX(Calc!L383:P383,$B$4),"#0.000#")),""),"")</f>
        <v>42.200 || 825.000</v>
      </c>
      <c r="C383" s="41">
        <f>IFERROR(IF(Calc!E383&lt;=$C$4,Calc!E383,""),"")</f>
        <v>0.3661208487084977</v>
      </c>
      <c r="D383" s="33" t="str">
        <f>IFERROR(IF(Calc!E383&lt;=$D$4,"Nice",""),"")</f>
        <v/>
      </c>
      <c r="E383" s="40" t="str">
        <f>IFERROR(IF(Calc!J383&lt;=$C$4,Calc!I383,""),"")</f>
        <v/>
      </c>
      <c r="F383" s="40" t="str">
        <f>IFERROR(IF(Calc!J383&lt;=$C$4,CONCATENATE(TEXT(Calc!H383,"#0.000#")," + ",TEXT(INDEX(Calc!L383:P383,$B$4),"#0.000#")),""),"")</f>
        <v/>
      </c>
      <c r="G383" s="41" t="str">
        <f>IFERROR(IF(Calc!J383&lt;=$C$4,Calc!J383,""),"")</f>
        <v/>
      </c>
      <c r="H383" s="33" t="str">
        <f>IFERROR(IF(Calc!J383&lt;=$D$4,"Nice",""),"")</f>
        <v/>
      </c>
      <c r="J383" s="7" t="str">
        <f>CONCATENATE("[",TEXT(Show!A383,"#.0#"),":",TEXT(Show!B383,"#.0#"),"][",TEXT(Show!E383,"#.0#"),":",TEXT(Show!F383,"#.0#"),"]")</f>
        <v>[40.15:42.200 || 825.000][:]</v>
      </c>
    </row>
    <row r="384" spans="1:10" hidden="1" x14ac:dyDescent="0.25">
      <c r="A384" s="40">
        <f>IFERROR(IF(Calc!E384&lt;=$C$4,Calc!D384,""),"")</f>
        <v>40.146448339483399</v>
      </c>
      <c r="B384" s="40" t="str">
        <f>IFERROR(IF(Calc!E384&lt;=$C$4,CONCATENATE(TEXT(Calc!C384,"#0.000#")," || ",TEXT(INDEX(Calc!L384:P384,$B$4),"#0.000#")),""),"")</f>
        <v>42.200 || 825.000</v>
      </c>
      <c r="C384" s="41">
        <f>IFERROR(IF(Calc!E384&lt;=$C$4,Calc!E384,""),"")</f>
        <v>0.3661208487084977</v>
      </c>
      <c r="D384" s="33" t="str">
        <f>IFERROR(IF(Calc!E384&lt;=$D$4,"Nice",""),"")</f>
        <v/>
      </c>
      <c r="E384" s="40" t="str">
        <f>IFERROR(IF(Calc!J384&lt;=$C$4,Calc!I384,""),"")</f>
        <v/>
      </c>
      <c r="F384" s="40" t="str">
        <f>IFERROR(IF(Calc!J384&lt;=$C$4,CONCATENATE(TEXT(Calc!H384,"#0.000#")," + ",TEXT(INDEX(Calc!L384:P384,$B$4),"#0.000#")),""),"")</f>
        <v/>
      </c>
      <c r="G384" s="41" t="str">
        <f>IFERROR(IF(Calc!J384&lt;=$C$4,Calc!J384,""),"")</f>
        <v/>
      </c>
      <c r="H384" s="33" t="str">
        <f>IFERROR(IF(Calc!J384&lt;=$D$4,"Nice",""),"")</f>
        <v/>
      </c>
      <c r="J384" s="7" t="str">
        <f>CONCATENATE("[",TEXT(Show!A384,"#.0#"),":",TEXT(Show!B384,"#.0#"),"][",TEXT(Show!E384,"#.0#"),":",TEXT(Show!F384,"#.0#"),"]")</f>
        <v>[40.15:42.200 || 825.000][:]</v>
      </c>
    </row>
    <row r="385" spans="1:10" x14ac:dyDescent="0.25">
      <c r="A385" s="40">
        <f>IFERROR(IF(Calc!E385&lt;=$C$4,Calc!D385,""),"")</f>
        <v>40.327796467619848</v>
      </c>
      <c r="B385" s="40" t="str">
        <f>IFERROR(IF(Calc!E385&lt;=$C$4,CONCATENATE(TEXT(Calc!C385,"#0.000#")," || ",TEXT(INDEX(Calc!L385:P385,$B$4),"#0.000#")),""),"")</f>
        <v>42.200 || 909.000</v>
      </c>
      <c r="C385" s="41">
        <f>IFERROR(IF(Calc!E385&lt;=$C$4,Calc!E385,""),"")</f>
        <v>0.81949116904961983</v>
      </c>
      <c r="D385" s="33" t="str">
        <f>IFERROR(IF(Calc!E385&lt;=$D$4,"Nice",""),"")</f>
        <v/>
      </c>
      <c r="E385" s="40" t="str">
        <f>IFERROR(IF(Calc!J385&lt;=$C$4,Calc!I385,""),"")</f>
        <v/>
      </c>
      <c r="F385" s="40" t="str">
        <f>IFERROR(IF(Calc!J385&lt;=$C$4,CONCATENATE(TEXT(Calc!H385,"#0.000#")," + ",TEXT(INDEX(Calc!L385:P385,$B$4),"#0.000#")),""),"")</f>
        <v/>
      </c>
      <c r="G385" s="41" t="str">
        <f>IFERROR(IF(Calc!J385&lt;=$C$4,Calc!J385,""),"")</f>
        <v/>
      </c>
      <c r="H385" s="33" t="str">
        <f>IFERROR(IF(Calc!J385&lt;=$D$4,"Nice",""),"")</f>
        <v/>
      </c>
      <c r="J385" s="7" t="str">
        <f>CONCATENATE("[",TEXT(Show!A385,"#.0#"),":",TEXT(Show!B385,"#.0#"),"][",TEXT(Show!E385,"#.0#"),":",TEXT(Show!F385,"#.0#"),"]")</f>
        <v>[40.33:42.200 || 909.000][:]</v>
      </c>
    </row>
    <row r="386" spans="1:10" hidden="1" x14ac:dyDescent="0.25">
      <c r="A386" s="40">
        <f>IFERROR(IF(Calc!E386&lt;=$C$4,Calc!D386,""),"")</f>
        <v>40.327796467619848</v>
      </c>
      <c r="B386" s="40" t="str">
        <f>IFERROR(IF(Calc!E386&lt;=$C$4,CONCATENATE(TEXT(Calc!C386,"#0.000#")," || ",TEXT(INDEX(Calc!L386:P386,$B$4),"#0.000#")),""),"")</f>
        <v>42.200 || 909.000</v>
      </c>
      <c r="C386" s="41">
        <f>IFERROR(IF(Calc!E386&lt;=$C$4,Calc!E386,""),"")</f>
        <v>0.81949116904961983</v>
      </c>
      <c r="D386" s="33" t="str">
        <f>IFERROR(IF(Calc!E386&lt;=$D$4,"Nice",""),"")</f>
        <v/>
      </c>
      <c r="E386" s="40" t="str">
        <f>IFERROR(IF(Calc!J386&lt;=$C$4,Calc!I386,""),"")</f>
        <v/>
      </c>
      <c r="F386" s="40" t="str">
        <f>IFERROR(IF(Calc!J386&lt;=$C$4,CONCATENATE(TEXT(Calc!H386,"#0.000#")," + ",TEXT(INDEX(Calc!L386:P386,$B$4),"#0.000#")),""),"")</f>
        <v/>
      </c>
      <c r="G386" s="41" t="str">
        <f>IFERROR(IF(Calc!J386&lt;=$C$4,Calc!J386,""),"")</f>
        <v/>
      </c>
      <c r="H386" s="33" t="str">
        <f>IFERROR(IF(Calc!J386&lt;=$D$4,"Nice",""),"")</f>
        <v/>
      </c>
      <c r="J386" s="7" t="str">
        <f>CONCATENATE("[",TEXT(Show!A386,"#.0#"),":",TEXT(Show!B386,"#.0#"),"][",TEXT(Show!E386,"#.0#"),":",TEXT(Show!F386,"#.0#"),"]")</f>
        <v>[40.33:42.200 || 909.000][:]</v>
      </c>
    </row>
    <row r="387" spans="1:10" hidden="1" x14ac:dyDescent="0.25">
      <c r="A387" s="40">
        <f>IFERROR(IF(Calc!E387&lt;=$C$4,Calc!D387,""),"")</f>
        <v>40.327796467619848</v>
      </c>
      <c r="B387" s="40" t="str">
        <f>IFERROR(IF(Calc!E387&lt;=$C$4,CONCATENATE(TEXT(Calc!C387,"#0.000#")," || ",TEXT(INDEX(Calc!L387:P387,$B$4),"#0.000#")),""),"")</f>
        <v>42.200 || 909.000</v>
      </c>
      <c r="C387" s="41">
        <f>IFERROR(IF(Calc!E387&lt;=$C$4,Calc!E387,""),"")</f>
        <v>0.81949116904961983</v>
      </c>
      <c r="D387" s="33" t="str">
        <f>IFERROR(IF(Calc!E387&lt;=$D$4,"Nice",""),"")</f>
        <v/>
      </c>
      <c r="E387" s="40" t="str">
        <f>IFERROR(IF(Calc!J387&lt;=$C$4,Calc!I387,""),"")</f>
        <v/>
      </c>
      <c r="F387" s="40" t="str">
        <f>IFERROR(IF(Calc!J387&lt;=$C$4,CONCATENATE(TEXT(Calc!H387,"#0.000#")," + ",TEXT(INDEX(Calc!L387:P387,$B$4),"#0.000#")),""),"")</f>
        <v/>
      </c>
      <c r="G387" s="41" t="str">
        <f>IFERROR(IF(Calc!J387&lt;=$C$4,Calc!J387,""),"")</f>
        <v/>
      </c>
      <c r="H387" s="33" t="str">
        <f>IFERROR(IF(Calc!J387&lt;=$D$4,"Nice",""),"")</f>
        <v/>
      </c>
      <c r="J387" s="7" t="str">
        <f>CONCATENATE("[",TEXT(Show!A387,"#.0#"),":",TEXT(Show!B387,"#.0#"),"][",TEXT(Show!E387,"#.0#"),":",TEXT(Show!F387,"#.0#"),"]")</f>
        <v>[40.33:42.200 || 909.000][:]</v>
      </c>
    </row>
    <row r="388" spans="1:10" hidden="1" x14ac:dyDescent="0.25">
      <c r="A388" s="40">
        <f>IFERROR(IF(Calc!E388&lt;=$C$4,Calc!D388,""),"")</f>
        <v>40.327796467619848</v>
      </c>
      <c r="B388" s="40" t="str">
        <f>IFERROR(IF(Calc!E388&lt;=$C$4,CONCATENATE(TEXT(Calc!C388,"#0.000#")," || ",TEXT(INDEX(Calc!L388:P388,$B$4),"#0.000#")),""),"")</f>
        <v>42.200 || 909.000</v>
      </c>
      <c r="C388" s="41">
        <f>IFERROR(IF(Calc!E388&lt;=$C$4,Calc!E388,""),"")</f>
        <v>0.81949116904961983</v>
      </c>
      <c r="D388" s="33" t="str">
        <f>IFERROR(IF(Calc!E388&lt;=$D$4,"Nice",""),"")</f>
        <v/>
      </c>
      <c r="E388" s="40" t="str">
        <f>IFERROR(IF(Calc!J388&lt;=$C$4,Calc!I388,""),"")</f>
        <v/>
      </c>
      <c r="F388" s="40" t="str">
        <f>IFERROR(IF(Calc!J388&lt;=$C$4,CONCATENATE(TEXT(Calc!H388,"#0.000#")," + ",TEXT(INDEX(Calc!L388:P388,$B$4),"#0.000#")),""),"")</f>
        <v/>
      </c>
      <c r="G388" s="41" t="str">
        <f>IFERROR(IF(Calc!J388&lt;=$C$4,Calc!J388,""),"")</f>
        <v/>
      </c>
      <c r="H388" s="33" t="str">
        <f>IFERROR(IF(Calc!J388&lt;=$D$4,"Nice",""),"")</f>
        <v/>
      </c>
      <c r="J388" s="7" t="str">
        <f>CONCATENATE("[",TEXT(Show!A388,"#.0#"),":",TEXT(Show!B388,"#.0#"),"][",TEXT(Show!E388,"#.0#"),":",TEXT(Show!F388,"#.0#"),"]")</f>
        <v>[40.33:42.200 || 909.000][:]</v>
      </c>
    </row>
    <row r="389" spans="1:10" hidden="1" x14ac:dyDescent="0.25">
      <c r="A389" s="40" t="str">
        <f>IFERROR(IF(Calc!E389&lt;=$C$4,Calc!D389,""),"")</f>
        <v/>
      </c>
      <c r="B389" s="40" t="str">
        <f>IFERROR(IF(Calc!E389&lt;=$C$4,CONCATENATE(TEXT(Calc!C389,"#0.000#")," || ",TEXT(INDEX(Calc!L389:P389,$B$4),"#0.000#")),""),"")</f>
        <v/>
      </c>
      <c r="C389" s="41" t="str">
        <f>IFERROR(IF(Calc!E389&lt;=$C$4,Calc!E389,""),"")</f>
        <v/>
      </c>
      <c r="D389" s="33" t="str">
        <f>IFERROR(IF(Calc!E389&lt;=$D$4,"Nice",""),"")</f>
        <v/>
      </c>
      <c r="E389" s="40" t="str">
        <f>IFERROR(IF(Calc!J389&lt;=$C$4,Calc!I389,""),"")</f>
        <v/>
      </c>
      <c r="F389" s="40" t="str">
        <f>IFERROR(IF(Calc!J389&lt;=$C$4,CONCATENATE(TEXT(Calc!H389,"#0.000#")," + ",TEXT(INDEX(Calc!L389:P389,$B$4),"#0.000#")),""),"")</f>
        <v/>
      </c>
      <c r="G389" s="41" t="str">
        <f>IFERROR(IF(Calc!J389&lt;=$C$4,Calc!J389,""),"")</f>
        <v/>
      </c>
      <c r="H389" s="33" t="str">
        <f>IFERROR(IF(Calc!J389&lt;=$D$4,"Nice",""),"")</f>
        <v/>
      </c>
      <c r="J389" s="7" t="str">
        <f>CONCATENATE("[",TEXT(Show!A389,"#.0#"),":",TEXT(Show!B389,"#.0#"),"][",TEXT(Show!E389,"#.0#"),":",TEXT(Show!F389,"#.0#"),"]")</f>
        <v>[:][:]</v>
      </c>
    </row>
    <row r="390" spans="1:10" hidden="1" x14ac:dyDescent="0.25">
      <c r="A390" s="40" t="str">
        <f>IFERROR(IF(Calc!E390&lt;=$C$4,Calc!D390,""),"")</f>
        <v/>
      </c>
      <c r="B390" s="40" t="str">
        <f>IFERROR(IF(Calc!E390&lt;=$C$4,CONCATENATE(TEXT(Calc!C390,"#0.000#")," || ",TEXT(INDEX(Calc!L390:P390,$B$4),"#0.000#")),""),"")</f>
        <v/>
      </c>
      <c r="C390" s="41" t="str">
        <f>IFERROR(IF(Calc!E390&lt;=$C$4,Calc!E390,""),"")</f>
        <v/>
      </c>
      <c r="D390" s="33" t="str">
        <f>IFERROR(IF(Calc!E390&lt;=$D$4,"Nice",""),"")</f>
        <v/>
      </c>
      <c r="E390" s="40" t="str">
        <f>IFERROR(IF(Calc!J390&lt;=$C$4,Calc!I390,""),"")</f>
        <v/>
      </c>
      <c r="F390" s="40" t="str">
        <f>IFERROR(IF(Calc!J390&lt;=$C$4,CONCATENATE(TEXT(Calc!H390,"#0.000#")," + ",TEXT(INDEX(Calc!L390:P390,$B$4),"#0.000#")),""),"")</f>
        <v/>
      </c>
      <c r="G390" s="41" t="str">
        <f>IFERROR(IF(Calc!J390&lt;=$C$4,Calc!J390,""),"")</f>
        <v/>
      </c>
      <c r="H390" s="33" t="str">
        <f>IFERROR(IF(Calc!J390&lt;=$D$4,"Nice",""),"")</f>
        <v/>
      </c>
      <c r="J390" s="7" t="str">
        <f>CONCATENATE("[",TEXT(Show!A390,"#.0#"),":",TEXT(Show!B390,"#.0#"),"][",TEXT(Show!E390,"#.0#"),":",TEXT(Show!F390,"#.0#"),"]")</f>
        <v>[:][:]</v>
      </c>
    </row>
    <row r="391" spans="1:10" hidden="1" x14ac:dyDescent="0.25">
      <c r="A391" s="40" t="str">
        <f>IFERROR(IF(Calc!E391&lt;=$C$4,Calc!D391,""),"")</f>
        <v/>
      </c>
      <c r="B391" s="40" t="str">
        <f>IFERROR(IF(Calc!E391&lt;=$C$4,CONCATENATE(TEXT(Calc!C391,"#0.000#")," || ",TEXT(INDEX(Calc!L391:P391,$B$4),"#0.000#")),""),"")</f>
        <v/>
      </c>
      <c r="C391" s="41" t="str">
        <f>IFERROR(IF(Calc!E391&lt;=$C$4,Calc!E391,""),"")</f>
        <v/>
      </c>
      <c r="D391" s="33" t="str">
        <f>IFERROR(IF(Calc!E391&lt;=$D$4,"Nice",""),"")</f>
        <v/>
      </c>
      <c r="E391" s="40" t="str">
        <f>IFERROR(IF(Calc!J391&lt;=$C$4,Calc!I391,""),"")</f>
        <v/>
      </c>
      <c r="F391" s="40" t="str">
        <f>IFERROR(IF(Calc!J391&lt;=$C$4,CONCATENATE(TEXT(Calc!H391,"#0.000#")," + ",TEXT(INDEX(Calc!L391:P391,$B$4),"#0.000#")),""),"")</f>
        <v/>
      </c>
      <c r="G391" s="41" t="str">
        <f>IFERROR(IF(Calc!J391&lt;=$C$4,Calc!J391,""),"")</f>
        <v/>
      </c>
      <c r="H391" s="33" t="str">
        <f>IFERROR(IF(Calc!J391&lt;=$D$4,"Nice",""),"")</f>
        <v/>
      </c>
      <c r="J391" s="7" t="str">
        <f>CONCATENATE("[",TEXT(Show!A391,"#.0#"),":",TEXT(Show!B391,"#.0#"),"][",TEXT(Show!E391,"#.0#"),":",TEXT(Show!F391,"#.0#"),"]")</f>
        <v>[:][:]</v>
      </c>
    </row>
    <row r="392" spans="1:10" hidden="1" x14ac:dyDescent="0.25">
      <c r="A392" s="40" t="str">
        <f>IFERROR(IF(Calc!E392&lt;=$C$4,Calc!D392,""),"")</f>
        <v/>
      </c>
      <c r="B392" s="40" t="str">
        <f>IFERROR(IF(Calc!E392&lt;=$C$4,CONCATENATE(TEXT(Calc!C392,"#0.000#")," || ",TEXT(INDEX(Calc!L392:P392,$B$4),"#0.000#")),""),"")</f>
        <v/>
      </c>
      <c r="C392" s="41" t="str">
        <f>IFERROR(IF(Calc!E392&lt;=$C$4,Calc!E392,""),"")</f>
        <v/>
      </c>
      <c r="D392" s="33" t="str">
        <f>IFERROR(IF(Calc!E392&lt;=$D$4,"Nice",""),"")</f>
        <v/>
      </c>
      <c r="E392" s="40" t="str">
        <f>IFERROR(IF(Calc!J392&lt;=$C$4,Calc!I392,""),"")</f>
        <v/>
      </c>
      <c r="F392" s="40" t="str">
        <f>IFERROR(IF(Calc!J392&lt;=$C$4,CONCATENATE(TEXT(Calc!H392,"#0.000#")," + ",TEXT(INDEX(Calc!L392:P392,$B$4),"#0.000#")),""),"")</f>
        <v/>
      </c>
      <c r="G392" s="41" t="str">
        <f>IFERROR(IF(Calc!J392&lt;=$C$4,Calc!J392,""),"")</f>
        <v/>
      </c>
      <c r="H392" s="33" t="str">
        <f>IFERROR(IF(Calc!J392&lt;=$D$4,"Nice",""),"")</f>
        <v/>
      </c>
      <c r="J392" s="7" t="str">
        <f>CONCATENATE("[",TEXT(Show!A392,"#.0#"),":",TEXT(Show!B392,"#.0#"),"][",TEXT(Show!E392,"#.0#"),":",TEXT(Show!F392,"#.0#"),"]")</f>
        <v>[:][:]</v>
      </c>
    </row>
    <row r="393" spans="1:10" hidden="1" x14ac:dyDescent="0.25">
      <c r="A393" s="40" t="str">
        <f>IFERROR(IF(Calc!E393&lt;=$C$4,Calc!D393,""),"")</f>
        <v/>
      </c>
      <c r="B393" s="40" t="str">
        <f>IFERROR(IF(Calc!E393&lt;=$C$4,CONCATENATE(TEXT(Calc!C393,"#0.000#")," || ",TEXT(INDEX(Calc!L393:P393,$B$4),"#0.000#")),""),"")</f>
        <v/>
      </c>
      <c r="C393" s="41" t="str">
        <f>IFERROR(IF(Calc!E393&lt;=$C$4,Calc!E393,""),"")</f>
        <v/>
      </c>
      <c r="D393" s="33" t="str">
        <f>IFERROR(IF(Calc!E393&lt;=$D$4,"Nice",""),"")</f>
        <v/>
      </c>
      <c r="E393" s="40" t="str">
        <f>IFERROR(IF(Calc!J393&lt;=$C$4,Calc!I393,""),"")</f>
        <v/>
      </c>
      <c r="F393" s="40" t="str">
        <f>IFERROR(IF(Calc!J393&lt;=$C$4,CONCATENATE(TEXT(Calc!H393,"#0.000#")," + ",TEXT(INDEX(Calc!L393:P393,$B$4),"#0.000#")),""),"")</f>
        <v/>
      </c>
      <c r="G393" s="41" t="str">
        <f>IFERROR(IF(Calc!J393&lt;=$C$4,Calc!J393,""),"")</f>
        <v/>
      </c>
      <c r="H393" s="33" t="str">
        <f>IFERROR(IF(Calc!J393&lt;=$D$4,"Nice",""),"")</f>
        <v/>
      </c>
      <c r="J393" s="7" t="str">
        <f>CONCATENATE("[",TEXT(Show!A393,"#.0#"),":",TEXT(Show!B393,"#.0#"),"][",TEXT(Show!E393,"#.0#"),":",TEXT(Show!F393,"#.0#"),"]")</f>
        <v>[:][:]</v>
      </c>
    </row>
    <row r="394" spans="1:10" hidden="1" x14ac:dyDescent="0.25">
      <c r="A394" s="40" t="str">
        <f>IFERROR(IF(Calc!E394&lt;=$C$4,Calc!D394,""),"")</f>
        <v/>
      </c>
      <c r="B394" s="40" t="str">
        <f>IFERROR(IF(Calc!E394&lt;=$C$4,CONCATENATE(TEXT(Calc!C394,"#0.000#")," || ",TEXT(INDEX(Calc!L394:P394,$B$4),"#0.000#")),""),"")</f>
        <v/>
      </c>
      <c r="C394" s="41" t="str">
        <f>IFERROR(IF(Calc!E394&lt;=$C$4,Calc!E394,""),"")</f>
        <v/>
      </c>
      <c r="D394" s="33" t="str">
        <f>IFERROR(IF(Calc!E394&lt;=$D$4,"Nice",""),"")</f>
        <v/>
      </c>
      <c r="E394" s="40" t="str">
        <f>IFERROR(IF(Calc!J394&lt;=$C$4,Calc!I394,""),"")</f>
        <v/>
      </c>
      <c r="F394" s="40" t="str">
        <f>IFERROR(IF(Calc!J394&lt;=$C$4,CONCATENATE(TEXT(Calc!H394,"#0.000#")," + ",TEXT(INDEX(Calc!L394:P394,$B$4),"#0.000#")),""),"")</f>
        <v/>
      </c>
      <c r="G394" s="41" t="str">
        <f>IFERROR(IF(Calc!J394&lt;=$C$4,Calc!J394,""),"")</f>
        <v/>
      </c>
      <c r="H394" s="33" t="str">
        <f>IFERROR(IF(Calc!J394&lt;=$D$4,"Nice",""),"")</f>
        <v/>
      </c>
      <c r="J394" s="7" t="str">
        <f>CONCATENATE("[",TEXT(Show!A394,"#.0#"),":",TEXT(Show!B394,"#.0#"),"][",TEXT(Show!E394,"#.0#"),":",TEXT(Show!F394,"#.0#"),"]")</f>
        <v>[:][:]</v>
      </c>
    </row>
    <row r="395" spans="1:10" hidden="1" x14ac:dyDescent="0.25">
      <c r="A395" s="40" t="str">
        <f>IFERROR(IF(Calc!E395&lt;=$C$4,Calc!D395,""),"")</f>
        <v/>
      </c>
      <c r="B395" s="40" t="str">
        <f>IFERROR(IF(Calc!E395&lt;=$C$4,CONCATENATE(TEXT(Calc!C395,"#0.000#")," || ",TEXT(INDEX(Calc!L395:P395,$B$4),"#0.000#")),""),"")</f>
        <v/>
      </c>
      <c r="C395" s="41" t="str">
        <f>IFERROR(IF(Calc!E395&lt;=$C$4,Calc!E395,""),"")</f>
        <v/>
      </c>
      <c r="D395" s="33" t="str">
        <f>IFERROR(IF(Calc!E395&lt;=$D$4,"Nice",""),"")</f>
        <v/>
      </c>
      <c r="E395" s="40" t="str">
        <f>IFERROR(IF(Calc!J395&lt;=$C$4,Calc!I395,""),"")</f>
        <v/>
      </c>
      <c r="F395" s="40" t="str">
        <f>IFERROR(IF(Calc!J395&lt;=$C$4,CONCATENATE(TEXT(Calc!H395,"#0.000#")," + ",TEXT(INDEX(Calc!L395:P395,$B$4),"#0.000#")),""),"")</f>
        <v/>
      </c>
      <c r="G395" s="41" t="str">
        <f>IFERROR(IF(Calc!J395&lt;=$C$4,Calc!J395,""),"")</f>
        <v/>
      </c>
      <c r="H395" s="33" t="str">
        <f>IFERROR(IF(Calc!J395&lt;=$D$4,"Nice",""),"")</f>
        <v/>
      </c>
      <c r="J395" s="7" t="str">
        <f>CONCATENATE("[",TEXT(Show!A395,"#.0#"),":",TEXT(Show!B395,"#.0#"),"][",TEXT(Show!E395,"#.0#"),":",TEXT(Show!F395,"#.0#"),"]")</f>
        <v>[:][:]</v>
      </c>
    </row>
    <row r="396" spans="1:10" hidden="1" x14ac:dyDescent="0.25">
      <c r="A396" s="40" t="str">
        <f>IFERROR(IF(Calc!E396&lt;=$C$4,Calc!D396,""),"")</f>
        <v/>
      </c>
      <c r="B396" s="40" t="str">
        <f>IFERROR(IF(Calc!E396&lt;=$C$4,CONCATENATE(TEXT(Calc!C396,"#0.000#")," || ",TEXT(INDEX(Calc!L396:P396,$B$4),"#0.000#")),""),"")</f>
        <v/>
      </c>
      <c r="C396" s="41" t="str">
        <f>IFERROR(IF(Calc!E396&lt;=$C$4,Calc!E396,""),"")</f>
        <v/>
      </c>
      <c r="D396" s="33" t="str">
        <f>IFERROR(IF(Calc!E396&lt;=$D$4,"Nice",""),"")</f>
        <v/>
      </c>
      <c r="E396" s="40" t="str">
        <f>IFERROR(IF(Calc!J396&lt;=$C$4,Calc!I396,""),"")</f>
        <v/>
      </c>
      <c r="F396" s="40" t="str">
        <f>IFERROR(IF(Calc!J396&lt;=$C$4,CONCATENATE(TEXT(Calc!H396,"#0.000#")," + ",TEXT(INDEX(Calc!L396:P396,$B$4),"#0.000#")),""),"")</f>
        <v/>
      </c>
      <c r="G396" s="41" t="str">
        <f>IFERROR(IF(Calc!J396&lt;=$C$4,Calc!J396,""),"")</f>
        <v/>
      </c>
      <c r="H396" s="33" t="str">
        <f>IFERROR(IF(Calc!J396&lt;=$D$4,"Nice",""),"")</f>
        <v/>
      </c>
      <c r="J396" s="7" t="str">
        <f>CONCATENATE("[",TEXT(Show!A396,"#.0#"),":",TEXT(Show!B396,"#.0#"),"][",TEXT(Show!E396,"#.0#"),":",TEXT(Show!F396,"#.0#"),"]")</f>
        <v>[:][:]</v>
      </c>
    </row>
    <row r="397" spans="1:10" hidden="1" x14ac:dyDescent="0.25">
      <c r="A397" s="40" t="str">
        <f>IFERROR(IF(Calc!E397&lt;=$C$4,Calc!D397,""),"")</f>
        <v/>
      </c>
      <c r="B397" s="40" t="str">
        <f>IFERROR(IF(Calc!E397&lt;=$C$4,CONCATENATE(TEXT(Calc!C397,"#0.000#")," || ",TEXT(INDEX(Calc!L397:P397,$B$4),"#0.000#")),""),"")</f>
        <v/>
      </c>
      <c r="C397" s="41" t="str">
        <f>IFERROR(IF(Calc!E397&lt;=$C$4,Calc!E397,""),"")</f>
        <v/>
      </c>
      <c r="D397" s="33" t="str">
        <f>IFERROR(IF(Calc!E397&lt;=$D$4,"Nice",""),"")</f>
        <v/>
      </c>
      <c r="E397" s="40" t="str">
        <f>IFERROR(IF(Calc!J397&lt;=$C$4,Calc!I397,""),"")</f>
        <v/>
      </c>
      <c r="F397" s="40" t="str">
        <f>IFERROR(IF(Calc!J397&lt;=$C$4,CONCATENATE(TEXT(Calc!H397,"#0.000#")," + ",TEXT(INDEX(Calc!L397:P397,$B$4),"#0.000#")),""),"")</f>
        <v/>
      </c>
      <c r="G397" s="41" t="str">
        <f>IFERROR(IF(Calc!J397&lt;=$C$4,Calc!J397,""),"")</f>
        <v/>
      </c>
      <c r="H397" s="33" t="str">
        <f>IFERROR(IF(Calc!J397&lt;=$D$4,"Nice",""),"")</f>
        <v/>
      </c>
      <c r="J397" s="7" t="str">
        <f>CONCATENATE("[",TEXT(Show!A397,"#.0#"),":",TEXT(Show!B397,"#.0#"),"][",TEXT(Show!E397,"#.0#"),":",TEXT(Show!F397,"#.0#"),"]")</f>
        <v>[:][:]</v>
      </c>
    </row>
    <row r="398" spans="1:10" hidden="1" x14ac:dyDescent="0.25">
      <c r="A398" s="40" t="str">
        <f>IFERROR(IF(Calc!E398&lt;=$C$4,Calc!D398,""),"")</f>
        <v/>
      </c>
      <c r="B398" s="40" t="str">
        <f>IFERROR(IF(Calc!E398&lt;=$C$4,CONCATENATE(TEXT(Calc!C398,"#0.000#")," || ",TEXT(INDEX(Calc!L398:P398,$B$4),"#0.000#")),""),"")</f>
        <v/>
      </c>
      <c r="C398" s="41" t="str">
        <f>IFERROR(IF(Calc!E398&lt;=$C$4,Calc!E398,""),"")</f>
        <v/>
      </c>
      <c r="D398" s="33" t="str">
        <f>IFERROR(IF(Calc!E398&lt;=$D$4,"Nice",""),"")</f>
        <v/>
      </c>
      <c r="E398" s="40" t="str">
        <f>IFERROR(IF(Calc!J398&lt;=$C$4,Calc!I398,""),"")</f>
        <v/>
      </c>
      <c r="F398" s="40" t="str">
        <f>IFERROR(IF(Calc!J398&lt;=$C$4,CONCATENATE(TEXT(Calc!H398,"#0.000#")," + ",TEXT(INDEX(Calc!L398:P398,$B$4),"#0.000#")),""),"")</f>
        <v/>
      </c>
      <c r="G398" s="41" t="str">
        <f>IFERROR(IF(Calc!J398&lt;=$C$4,Calc!J398,""),"")</f>
        <v/>
      </c>
      <c r="H398" s="33" t="str">
        <f>IFERROR(IF(Calc!J398&lt;=$D$4,"Nice",""),"")</f>
        <v/>
      </c>
      <c r="J398" s="7" t="str">
        <f>CONCATENATE("[",TEXT(Show!A398,"#.0#"),":",TEXT(Show!B398,"#.0#"),"][",TEXT(Show!E398,"#.0#"),":",TEXT(Show!F398,"#.0#"),"]")</f>
        <v>[:][:]</v>
      </c>
    </row>
    <row r="399" spans="1:10" hidden="1" x14ac:dyDescent="0.25">
      <c r="A399" s="40" t="str">
        <f>IFERROR(IF(Calc!E399&lt;=$C$4,Calc!D399,""),"")</f>
        <v/>
      </c>
      <c r="B399" s="40" t="str">
        <f>IFERROR(IF(Calc!E399&lt;=$C$4,CONCATENATE(TEXT(Calc!C399,"#0.000#")," || ",TEXT(INDEX(Calc!L399:P399,$B$4),"#0.000#")),""),"")</f>
        <v/>
      </c>
      <c r="C399" s="41" t="str">
        <f>IFERROR(IF(Calc!E399&lt;=$C$4,Calc!E399,""),"")</f>
        <v/>
      </c>
      <c r="D399" s="33" t="str">
        <f>IFERROR(IF(Calc!E399&lt;=$D$4,"Nice",""),"")</f>
        <v/>
      </c>
      <c r="E399" s="40" t="str">
        <f>IFERROR(IF(Calc!J399&lt;=$C$4,Calc!I399,""),"")</f>
        <v/>
      </c>
      <c r="F399" s="40" t="str">
        <f>IFERROR(IF(Calc!J399&lt;=$C$4,CONCATENATE(TEXT(Calc!H399,"#0.000#")," + ",TEXT(INDEX(Calc!L399:P399,$B$4),"#0.000#")),""),"")</f>
        <v/>
      </c>
      <c r="G399" s="41" t="str">
        <f>IFERROR(IF(Calc!J399&lt;=$C$4,Calc!J399,""),"")</f>
        <v/>
      </c>
      <c r="H399" s="33" t="str">
        <f>IFERROR(IF(Calc!J399&lt;=$D$4,"Nice",""),"")</f>
        <v/>
      </c>
      <c r="J399" s="7" t="str">
        <f>CONCATENATE("[",TEXT(Show!A399,"#.0#"),":",TEXT(Show!B399,"#.0#"),"][",TEXT(Show!E399,"#.0#"),":",TEXT(Show!F399,"#.0#"),"]")</f>
        <v>[:][:]</v>
      </c>
    </row>
    <row r="400" spans="1:10" hidden="1" x14ac:dyDescent="0.25">
      <c r="A400" s="40" t="str">
        <f>IFERROR(IF(Calc!E400&lt;=$C$4,Calc!D400,""),"")</f>
        <v/>
      </c>
      <c r="B400" s="40" t="str">
        <f>IFERROR(IF(Calc!E400&lt;=$C$4,CONCATENATE(TEXT(Calc!C400,"#0.000#")," || ",TEXT(INDEX(Calc!L400:P400,$B$4),"#0.000#")),""),"")</f>
        <v/>
      </c>
      <c r="C400" s="41" t="str">
        <f>IFERROR(IF(Calc!E400&lt;=$C$4,Calc!E400,""),"")</f>
        <v/>
      </c>
      <c r="D400" s="33" t="str">
        <f>IFERROR(IF(Calc!E400&lt;=$D$4,"Nice",""),"")</f>
        <v/>
      </c>
      <c r="E400" s="40" t="str">
        <f>IFERROR(IF(Calc!J400&lt;=$C$4,Calc!I400,""),"")</f>
        <v/>
      </c>
      <c r="F400" s="40" t="str">
        <f>IFERROR(IF(Calc!J400&lt;=$C$4,CONCATENATE(TEXT(Calc!H400,"#0.000#")," + ",TEXT(INDEX(Calc!L400:P400,$B$4),"#0.000#")),""),"")</f>
        <v/>
      </c>
      <c r="G400" s="41" t="str">
        <f>IFERROR(IF(Calc!J400&lt;=$C$4,Calc!J400,""),"")</f>
        <v/>
      </c>
      <c r="H400" s="33" t="str">
        <f>IFERROR(IF(Calc!J400&lt;=$D$4,"Nice",""),"")</f>
        <v/>
      </c>
      <c r="J400" s="7" t="str">
        <f>CONCATENATE("[",TEXT(Show!A400,"#.0#"),":",TEXT(Show!B400,"#.0#"),"][",TEXT(Show!E400,"#.0#"),":",TEXT(Show!F400,"#.0#"),"]")</f>
        <v>[:][:]</v>
      </c>
    </row>
    <row r="401" spans="1:10" hidden="1" x14ac:dyDescent="0.25">
      <c r="A401" s="40" t="str">
        <f>IFERROR(IF(Calc!E401&lt;=$C$4,Calc!D401,""),"")</f>
        <v/>
      </c>
      <c r="B401" s="40" t="str">
        <f>IFERROR(IF(Calc!E401&lt;=$C$4,CONCATENATE(TEXT(Calc!C401,"#0.000#")," || ",TEXT(INDEX(Calc!L401:P401,$B$4),"#0.000#")),""),"")</f>
        <v/>
      </c>
      <c r="C401" s="41" t="str">
        <f>IFERROR(IF(Calc!E401&lt;=$C$4,Calc!E401,""),"")</f>
        <v/>
      </c>
      <c r="D401" s="33" t="str">
        <f>IFERROR(IF(Calc!E401&lt;=$D$4,"Nice",""),"")</f>
        <v/>
      </c>
      <c r="E401" s="40" t="str">
        <f>IFERROR(IF(Calc!J401&lt;=$C$4,Calc!I401,""),"")</f>
        <v/>
      </c>
      <c r="F401" s="40" t="str">
        <f>IFERROR(IF(Calc!J401&lt;=$C$4,CONCATENATE(TEXT(Calc!H401,"#0.000#")," + ",TEXT(INDEX(Calc!L401:P401,$B$4),"#0.000#")),""),"")</f>
        <v/>
      </c>
      <c r="G401" s="41" t="str">
        <f>IFERROR(IF(Calc!J401&lt;=$C$4,Calc!J401,""),"")</f>
        <v/>
      </c>
      <c r="H401" s="33" t="str">
        <f>IFERROR(IF(Calc!J401&lt;=$D$4,"Nice",""),"")</f>
        <v/>
      </c>
      <c r="J401" s="7" t="str">
        <f>CONCATENATE("[",TEXT(Show!A401,"#.0#"),":",TEXT(Show!B401,"#.0#"),"][",TEXT(Show!E401,"#.0#"),":",TEXT(Show!F401,"#.0#"),"]")</f>
        <v>[:][:]</v>
      </c>
    </row>
    <row r="402" spans="1:10" hidden="1" x14ac:dyDescent="0.25">
      <c r="A402" s="40" t="str">
        <f>IFERROR(IF(Calc!E402&lt;=$C$4,Calc!D402,""),"")</f>
        <v/>
      </c>
      <c r="B402" s="40" t="str">
        <f>IFERROR(IF(Calc!E402&lt;=$C$4,CONCATENATE(TEXT(Calc!C402,"#0.000#")," || ",TEXT(INDEX(Calc!L402:P402,$B$4),"#0.000#")),""),"")</f>
        <v/>
      </c>
      <c r="C402" s="41" t="str">
        <f>IFERROR(IF(Calc!E402&lt;=$C$4,Calc!E402,""),"")</f>
        <v/>
      </c>
      <c r="D402" s="33" t="str">
        <f>IFERROR(IF(Calc!E402&lt;=$D$4,"Nice",""),"")</f>
        <v/>
      </c>
      <c r="E402" s="40" t="str">
        <f>IFERROR(IF(Calc!J402&lt;=$C$4,Calc!I402,""),"")</f>
        <v/>
      </c>
      <c r="F402" s="40" t="str">
        <f>IFERROR(IF(Calc!J402&lt;=$C$4,CONCATENATE(TEXT(Calc!H402,"#0.000#")," + ",TEXT(INDEX(Calc!L402:P402,$B$4),"#0.000#")),""),"")</f>
        <v/>
      </c>
      <c r="G402" s="41" t="str">
        <f>IFERROR(IF(Calc!J402&lt;=$C$4,Calc!J402,""),"")</f>
        <v/>
      </c>
      <c r="H402" s="33" t="str">
        <f>IFERROR(IF(Calc!J402&lt;=$D$4,"Nice",""),"")</f>
        <v/>
      </c>
      <c r="J402" s="7" t="str">
        <f>CONCATENATE("[",TEXT(Show!A402,"#.0#"),":",TEXT(Show!B402,"#.0#"),"][",TEXT(Show!E402,"#.0#"),":",TEXT(Show!F402,"#.0#"),"]")</f>
        <v>[:][:]</v>
      </c>
    </row>
    <row r="403" spans="1:10" hidden="1" x14ac:dyDescent="0.25">
      <c r="A403" s="40" t="str">
        <f>IFERROR(IF(Calc!E403&lt;=$C$4,Calc!D403,""),"")</f>
        <v/>
      </c>
      <c r="B403" s="40" t="str">
        <f>IFERROR(IF(Calc!E403&lt;=$C$4,CONCATENATE(TEXT(Calc!C403,"#0.000#")," || ",TEXT(INDEX(Calc!L403:P403,$B$4),"#0.000#")),""),"")</f>
        <v/>
      </c>
      <c r="C403" s="41" t="str">
        <f>IFERROR(IF(Calc!E403&lt;=$C$4,Calc!E403,""),"")</f>
        <v/>
      </c>
      <c r="D403" s="33" t="str">
        <f>IFERROR(IF(Calc!E403&lt;=$D$4,"Nice",""),"")</f>
        <v/>
      </c>
      <c r="E403" s="40" t="str">
        <f>IFERROR(IF(Calc!J403&lt;=$C$4,Calc!I403,""),"")</f>
        <v/>
      </c>
      <c r="F403" s="40" t="str">
        <f>IFERROR(IF(Calc!J403&lt;=$C$4,CONCATENATE(TEXT(Calc!H403,"#0.000#")," + ",TEXT(INDEX(Calc!L403:P403,$B$4),"#0.000#")),""),"")</f>
        <v/>
      </c>
      <c r="G403" s="41" t="str">
        <f>IFERROR(IF(Calc!J403&lt;=$C$4,Calc!J403,""),"")</f>
        <v/>
      </c>
      <c r="H403" s="33" t="str">
        <f>IFERROR(IF(Calc!J403&lt;=$D$4,"Nice",""),"")</f>
        <v/>
      </c>
      <c r="J403" s="7" t="str">
        <f>CONCATENATE("[",TEXT(Show!A403,"#.0#"),":",TEXT(Show!B403,"#.0#"),"][",TEXT(Show!E403,"#.0#"),":",TEXT(Show!F403,"#.0#"),"]")</f>
        <v>[:][:]</v>
      </c>
    </row>
    <row r="404" spans="1:10" hidden="1" x14ac:dyDescent="0.25">
      <c r="A404" s="40" t="str">
        <f>IFERROR(IF(Calc!E404&lt;=$C$4,Calc!D404,""),"")</f>
        <v/>
      </c>
      <c r="B404" s="40" t="str">
        <f>IFERROR(IF(Calc!E404&lt;=$C$4,CONCATENATE(TEXT(Calc!C404,"#0.000#")," || ",TEXT(INDEX(Calc!L404:P404,$B$4),"#0.000#")),""),"")</f>
        <v/>
      </c>
      <c r="C404" s="41" t="str">
        <f>IFERROR(IF(Calc!E404&lt;=$C$4,Calc!E404,""),"")</f>
        <v/>
      </c>
      <c r="D404" s="33" t="str">
        <f>IFERROR(IF(Calc!E404&lt;=$D$4,"Nice",""),"")</f>
        <v/>
      </c>
      <c r="E404" s="40" t="str">
        <f>IFERROR(IF(Calc!J404&lt;=$C$4,Calc!I404,""),"")</f>
        <v/>
      </c>
      <c r="F404" s="40" t="str">
        <f>IFERROR(IF(Calc!J404&lt;=$C$4,CONCATENATE(TEXT(Calc!H404,"#0.000#")," + ",TEXT(INDEX(Calc!L404:P404,$B$4),"#0.000#")),""),"")</f>
        <v/>
      </c>
      <c r="G404" s="41" t="str">
        <f>IFERROR(IF(Calc!J404&lt;=$C$4,Calc!J404,""),"")</f>
        <v/>
      </c>
      <c r="H404" s="33" t="str">
        <f>IFERROR(IF(Calc!J404&lt;=$D$4,"Nice",""),"")</f>
        <v/>
      </c>
      <c r="J404" s="7" t="str">
        <f>CONCATENATE("[",TEXT(Show!A404,"#.0#"),":",TEXT(Show!B404,"#.0#"),"][",TEXT(Show!E404,"#.0#"),":",TEXT(Show!F404,"#.0#"),"]")</f>
        <v>[:][:]</v>
      </c>
    </row>
    <row r="405" spans="1:10" hidden="1" x14ac:dyDescent="0.25">
      <c r="A405" s="40" t="str">
        <f>IFERROR(IF(Calc!E405&lt;=$C$4,Calc!D405,""),"")</f>
        <v/>
      </c>
      <c r="B405" s="40" t="str">
        <f>IFERROR(IF(Calc!E405&lt;=$C$4,CONCATENATE(TEXT(Calc!C405,"#0.000#")," || ",TEXT(INDEX(Calc!L405:P405,$B$4),"#0.000#")),""),"")</f>
        <v/>
      </c>
      <c r="C405" s="41" t="str">
        <f>IFERROR(IF(Calc!E405&lt;=$C$4,Calc!E405,""),"")</f>
        <v/>
      </c>
      <c r="D405" s="33" t="str">
        <f>IFERROR(IF(Calc!E405&lt;=$D$4,"Nice",""),"")</f>
        <v/>
      </c>
      <c r="E405" s="40" t="str">
        <f>IFERROR(IF(Calc!J405&lt;=$C$4,Calc!I405,""),"")</f>
        <v/>
      </c>
      <c r="F405" s="40" t="str">
        <f>IFERROR(IF(Calc!J405&lt;=$C$4,CONCATENATE(TEXT(Calc!H405,"#0.000#")," + ",TEXT(INDEX(Calc!L405:P405,$B$4),"#0.000#")),""),"")</f>
        <v/>
      </c>
      <c r="G405" s="41" t="str">
        <f>IFERROR(IF(Calc!J405&lt;=$C$4,Calc!J405,""),"")</f>
        <v/>
      </c>
      <c r="H405" s="33" t="str">
        <f>IFERROR(IF(Calc!J405&lt;=$D$4,"Nice",""),"")</f>
        <v/>
      </c>
      <c r="J405" s="7" t="str">
        <f>CONCATENATE("[",TEXT(Show!A405,"#.0#"),":",TEXT(Show!B405,"#.0#"),"][",TEXT(Show!E405,"#.0#"),":",TEXT(Show!F405,"#.0#"),"]")</f>
        <v>[:][:]</v>
      </c>
    </row>
    <row r="406" spans="1:10" hidden="1" x14ac:dyDescent="0.25">
      <c r="A406" s="40" t="str">
        <f>IFERROR(IF(Calc!E406&lt;=$C$4,Calc!D406,""),"")</f>
        <v/>
      </c>
      <c r="B406" s="40" t="str">
        <f>IFERROR(IF(Calc!E406&lt;=$C$4,CONCATENATE(TEXT(Calc!C406,"#0.000#")," || ",TEXT(INDEX(Calc!L406:P406,$B$4),"#0.000#")),""),"")</f>
        <v/>
      </c>
      <c r="C406" s="41" t="str">
        <f>IFERROR(IF(Calc!E406&lt;=$C$4,Calc!E406,""),"")</f>
        <v/>
      </c>
      <c r="D406" s="33" t="str">
        <f>IFERROR(IF(Calc!E406&lt;=$D$4,"Nice",""),"")</f>
        <v/>
      </c>
      <c r="E406" s="40" t="str">
        <f>IFERROR(IF(Calc!J406&lt;=$C$4,Calc!I406,""),"")</f>
        <v/>
      </c>
      <c r="F406" s="40" t="str">
        <f>IFERROR(IF(Calc!J406&lt;=$C$4,CONCATENATE(TEXT(Calc!H406,"#0.000#")," + ",TEXT(INDEX(Calc!L406:P406,$B$4),"#0.000#")),""),"")</f>
        <v/>
      </c>
      <c r="G406" s="41" t="str">
        <f>IFERROR(IF(Calc!J406&lt;=$C$4,Calc!J406,""),"")</f>
        <v/>
      </c>
      <c r="H406" s="33" t="str">
        <f>IFERROR(IF(Calc!J406&lt;=$D$4,"Nice",""),"")</f>
        <v/>
      </c>
      <c r="J406" s="7" t="str">
        <f>CONCATENATE("[",TEXT(Show!A406,"#.0#"),":",TEXT(Show!B406,"#.0#"),"][",TEXT(Show!E406,"#.0#"),":",TEXT(Show!F406,"#.0#"),"]")</f>
        <v>[:][:]</v>
      </c>
    </row>
    <row r="407" spans="1:10" hidden="1" x14ac:dyDescent="0.25">
      <c r="A407" s="40" t="str">
        <f>IFERROR(IF(Calc!E407&lt;=$C$4,Calc!D407,""),"")</f>
        <v/>
      </c>
      <c r="B407" s="40" t="str">
        <f>IFERROR(IF(Calc!E407&lt;=$C$4,CONCATENATE(TEXT(Calc!C407,"#0.000#")," || ",TEXT(INDEX(Calc!L407:P407,$B$4),"#0.000#")),""),"")</f>
        <v/>
      </c>
      <c r="C407" s="41" t="str">
        <f>IFERROR(IF(Calc!E407&lt;=$C$4,Calc!E407,""),"")</f>
        <v/>
      </c>
      <c r="D407" s="33" t="str">
        <f>IFERROR(IF(Calc!E407&lt;=$D$4,"Nice",""),"")</f>
        <v/>
      </c>
      <c r="E407" s="40" t="str">
        <f>IFERROR(IF(Calc!J407&lt;=$C$4,Calc!I407,""),"")</f>
        <v/>
      </c>
      <c r="F407" s="40" t="str">
        <f>IFERROR(IF(Calc!J407&lt;=$C$4,CONCATENATE(TEXT(Calc!H407,"#0.000#")," + ",TEXT(INDEX(Calc!L407:P407,$B$4),"#0.000#")),""),"")</f>
        <v/>
      </c>
      <c r="G407" s="41" t="str">
        <f>IFERROR(IF(Calc!J407&lt;=$C$4,Calc!J407,""),"")</f>
        <v/>
      </c>
      <c r="H407" s="33" t="str">
        <f>IFERROR(IF(Calc!J407&lt;=$D$4,"Nice",""),"")</f>
        <v/>
      </c>
      <c r="J407" s="7" t="str">
        <f>CONCATENATE("[",TEXT(Show!A407,"#.0#"),":",TEXT(Show!B407,"#.0#"),"][",TEXT(Show!E407,"#.0#"),":",TEXT(Show!F407,"#.0#"),"]")</f>
        <v>[:][:]</v>
      </c>
    </row>
    <row r="408" spans="1:10" hidden="1" x14ac:dyDescent="0.25">
      <c r="A408" s="40" t="str">
        <f>IFERROR(IF(Calc!E408&lt;=$C$4,Calc!D408,""),"")</f>
        <v/>
      </c>
      <c r="B408" s="40" t="str">
        <f>IFERROR(IF(Calc!E408&lt;=$C$4,CONCATENATE(TEXT(Calc!C408,"#0.000#")," || ",TEXT(INDEX(Calc!L408:P408,$B$4),"#0.000#")),""),"")</f>
        <v/>
      </c>
      <c r="C408" s="41" t="str">
        <f>IFERROR(IF(Calc!E408&lt;=$C$4,Calc!E408,""),"")</f>
        <v/>
      </c>
      <c r="D408" s="33" t="str">
        <f>IFERROR(IF(Calc!E408&lt;=$D$4,"Nice",""),"")</f>
        <v/>
      </c>
      <c r="E408" s="40" t="str">
        <f>IFERROR(IF(Calc!J408&lt;=$C$4,Calc!I408,""),"")</f>
        <v/>
      </c>
      <c r="F408" s="40" t="str">
        <f>IFERROR(IF(Calc!J408&lt;=$C$4,CONCATENATE(TEXT(Calc!H408,"#0.000#")," + ",TEXT(INDEX(Calc!L408:P408,$B$4),"#0.000#")),""),"")</f>
        <v/>
      </c>
      <c r="G408" s="41" t="str">
        <f>IFERROR(IF(Calc!J408&lt;=$C$4,Calc!J408,""),"")</f>
        <v/>
      </c>
      <c r="H408" s="33" t="str">
        <f>IFERROR(IF(Calc!J408&lt;=$D$4,"Nice",""),"")</f>
        <v/>
      </c>
      <c r="J408" s="7" t="str">
        <f>CONCATENATE("[",TEXT(Show!A408,"#.0#"),":",TEXT(Show!B408,"#.0#"),"][",TEXT(Show!E408,"#.0#"),":",TEXT(Show!F408,"#.0#"),"]")</f>
        <v>[:][:]</v>
      </c>
    </row>
    <row r="409" spans="1:10" hidden="1" x14ac:dyDescent="0.25">
      <c r="A409" s="40" t="str">
        <f>IFERROR(IF(Calc!E409&lt;=$C$4,Calc!D409,""),"")</f>
        <v/>
      </c>
      <c r="B409" s="40" t="str">
        <f>IFERROR(IF(Calc!E409&lt;=$C$4,CONCATENATE(TEXT(Calc!C409,"#0.000#")," || ",TEXT(INDEX(Calc!L409:P409,$B$4),"#0.000#")),""),"")</f>
        <v/>
      </c>
      <c r="C409" s="41" t="str">
        <f>IFERROR(IF(Calc!E409&lt;=$C$4,Calc!E409,""),"")</f>
        <v/>
      </c>
      <c r="D409" s="33" t="str">
        <f>IFERROR(IF(Calc!E409&lt;=$D$4,"Nice",""),"")</f>
        <v/>
      </c>
      <c r="E409" s="40" t="str">
        <f>IFERROR(IF(Calc!J409&lt;=$C$4,Calc!I409,""),"")</f>
        <v/>
      </c>
      <c r="F409" s="40" t="str">
        <f>IFERROR(IF(Calc!J409&lt;=$C$4,CONCATENATE(TEXT(Calc!H409,"#0.000#")," + ",TEXT(INDEX(Calc!L409:P409,$B$4),"#0.000#")),""),"")</f>
        <v/>
      </c>
      <c r="G409" s="41" t="str">
        <f>IFERROR(IF(Calc!J409&lt;=$C$4,Calc!J409,""),"")</f>
        <v/>
      </c>
      <c r="H409" s="33" t="str">
        <f>IFERROR(IF(Calc!J409&lt;=$D$4,"Nice",""),"")</f>
        <v/>
      </c>
      <c r="J409" s="7" t="str">
        <f>CONCATENATE("[",TEXT(Show!A409,"#.0#"),":",TEXT(Show!B409,"#.0#"),"][",TEXT(Show!E409,"#.0#"),":",TEXT(Show!F409,"#.0#"),"]")</f>
        <v>[:][:]</v>
      </c>
    </row>
    <row r="410" spans="1:10" hidden="1" x14ac:dyDescent="0.25">
      <c r="A410" s="40" t="str">
        <f>IFERROR(IF(Calc!E410&lt;=$C$4,Calc!D410,""),"")</f>
        <v/>
      </c>
      <c r="B410" s="40" t="str">
        <f>IFERROR(IF(Calc!E410&lt;=$C$4,CONCATENATE(TEXT(Calc!C410,"#0.000#")," || ",TEXT(INDEX(Calc!L410:P410,$B$4),"#0.000#")),""),"")</f>
        <v/>
      </c>
      <c r="C410" s="41" t="str">
        <f>IFERROR(IF(Calc!E410&lt;=$C$4,Calc!E410,""),"")</f>
        <v/>
      </c>
      <c r="D410" s="33" t="str">
        <f>IFERROR(IF(Calc!E410&lt;=$D$4,"Nice",""),"")</f>
        <v/>
      </c>
      <c r="E410" s="40" t="str">
        <f>IFERROR(IF(Calc!J410&lt;=$C$4,Calc!I410,""),"")</f>
        <v/>
      </c>
      <c r="F410" s="40" t="str">
        <f>IFERROR(IF(Calc!J410&lt;=$C$4,CONCATENATE(TEXT(Calc!H410,"#0.000#")," + ",TEXT(INDEX(Calc!L410:P410,$B$4),"#0.000#")),""),"")</f>
        <v/>
      </c>
      <c r="G410" s="41" t="str">
        <f>IFERROR(IF(Calc!J410&lt;=$C$4,Calc!J410,""),"")</f>
        <v/>
      </c>
      <c r="H410" s="33" t="str">
        <f>IFERROR(IF(Calc!J410&lt;=$D$4,"Nice",""),"")</f>
        <v/>
      </c>
      <c r="J410" s="7" t="str">
        <f>CONCATENATE("[",TEXT(Show!A410,"#.0#"),":",TEXT(Show!B410,"#.0#"),"][",TEXT(Show!E410,"#.0#"),":",TEXT(Show!F410,"#.0#"),"]")</f>
        <v>[:][:]</v>
      </c>
    </row>
    <row r="411" spans="1:10" hidden="1" x14ac:dyDescent="0.25">
      <c r="A411" s="40" t="str">
        <f>IFERROR(IF(Calc!E411&lt;=$C$4,Calc!D411,""),"")</f>
        <v/>
      </c>
      <c r="B411" s="40" t="str">
        <f>IFERROR(IF(Calc!E411&lt;=$C$4,CONCATENATE(TEXT(Calc!C411,"#0.000#")," || ",TEXT(INDEX(Calc!L411:P411,$B$4),"#0.000#")),""),"")</f>
        <v/>
      </c>
      <c r="C411" s="41" t="str">
        <f>IFERROR(IF(Calc!E411&lt;=$C$4,Calc!E411,""),"")</f>
        <v/>
      </c>
      <c r="D411" s="33" t="str">
        <f>IFERROR(IF(Calc!E411&lt;=$D$4,"Nice",""),"")</f>
        <v/>
      </c>
      <c r="E411" s="40" t="str">
        <f>IFERROR(IF(Calc!J411&lt;=$C$4,Calc!I411,""),"")</f>
        <v/>
      </c>
      <c r="F411" s="40" t="str">
        <f>IFERROR(IF(Calc!J411&lt;=$C$4,CONCATENATE(TEXT(Calc!H411,"#0.000#")," + ",TEXT(INDEX(Calc!L411:P411,$B$4),"#0.000#")),""),"")</f>
        <v/>
      </c>
      <c r="G411" s="41" t="str">
        <f>IFERROR(IF(Calc!J411&lt;=$C$4,Calc!J411,""),"")</f>
        <v/>
      </c>
      <c r="H411" s="33" t="str">
        <f>IFERROR(IF(Calc!J411&lt;=$D$4,"Nice",""),"")</f>
        <v/>
      </c>
      <c r="J411" s="7" t="str">
        <f>CONCATENATE("[",TEXT(Show!A411,"#.0#"),":",TEXT(Show!B411,"#.0#"),"][",TEXT(Show!E411,"#.0#"),":",TEXT(Show!F411,"#.0#"),"]")</f>
        <v>[:][:]</v>
      </c>
    </row>
    <row r="412" spans="1:10" hidden="1" x14ac:dyDescent="0.25">
      <c r="A412" s="40" t="str">
        <f>IFERROR(IF(Calc!E412&lt;=$C$4,Calc!D412,""),"")</f>
        <v/>
      </c>
      <c r="B412" s="40" t="str">
        <f>IFERROR(IF(Calc!E412&lt;=$C$4,CONCATENATE(TEXT(Calc!C412,"#0.000#")," || ",TEXT(INDEX(Calc!L412:P412,$B$4),"#0.000#")),""),"")</f>
        <v/>
      </c>
      <c r="C412" s="41" t="str">
        <f>IFERROR(IF(Calc!E412&lt;=$C$4,Calc!E412,""),"")</f>
        <v/>
      </c>
      <c r="D412" s="33" t="str">
        <f>IFERROR(IF(Calc!E412&lt;=$D$4,"Nice",""),"")</f>
        <v/>
      </c>
      <c r="E412" s="40" t="str">
        <f>IFERROR(IF(Calc!J412&lt;=$C$4,Calc!I412,""),"")</f>
        <v/>
      </c>
      <c r="F412" s="40" t="str">
        <f>IFERROR(IF(Calc!J412&lt;=$C$4,CONCATENATE(TEXT(Calc!H412,"#0.000#")," + ",TEXT(INDEX(Calc!L412:P412,$B$4),"#0.000#")),""),"")</f>
        <v/>
      </c>
      <c r="G412" s="41" t="str">
        <f>IFERROR(IF(Calc!J412&lt;=$C$4,Calc!J412,""),"")</f>
        <v/>
      </c>
      <c r="H412" s="33" t="str">
        <f>IFERROR(IF(Calc!J412&lt;=$D$4,"Nice",""),"")</f>
        <v/>
      </c>
      <c r="J412" s="7" t="str">
        <f>CONCATENATE("[",TEXT(Show!A412,"#.0#"),":",TEXT(Show!B412,"#.0#"),"][",TEXT(Show!E412,"#.0#"),":",TEXT(Show!F412,"#.0#"),"]")</f>
        <v>[:][:]</v>
      </c>
    </row>
    <row r="413" spans="1:10" hidden="1" x14ac:dyDescent="0.25">
      <c r="A413" s="40" t="str">
        <f>IFERROR(IF(Calc!E413&lt;=$C$4,Calc!D413,""),"")</f>
        <v/>
      </c>
      <c r="B413" s="40" t="str">
        <f>IFERROR(IF(Calc!E413&lt;=$C$4,CONCATENATE(TEXT(Calc!C413,"#0.000#")," || ",TEXT(INDEX(Calc!L413:P413,$B$4),"#0.000#")),""),"")</f>
        <v/>
      </c>
      <c r="C413" s="41" t="str">
        <f>IFERROR(IF(Calc!E413&lt;=$C$4,Calc!E413,""),"")</f>
        <v/>
      </c>
      <c r="D413" s="33" t="str">
        <f>IFERROR(IF(Calc!E413&lt;=$D$4,"Nice",""),"")</f>
        <v/>
      </c>
      <c r="E413" s="40" t="str">
        <f>IFERROR(IF(Calc!J413&lt;=$C$4,Calc!I413,""),"")</f>
        <v/>
      </c>
      <c r="F413" s="40" t="str">
        <f>IFERROR(IF(Calc!J413&lt;=$C$4,CONCATENATE(TEXT(Calc!H413,"#0.000#")," + ",TEXT(INDEX(Calc!L413:P413,$B$4),"#0.000#")),""),"")</f>
        <v/>
      </c>
      <c r="G413" s="41" t="str">
        <f>IFERROR(IF(Calc!J413&lt;=$C$4,Calc!J413,""),"")</f>
        <v/>
      </c>
      <c r="H413" s="33" t="str">
        <f>IFERROR(IF(Calc!J413&lt;=$D$4,"Nice",""),"")</f>
        <v/>
      </c>
      <c r="J413" s="7" t="str">
        <f>CONCATENATE("[",TEXT(Show!A413,"#.0#"),":",TEXT(Show!B413,"#.0#"),"][",TEXT(Show!E413,"#.0#"),":",TEXT(Show!F413,"#.0#"),"]")</f>
        <v>[:][:]</v>
      </c>
    </row>
    <row r="414" spans="1:10" hidden="1" x14ac:dyDescent="0.25">
      <c r="A414" s="40" t="str">
        <f>IFERROR(IF(Calc!E414&lt;=$C$4,Calc!D414,""),"")</f>
        <v/>
      </c>
      <c r="B414" s="40" t="str">
        <f>IFERROR(IF(Calc!E414&lt;=$C$4,CONCATENATE(TEXT(Calc!C414,"#0.000#")," || ",TEXT(INDEX(Calc!L414:P414,$B$4),"#0.000#")),""),"")</f>
        <v/>
      </c>
      <c r="C414" s="41" t="str">
        <f>IFERROR(IF(Calc!E414&lt;=$C$4,Calc!E414,""),"")</f>
        <v/>
      </c>
      <c r="D414" s="33" t="str">
        <f>IFERROR(IF(Calc!E414&lt;=$D$4,"Nice",""),"")</f>
        <v/>
      </c>
      <c r="E414" s="40" t="str">
        <f>IFERROR(IF(Calc!J414&lt;=$C$4,Calc!I414,""),"")</f>
        <v/>
      </c>
      <c r="F414" s="40" t="str">
        <f>IFERROR(IF(Calc!J414&lt;=$C$4,CONCATENATE(TEXT(Calc!H414,"#0.000#")," + ",TEXT(INDEX(Calc!L414:P414,$B$4),"#0.000#")),""),"")</f>
        <v/>
      </c>
      <c r="G414" s="41" t="str">
        <f>IFERROR(IF(Calc!J414&lt;=$C$4,Calc!J414,""),"")</f>
        <v/>
      </c>
      <c r="H414" s="33" t="str">
        <f>IFERROR(IF(Calc!J414&lt;=$D$4,"Nice",""),"")</f>
        <v/>
      </c>
      <c r="J414" s="7" t="str">
        <f>CONCATENATE("[",TEXT(Show!A414,"#.0#"),":",TEXT(Show!B414,"#.0#"),"][",TEXT(Show!E414,"#.0#"),":",TEXT(Show!F414,"#.0#"),"]")</f>
        <v>[:][:]</v>
      </c>
    </row>
    <row r="415" spans="1:10" hidden="1" x14ac:dyDescent="0.25">
      <c r="A415" s="40" t="str">
        <f>IFERROR(IF(Calc!E415&lt;=$C$4,Calc!D415,""),"")</f>
        <v/>
      </c>
      <c r="B415" s="40" t="str">
        <f>IFERROR(IF(Calc!E415&lt;=$C$4,CONCATENATE(TEXT(Calc!C415,"#0.000#")," || ",TEXT(INDEX(Calc!L415:P415,$B$4),"#0.000#")),""),"")</f>
        <v/>
      </c>
      <c r="C415" s="41" t="str">
        <f>IFERROR(IF(Calc!E415&lt;=$C$4,Calc!E415,""),"")</f>
        <v/>
      </c>
      <c r="D415" s="33" t="str">
        <f>IFERROR(IF(Calc!E415&lt;=$D$4,"Nice",""),"")</f>
        <v/>
      </c>
      <c r="E415" s="40" t="str">
        <f>IFERROR(IF(Calc!J415&lt;=$C$4,Calc!I415,""),"")</f>
        <v/>
      </c>
      <c r="F415" s="40" t="str">
        <f>IFERROR(IF(Calc!J415&lt;=$C$4,CONCATENATE(TEXT(Calc!H415,"#0.000#")," + ",TEXT(INDEX(Calc!L415:P415,$B$4),"#0.000#")),""),"")</f>
        <v/>
      </c>
      <c r="G415" s="41" t="str">
        <f>IFERROR(IF(Calc!J415&lt;=$C$4,Calc!J415,""),"")</f>
        <v/>
      </c>
      <c r="H415" s="33" t="str">
        <f>IFERROR(IF(Calc!J415&lt;=$D$4,"Nice",""),"")</f>
        <v/>
      </c>
      <c r="J415" s="7" t="str">
        <f>CONCATENATE("[",TEXT(Show!A415,"#.0#"),":",TEXT(Show!B415,"#.0#"),"][",TEXT(Show!E415,"#.0#"),":",TEXT(Show!F415,"#.0#"),"]")</f>
        <v>[:][:]</v>
      </c>
    </row>
    <row r="416" spans="1:10" hidden="1" x14ac:dyDescent="0.25">
      <c r="A416" s="40" t="str">
        <f>IFERROR(IF(Calc!E416&lt;=$C$4,Calc!D416,""),"")</f>
        <v/>
      </c>
      <c r="B416" s="40" t="str">
        <f>IFERROR(IF(Calc!E416&lt;=$C$4,CONCATENATE(TEXT(Calc!C416,"#0.000#")," || ",TEXT(INDEX(Calc!L416:P416,$B$4),"#0.000#")),""),"")</f>
        <v/>
      </c>
      <c r="C416" s="41" t="str">
        <f>IFERROR(IF(Calc!E416&lt;=$C$4,Calc!E416,""),"")</f>
        <v/>
      </c>
      <c r="D416" s="33" t="str">
        <f>IFERROR(IF(Calc!E416&lt;=$D$4,"Nice",""),"")</f>
        <v/>
      </c>
      <c r="E416" s="40" t="str">
        <f>IFERROR(IF(Calc!J416&lt;=$C$4,Calc!I416,""),"")</f>
        <v/>
      </c>
      <c r="F416" s="40" t="str">
        <f>IFERROR(IF(Calc!J416&lt;=$C$4,CONCATENATE(TEXT(Calc!H416,"#0.000#")," + ",TEXT(INDEX(Calc!L416:P416,$B$4),"#0.000#")),""),"")</f>
        <v/>
      </c>
      <c r="G416" s="41" t="str">
        <f>IFERROR(IF(Calc!J416&lt;=$C$4,Calc!J416,""),"")</f>
        <v/>
      </c>
      <c r="H416" s="33" t="str">
        <f>IFERROR(IF(Calc!J416&lt;=$D$4,"Nice",""),"")</f>
        <v/>
      </c>
      <c r="J416" s="7" t="str">
        <f>CONCATENATE("[",TEXT(Show!A416,"#.0#"),":",TEXT(Show!B416,"#.0#"),"][",TEXT(Show!E416,"#.0#"),":",TEXT(Show!F416,"#.0#"),"]")</f>
        <v>[:][:]</v>
      </c>
    </row>
    <row r="417" spans="1:10" hidden="1" x14ac:dyDescent="0.25">
      <c r="A417" s="40" t="str">
        <f>IFERROR(IF(Calc!E417&lt;=$C$4,Calc!D417,""),"")</f>
        <v/>
      </c>
      <c r="B417" s="40" t="str">
        <f>IFERROR(IF(Calc!E417&lt;=$C$4,CONCATENATE(TEXT(Calc!C417,"#0.000#")," || ",TEXT(INDEX(Calc!L417:P417,$B$4),"#0.000#")),""),"")</f>
        <v/>
      </c>
      <c r="C417" s="41" t="str">
        <f>IFERROR(IF(Calc!E417&lt;=$C$4,Calc!E417,""),"")</f>
        <v/>
      </c>
      <c r="D417" s="33" t="str">
        <f>IFERROR(IF(Calc!E417&lt;=$D$4,"Nice",""),"")</f>
        <v/>
      </c>
      <c r="E417" s="40" t="str">
        <f>IFERROR(IF(Calc!J417&lt;=$C$4,Calc!I417,""),"")</f>
        <v/>
      </c>
      <c r="F417" s="40" t="str">
        <f>IFERROR(IF(Calc!J417&lt;=$C$4,CONCATENATE(TEXT(Calc!H417,"#0.000#")," + ",TEXT(INDEX(Calc!L417:P417,$B$4),"#0.000#")),""),"")</f>
        <v/>
      </c>
      <c r="G417" s="41" t="str">
        <f>IFERROR(IF(Calc!J417&lt;=$C$4,Calc!J417,""),"")</f>
        <v/>
      </c>
      <c r="H417" s="33" t="str">
        <f>IFERROR(IF(Calc!J417&lt;=$D$4,"Nice",""),"")</f>
        <v/>
      </c>
      <c r="J417" s="7" t="str">
        <f>CONCATENATE("[",TEXT(Show!A417,"#.0#"),":",TEXT(Show!B417,"#.0#"),"][",TEXT(Show!E417,"#.0#"),":",TEXT(Show!F417,"#.0#"),"]")</f>
        <v>[:][:]</v>
      </c>
    </row>
    <row r="418" spans="1:10" hidden="1" x14ac:dyDescent="0.25">
      <c r="A418" s="40" t="str">
        <f>IFERROR(IF(Calc!E418&lt;=$C$4,Calc!D418,""),"")</f>
        <v/>
      </c>
      <c r="B418" s="40" t="str">
        <f>IFERROR(IF(Calc!E418&lt;=$C$4,CONCATENATE(TEXT(Calc!C418,"#0.000#")," || ",TEXT(INDEX(Calc!L418:P418,$B$4),"#0.000#")),""),"")</f>
        <v/>
      </c>
      <c r="C418" s="41" t="str">
        <f>IFERROR(IF(Calc!E418&lt;=$C$4,Calc!E418,""),"")</f>
        <v/>
      </c>
      <c r="D418" s="33" t="str">
        <f>IFERROR(IF(Calc!E418&lt;=$D$4,"Nice",""),"")</f>
        <v/>
      </c>
      <c r="E418" s="40" t="str">
        <f>IFERROR(IF(Calc!J418&lt;=$C$4,Calc!I418,""),"")</f>
        <v/>
      </c>
      <c r="F418" s="40" t="str">
        <f>IFERROR(IF(Calc!J418&lt;=$C$4,CONCATENATE(TEXT(Calc!H418,"#0.000#")," + ",TEXT(INDEX(Calc!L418:P418,$B$4),"#0.000#")),""),"")</f>
        <v/>
      </c>
      <c r="G418" s="41" t="str">
        <f>IFERROR(IF(Calc!J418&lt;=$C$4,Calc!J418,""),"")</f>
        <v/>
      </c>
      <c r="H418" s="33" t="str">
        <f>IFERROR(IF(Calc!J418&lt;=$D$4,"Nice",""),"")</f>
        <v/>
      </c>
      <c r="J418" s="7" t="str">
        <f>CONCATENATE("[",TEXT(Show!A418,"#.0#"),":",TEXT(Show!B418,"#.0#"),"][",TEXT(Show!E418,"#.0#"),":",TEXT(Show!F418,"#.0#"),"]")</f>
        <v>[:][:]</v>
      </c>
    </row>
    <row r="419" spans="1:10" hidden="1" x14ac:dyDescent="0.25">
      <c r="A419" s="40" t="str">
        <f>IFERROR(IF(Calc!E419&lt;=$C$4,Calc!D419,""),"")</f>
        <v/>
      </c>
      <c r="B419" s="40" t="str">
        <f>IFERROR(IF(Calc!E419&lt;=$C$4,CONCATENATE(TEXT(Calc!C419,"#0.000#")," || ",TEXT(INDEX(Calc!L419:P419,$B$4),"#0.000#")),""),"")</f>
        <v/>
      </c>
      <c r="C419" s="41" t="str">
        <f>IFERROR(IF(Calc!E419&lt;=$C$4,Calc!E419,""),"")</f>
        <v/>
      </c>
      <c r="D419" s="33" t="str">
        <f>IFERROR(IF(Calc!E419&lt;=$D$4,"Nice",""),"")</f>
        <v/>
      </c>
      <c r="E419" s="40" t="str">
        <f>IFERROR(IF(Calc!J419&lt;=$C$4,Calc!I419,""),"")</f>
        <v/>
      </c>
      <c r="F419" s="40" t="str">
        <f>IFERROR(IF(Calc!J419&lt;=$C$4,CONCATENATE(TEXT(Calc!H419,"#0.000#")," + ",TEXT(INDEX(Calc!L419:P419,$B$4),"#0.000#")),""),"")</f>
        <v/>
      </c>
      <c r="G419" s="41" t="str">
        <f>IFERROR(IF(Calc!J419&lt;=$C$4,Calc!J419,""),"")</f>
        <v/>
      </c>
      <c r="H419" s="33" t="str">
        <f>IFERROR(IF(Calc!J419&lt;=$D$4,"Nice",""),"")</f>
        <v/>
      </c>
      <c r="J419" s="7" t="str">
        <f>CONCATENATE("[",TEXT(Show!A419,"#.0#"),":",TEXT(Show!B419,"#.0#"),"][",TEXT(Show!E419,"#.0#"),":",TEXT(Show!F419,"#.0#"),"]")</f>
        <v>[:][:]</v>
      </c>
    </row>
    <row r="420" spans="1:10" hidden="1" x14ac:dyDescent="0.25">
      <c r="A420" s="40" t="str">
        <f>IFERROR(IF(Calc!E420&lt;=$C$4,Calc!D420,""),"")</f>
        <v/>
      </c>
      <c r="B420" s="40" t="str">
        <f>IFERROR(IF(Calc!E420&lt;=$C$4,CONCATENATE(TEXT(Calc!C420,"#0.000#")," || ",TEXT(INDEX(Calc!L420:P420,$B$4),"#0.000#")),""),"")</f>
        <v/>
      </c>
      <c r="C420" s="41" t="str">
        <f>IFERROR(IF(Calc!E420&lt;=$C$4,Calc!E420,""),"")</f>
        <v/>
      </c>
      <c r="D420" s="33" t="str">
        <f>IFERROR(IF(Calc!E420&lt;=$D$4,"Nice",""),"")</f>
        <v/>
      </c>
      <c r="E420" s="40" t="str">
        <f>IFERROR(IF(Calc!J420&lt;=$C$4,Calc!I420,""),"")</f>
        <v/>
      </c>
      <c r="F420" s="40" t="str">
        <f>IFERROR(IF(Calc!J420&lt;=$C$4,CONCATENATE(TEXT(Calc!H420,"#0.000#")," + ",TEXT(INDEX(Calc!L420:P420,$B$4),"#0.000#")),""),"")</f>
        <v/>
      </c>
      <c r="G420" s="41" t="str">
        <f>IFERROR(IF(Calc!J420&lt;=$C$4,Calc!J420,""),"")</f>
        <v/>
      </c>
      <c r="H420" s="33" t="str">
        <f>IFERROR(IF(Calc!J420&lt;=$D$4,"Nice",""),"")</f>
        <v/>
      </c>
      <c r="J420" s="7" t="str">
        <f>CONCATENATE("[",TEXT(Show!A420,"#.0#"),":",TEXT(Show!B420,"#.0#"),"][",TEXT(Show!E420,"#.0#"),":",TEXT(Show!F420,"#.0#"),"]")</f>
        <v>[:][:]</v>
      </c>
    </row>
    <row r="421" spans="1:10" hidden="1" x14ac:dyDescent="0.25">
      <c r="A421" s="40" t="str">
        <f>IFERROR(IF(Calc!E421&lt;=$C$4,Calc!D421,""),"")</f>
        <v/>
      </c>
      <c r="B421" s="40" t="str">
        <f>IFERROR(IF(Calc!E421&lt;=$C$4,CONCATENATE(TEXT(Calc!C421,"#0.000#")," || ",TEXT(INDEX(Calc!L421:P421,$B$4),"#0.000#")),""),"")</f>
        <v/>
      </c>
      <c r="C421" s="41" t="str">
        <f>IFERROR(IF(Calc!E421&lt;=$C$4,Calc!E421,""),"")</f>
        <v/>
      </c>
      <c r="D421" s="33" t="str">
        <f>IFERROR(IF(Calc!E421&lt;=$D$4,"Nice",""),"")</f>
        <v/>
      </c>
      <c r="E421" s="40" t="str">
        <f>IFERROR(IF(Calc!J421&lt;=$C$4,Calc!I421,""),"")</f>
        <v/>
      </c>
      <c r="F421" s="40" t="str">
        <f>IFERROR(IF(Calc!J421&lt;=$C$4,CONCATENATE(TEXT(Calc!H421,"#0.000#")," + ",TEXT(INDEX(Calc!L421:P421,$B$4),"#0.000#")),""),"")</f>
        <v/>
      </c>
      <c r="G421" s="41" t="str">
        <f>IFERROR(IF(Calc!J421&lt;=$C$4,Calc!J421,""),"")</f>
        <v/>
      </c>
      <c r="H421" s="33" t="str">
        <f>IFERROR(IF(Calc!J421&lt;=$D$4,"Nice",""),"")</f>
        <v/>
      </c>
      <c r="J421" s="7" t="str">
        <f>CONCATENATE("[",TEXT(Show!A421,"#.0#"),":",TEXT(Show!B421,"#.0#"),"][",TEXT(Show!E421,"#.0#"),":",TEXT(Show!F421,"#.0#"),"]")</f>
        <v>[:][:]</v>
      </c>
    </row>
    <row r="422" spans="1:10" hidden="1" x14ac:dyDescent="0.25">
      <c r="A422" s="40" t="str">
        <f>IFERROR(IF(Calc!E422&lt;=$C$4,Calc!D422,""),"")</f>
        <v/>
      </c>
      <c r="B422" s="40" t="str">
        <f>IFERROR(IF(Calc!E422&lt;=$C$4,CONCATENATE(TEXT(Calc!C422,"#0.000#")," || ",TEXT(INDEX(Calc!L422:P422,$B$4),"#0.000#")),""),"")</f>
        <v/>
      </c>
      <c r="C422" s="41" t="str">
        <f>IFERROR(IF(Calc!E422&lt;=$C$4,Calc!E422,""),"")</f>
        <v/>
      </c>
      <c r="D422" s="33" t="str">
        <f>IFERROR(IF(Calc!E422&lt;=$D$4,"Nice",""),"")</f>
        <v/>
      </c>
      <c r="E422" s="40" t="str">
        <f>IFERROR(IF(Calc!J422&lt;=$C$4,Calc!I422,""),"")</f>
        <v/>
      </c>
      <c r="F422" s="40" t="str">
        <f>IFERROR(IF(Calc!J422&lt;=$C$4,CONCATENATE(TEXT(Calc!H422,"#0.000#")," + ",TEXT(INDEX(Calc!L422:P422,$B$4),"#0.000#")),""),"")</f>
        <v/>
      </c>
      <c r="G422" s="41" t="str">
        <f>IFERROR(IF(Calc!J422&lt;=$C$4,Calc!J422,""),"")</f>
        <v/>
      </c>
      <c r="H422" s="33" t="str">
        <f>IFERROR(IF(Calc!J422&lt;=$D$4,"Nice",""),"")</f>
        <v/>
      </c>
      <c r="J422" s="7" t="str">
        <f>CONCATENATE("[",TEXT(Show!A422,"#.0#"),":",TEXT(Show!B422,"#.0#"),"][",TEXT(Show!E422,"#.0#"),":",TEXT(Show!F422,"#.0#"),"]")</f>
        <v>[:][:]</v>
      </c>
    </row>
    <row r="423" spans="1:10" hidden="1" x14ac:dyDescent="0.25">
      <c r="A423" s="40" t="str">
        <f>IFERROR(IF(Calc!E423&lt;=$C$4,Calc!D423,""),"")</f>
        <v/>
      </c>
      <c r="B423" s="40" t="str">
        <f>IFERROR(IF(Calc!E423&lt;=$C$4,CONCATENATE(TEXT(Calc!C423,"#0.000#")," || ",TEXT(INDEX(Calc!L423:P423,$B$4),"#0.000#")),""),"")</f>
        <v/>
      </c>
      <c r="C423" s="41" t="str">
        <f>IFERROR(IF(Calc!E423&lt;=$C$4,Calc!E423,""),"")</f>
        <v/>
      </c>
      <c r="D423" s="33" t="str">
        <f>IFERROR(IF(Calc!E423&lt;=$D$4,"Nice",""),"")</f>
        <v/>
      </c>
      <c r="E423" s="40" t="str">
        <f>IFERROR(IF(Calc!J423&lt;=$C$4,Calc!I423,""),"")</f>
        <v/>
      </c>
      <c r="F423" s="40" t="str">
        <f>IFERROR(IF(Calc!J423&lt;=$C$4,CONCATENATE(TEXT(Calc!H423,"#0.000#")," + ",TEXT(INDEX(Calc!L423:P423,$B$4),"#0.000#")),""),"")</f>
        <v/>
      </c>
      <c r="G423" s="41" t="str">
        <f>IFERROR(IF(Calc!J423&lt;=$C$4,Calc!J423,""),"")</f>
        <v/>
      </c>
      <c r="H423" s="33" t="str">
        <f>IFERROR(IF(Calc!J423&lt;=$D$4,"Nice",""),"")</f>
        <v/>
      </c>
      <c r="J423" s="7" t="str">
        <f>CONCATENATE("[",TEXT(Show!A423,"#.0#"),":",TEXT(Show!B423,"#.0#"),"][",TEXT(Show!E423,"#.0#"),":",TEXT(Show!F423,"#.0#"),"]")</f>
        <v>[:][:]</v>
      </c>
    </row>
    <row r="424" spans="1:10" hidden="1" x14ac:dyDescent="0.25">
      <c r="A424" s="40" t="str">
        <f>IFERROR(IF(Calc!E424&lt;=$C$4,Calc!D424,""),"")</f>
        <v/>
      </c>
      <c r="B424" s="40" t="str">
        <f>IFERROR(IF(Calc!E424&lt;=$C$4,CONCATENATE(TEXT(Calc!C424,"#0.000#")," || ",TEXT(INDEX(Calc!L424:P424,$B$4),"#0.000#")),""),"")</f>
        <v/>
      </c>
      <c r="C424" s="41" t="str">
        <f>IFERROR(IF(Calc!E424&lt;=$C$4,Calc!E424,""),"")</f>
        <v/>
      </c>
      <c r="D424" s="33" t="str">
        <f>IFERROR(IF(Calc!E424&lt;=$D$4,"Nice",""),"")</f>
        <v/>
      </c>
      <c r="E424" s="40" t="str">
        <f>IFERROR(IF(Calc!J424&lt;=$C$4,Calc!I424,""),"")</f>
        <v/>
      </c>
      <c r="F424" s="40" t="str">
        <f>IFERROR(IF(Calc!J424&lt;=$C$4,CONCATENATE(TEXT(Calc!H424,"#0.000#")," + ",TEXT(INDEX(Calc!L424:P424,$B$4),"#0.000#")),""),"")</f>
        <v/>
      </c>
      <c r="G424" s="41" t="str">
        <f>IFERROR(IF(Calc!J424&lt;=$C$4,Calc!J424,""),"")</f>
        <v/>
      </c>
      <c r="H424" s="33" t="str">
        <f>IFERROR(IF(Calc!J424&lt;=$D$4,"Nice",""),"")</f>
        <v/>
      </c>
      <c r="J424" s="7" t="str">
        <f>CONCATENATE("[",TEXT(Show!A424,"#.0#"),":",TEXT(Show!B424,"#.0#"),"][",TEXT(Show!E424,"#.0#"),":",TEXT(Show!F424,"#.0#"),"]")</f>
        <v>[:][:]</v>
      </c>
    </row>
    <row r="425" spans="1:10" hidden="1" x14ac:dyDescent="0.25">
      <c r="A425" s="40" t="str">
        <f>IFERROR(IF(Calc!E425&lt;=$C$4,Calc!D425,""),"")</f>
        <v/>
      </c>
      <c r="B425" s="40" t="str">
        <f>IFERROR(IF(Calc!E425&lt;=$C$4,CONCATENATE(TEXT(Calc!C425,"#0.000#")," || ",TEXT(INDEX(Calc!L425:P425,$B$4),"#0.000#")),""),"")</f>
        <v/>
      </c>
      <c r="C425" s="41" t="str">
        <f>IFERROR(IF(Calc!E425&lt;=$C$4,Calc!E425,""),"")</f>
        <v/>
      </c>
      <c r="D425" s="33" t="str">
        <f>IFERROR(IF(Calc!E425&lt;=$D$4,"Nice",""),"")</f>
        <v/>
      </c>
      <c r="E425" s="40" t="str">
        <f>IFERROR(IF(Calc!J425&lt;=$C$4,Calc!I425,""),"")</f>
        <v/>
      </c>
      <c r="F425" s="40" t="str">
        <f>IFERROR(IF(Calc!J425&lt;=$C$4,CONCATENATE(TEXT(Calc!H425,"#0.000#")," + ",TEXT(INDEX(Calc!L425:P425,$B$4),"#0.000#")),""),"")</f>
        <v/>
      </c>
      <c r="G425" s="41" t="str">
        <f>IFERROR(IF(Calc!J425&lt;=$C$4,Calc!J425,""),"")</f>
        <v/>
      </c>
      <c r="H425" s="33" t="str">
        <f>IFERROR(IF(Calc!J425&lt;=$D$4,"Nice",""),"")</f>
        <v/>
      </c>
      <c r="J425" s="7" t="str">
        <f>CONCATENATE("[",TEXT(Show!A425,"#.0#"),":",TEXT(Show!B425,"#.0#"),"][",TEXT(Show!E425,"#.0#"),":",TEXT(Show!F425,"#.0#"),"]")</f>
        <v>[:][:]</v>
      </c>
    </row>
    <row r="426" spans="1:10" hidden="1" x14ac:dyDescent="0.25">
      <c r="A426" s="40" t="str">
        <f>IFERROR(IF(Calc!E426&lt;=$C$4,Calc!D426,""),"")</f>
        <v/>
      </c>
      <c r="B426" s="40" t="str">
        <f>IFERROR(IF(Calc!E426&lt;=$C$4,CONCATENATE(TEXT(Calc!C426,"#0.000#")," || ",TEXT(INDEX(Calc!L426:P426,$B$4),"#0.000#")),""),"")</f>
        <v/>
      </c>
      <c r="C426" s="41" t="str">
        <f>IFERROR(IF(Calc!E426&lt;=$C$4,Calc!E426,""),"")</f>
        <v/>
      </c>
      <c r="D426" s="33" t="str">
        <f>IFERROR(IF(Calc!E426&lt;=$D$4,"Nice",""),"")</f>
        <v/>
      </c>
      <c r="E426" s="40" t="str">
        <f>IFERROR(IF(Calc!J426&lt;=$C$4,Calc!I426,""),"")</f>
        <v/>
      </c>
      <c r="F426" s="40" t="str">
        <f>IFERROR(IF(Calc!J426&lt;=$C$4,CONCATENATE(TEXT(Calc!H426,"#0.000#")," + ",TEXT(INDEX(Calc!L426:P426,$B$4),"#0.000#")),""),"")</f>
        <v/>
      </c>
      <c r="G426" s="41" t="str">
        <f>IFERROR(IF(Calc!J426&lt;=$C$4,Calc!J426,""),"")</f>
        <v/>
      </c>
      <c r="H426" s="33" t="str">
        <f>IFERROR(IF(Calc!J426&lt;=$D$4,"Nice",""),"")</f>
        <v/>
      </c>
      <c r="J426" s="7" t="str">
        <f>CONCATENATE("[",TEXT(Show!A426,"#.0#"),":",TEXT(Show!B426,"#.0#"),"][",TEXT(Show!E426,"#.0#"),":",TEXT(Show!F426,"#.0#"),"]")</f>
        <v>[:][:]</v>
      </c>
    </row>
    <row r="427" spans="1:10" hidden="1" x14ac:dyDescent="0.25">
      <c r="A427" s="40" t="str">
        <f>IFERROR(IF(Calc!E427&lt;=$C$4,Calc!D427,""),"")</f>
        <v/>
      </c>
      <c r="B427" s="40" t="str">
        <f>IFERROR(IF(Calc!E427&lt;=$C$4,CONCATENATE(TEXT(Calc!C427,"#0.000#")," || ",TEXT(INDEX(Calc!L427:P427,$B$4),"#0.000#")),""),"")</f>
        <v/>
      </c>
      <c r="C427" s="41" t="str">
        <f>IFERROR(IF(Calc!E427&lt;=$C$4,Calc!E427,""),"")</f>
        <v/>
      </c>
      <c r="D427" s="33" t="str">
        <f>IFERROR(IF(Calc!E427&lt;=$D$4,"Nice",""),"")</f>
        <v/>
      </c>
      <c r="E427" s="40" t="str">
        <f>IFERROR(IF(Calc!J427&lt;=$C$4,Calc!I427,""),"")</f>
        <v/>
      </c>
      <c r="F427" s="40" t="str">
        <f>IFERROR(IF(Calc!J427&lt;=$C$4,CONCATENATE(TEXT(Calc!H427,"#0.000#")," + ",TEXT(INDEX(Calc!L427:P427,$B$4),"#0.000#")),""),"")</f>
        <v/>
      </c>
      <c r="G427" s="41" t="str">
        <f>IFERROR(IF(Calc!J427&lt;=$C$4,Calc!J427,""),"")</f>
        <v/>
      </c>
      <c r="H427" s="33" t="str">
        <f>IFERROR(IF(Calc!J427&lt;=$D$4,"Nice",""),"")</f>
        <v/>
      </c>
      <c r="J427" s="7" t="str">
        <f>CONCATENATE("[",TEXT(Show!A427,"#.0#"),":",TEXT(Show!B427,"#.0#"),"][",TEXT(Show!E427,"#.0#"),":",TEXT(Show!F427,"#.0#"),"]")</f>
        <v>[:][:]</v>
      </c>
    </row>
    <row r="428" spans="1:10" hidden="1" x14ac:dyDescent="0.25">
      <c r="A428" s="40" t="str">
        <f>IFERROR(IF(Calc!E428&lt;=$C$4,Calc!D428,""),"")</f>
        <v/>
      </c>
      <c r="B428" s="40" t="str">
        <f>IFERROR(IF(Calc!E428&lt;=$C$4,CONCATENATE(TEXT(Calc!C428,"#0.000#")," || ",TEXT(INDEX(Calc!L428:P428,$B$4),"#0.000#")),""),"")</f>
        <v/>
      </c>
      <c r="C428" s="41" t="str">
        <f>IFERROR(IF(Calc!E428&lt;=$C$4,Calc!E428,""),"")</f>
        <v/>
      </c>
      <c r="D428" s="33" t="str">
        <f>IFERROR(IF(Calc!E428&lt;=$D$4,"Nice",""),"")</f>
        <v/>
      </c>
      <c r="E428" s="40" t="str">
        <f>IFERROR(IF(Calc!J428&lt;=$C$4,Calc!I428,""),"")</f>
        <v/>
      </c>
      <c r="F428" s="40" t="str">
        <f>IFERROR(IF(Calc!J428&lt;=$C$4,CONCATENATE(TEXT(Calc!H428,"#0.000#")," + ",TEXT(INDEX(Calc!L428:P428,$B$4),"#0.000#")),""),"")</f>
        <v/>
      </c>
      <c r="G428" s="41" t="str">
        <f>IFERROR(IF(Calc!J428&lt;=$C$4,Calc!J428,""),"")</f>
        <v/>
      </c>
      <c r="H428" s="33" t="str">
        <f>IFERROR(IF(Calc!J428&lt;=$D$4,"Nice",""),"")</f>
        <v/>
      </c>
      <c r="J428" s="7" t="str">
        <f>CONCATENATE("[",TEXT(Show!A428,"#.0#"),":",TEXT(Show!B428,"#.0#"),"][",TEXT(Show!E428,"#.0#"),":",TEXT(Show!F428,"#.0#"),"]")</f>
        <v>[:][:]</v>
      </c>
    </row>
    <row r="429" spans="1:10" hidden="1" x14ac:dyDescent="0.25">
      <c r="A429" s="40" t="str">
        <f>IFERROR(IF(Calc!E429&lt;=$C$4,Calc!D429,""),"")</f>
        <v/>
      </c>
      <c r="B429" s="40" t="str">
        <f>IFERROR(IF(Calc!E429&lt;=$C$4,CONCATENATE(TEXT(Calc!C429,"#0.000#")," || ",TEXT(INDEX(Calc!L429:P429,$B$4),"#0.000#")),""),"")</f>
        <v/>
      </c>
      <c r="C429" s="41" t="str">
        <f>IFERROR(IF(Calc!E429&lt;=$C$4,Calc!E429,""),"")</f>
        <v/>
      </c>
      <c r="D429" s="33" t="str">
        <f>IFERROR(IF(Calc!E429&lt;=$D$4,"Nice",""),"")</f>
        <v/>
      </c>
      <c r="E429" s="40" t="str">
        <f>IFERROR(IF(Calc!J429&lt;=$C$4,Calc!I429,""),"")</f>
        <v/>
      </c>
      <c r="F429" s="40" t="str">
        <f>IFERROR(IF(Calc!J429&lt;=$C$4,CONCATENATE(TEXT(Calc!H429,"#0.000#")," + ",TEXT(INDEX(Calc!L429:P429,$B$4),"#0.000#")),""),"")</f>
        <v/>
      </c>
      <c r="G429" s="41" t="str">
        <f>IFERROR(IF(Calc!J429&lt;=$C$4,Calc!J429,""),"")</f>
        <v/>
      </c>
      <c r="H429" s="33" t="str">
        <f>IFERROR(IF(Calc!J429&lt;=$D$4,"Nice",""),"")</f>
        <v/>
      </c>
      <c r="J429" s="7" t="str">
        <f>CONCATENATE("[",TEXT(Show!A429,"#.0#"),":",TEXT(Show!B429,"#.0#"),"][",TEXT(Show!E429,"#.0#"),":",TEXT(Show!F429,"#.0#"),"]")</f>
        <v>[:][:]</v>
      </c>
    </row>
    <row r="430" spans="1:10" hidden="1" x14ac:dyDescent="0.25">
      <c r="A430" s="40" t="str">
        <f>IFERROR(IF(Calc!E430&lt;=$C$4,Calc!D430,""),"")</f>
        <v/>
      </c>
      <c r="B430" s="40" t="str">
        <f>IFERROR(IF(Calc!E430&lt;=$C$4,CONCATENATE(TEXT(Calc!C430,"#0.000#")," || ",TEXT(INDEX(Calc!L430:P430,$B$4),"#0.000#")),""),"")</f>
        <v/>
      </c>
      <c r="C430" s="41" t="str">
        <f>IFERROR(IF(Calc!E430&lt;=$C$4,Calc!E430,""),"")</f>
        <v/>
      </c>
      <c r="D430" s="33" t="str">
        <f>IFERROR(IF(Calc!E430&lt;=$D$4,"Nice",""),"")</f>
        <v/>
      </c>
      <c r="E430" s="40" t="str">
        <f>IFERROR(IF(Calc!J430&lt;=$C$4,Calc!I430,""),"")</f>
        <v/>
      </c>
      <c r="F430" s="40" t="str">
        <f>IFERROR(IF(Calc!J430&lt;=$C$4,CONCATENATE(TEXT(Calc!H430,"#0.000#")," + ",TEXT(INDEX(Calc!L430:P430,$B$4),"#0.000#")),""),"")</f>
        <v/>
      </c>
      <c r="G430" s="41" t="str">
        <f>IFERROR(IF(Calc!J430&lt;=$C$4,Calc!J430,""),"")</f>
        <v/>
      </c>
      <c r="H430" s="33" t="str">
        <f>IFERROR(IF(Calc!J430&lt;=$D$4,"Nice",""),"")</f>
        <v/>
      </c>
      <c r="J430" s="7" t="str">
        <f>CONCATENATE("[",TEXT(Show!A430,"#.0#"),":",TEXT(Show!B430,"#.0#"),"][",TEXT(Show!E430,"#.0#"),":",TEXT(Show!F430,"#.0#"),"]")</f>
        <v>[:][:]</v>
      </c>
    </row>
    <row r="431" spans="1:10" hidden="1" x14ac:dyDescent="0.25">
      <c r="A431" s="40" t="str">
        <f>IFERROR(IF(Calc!E431&lt;=$C$4,Calc!D431,""),"")</f>
        <v/>
      </c>
      <c r="B431" s="40" t="str">
        <f>IFERROR(IF(Calc!E431&lt;=$C$4,CONCATENATE(TEXT(Calc!C431,"#0.000#")," || ",TEXT(INDEX(Calc!L431:P431,$B$4),"#0.000#")),""),"")</f>
        <v/>
      </c>
      <c r="C431" s="41" t="str">
        <f>IFERROR(IF(Calc!E431&lt;=$C$4,Calc!E431,""),"")</f>
        <v/>
      </c>
      <c r="D431" s="33" t="str">
        <f>IFERROR(IF(Calc!E431&lt;=$D$4,"Nice",""),"")</f>
        <v/>
      </c>
      <c r="E431" s="40" t="str">
        <f>IFERROR(IF(Calc!J431&lt;=$C$4,Calc!I431,""),"")</f>
        <v/>
      </c>
      <c r="F431" s="40" t="str">
        <f>IFERROR(IF(Calc!J431&lt;=$C$4,CONCATENATE(TEXT(Calc!H431,"#0.000#")," + ",TEXT(INDEX(Calc!L431:P431,$B$4),"#0.000#")),""),"")</f>
        <v/>
      </c>
      <c r="G431" s="41" t="str">
        <f>IFERROR(IF(Calc!J431&lt;=$C$4,Calc!J431,""),"")</f>
        <v/>
      </c>
      <c r="H431" s="33" t="str">
        <f>IFERROR(IF(Calc!J431&lt;=$D$4,"Nice",""),"")</f>
        <v/>
      </c>
      <c r="J431" s="7" t="str">
        <f>CONCATENATE("[",TEXT(Show!A431,"#.0#"),":",TEXT(Show!B431,"#.0#"),"][",TEXT(Show!E431,"#.0#"),":",TEXT(Show!F431,"#.0#"),"]")</f>
        <v>[:][:]</v>
      </c>
    </row>
    <row r="432" spans="1:10" hidden="1" x14ac:dyDescent="0.25">
      <c r="A432" s="40" t="str">
        <f>IFERROR(IF(Calc!E432&lt;=$C$4,Calc!D432,""),"")</f>
        <v/>
      </c>
      <c r="B432" s="40" t="str">
        <f>IFERROR(IF(Calc!E432&lt;=$C$4,CONCATENATE(TEXT(Calc!C432,"#0.000#")," || ",TEXT(INDEX(Calc!L432:P432,$B$4),"#0.000#")),""),"")</f>
        <v/>
      </c>
      <c r="C432" s="41" t="str">
        <f>IFERROR(IF(Calc!E432&lt;=$C$4,Calc!E432,""),"")</f>
        <v/>
      </c>
      <c r="D432" s="33" t="str">
        <f>IFERROR(IF(Calc!E432&lt;=$D$4,"Nice",""),"")</f>
        <v/>
      </c>
      <c r="E432" s="40" t="str">
        <f>IFERROR(IF(Calc!J432&lt;=$C$4,Calc!I432,""),"")</f>
        <v/>
      </c>
      <c r="F432" s="40" t="str">
        <f>IFERROR(IF(Calc!J432&lt;=$C$4,CONCATENATE(TEXT(Calc!H432,"#0.000#")," + ",TEXT(INDEX(Calc!L432:P432,$B$4),"#0.000#")),""),"")</f>
        <v/>
      </c>
      <c r="G432" s="41" t="str">
        <f>IFERROR(IF(Calc!J432&lt;=$C$4,Calc!J432,""),"")</f>
        <v/>
      </c>
      <c r="H432" s="33" t="str">
        <f>IFERROR(IF(Calc!J432&lt;=$D$4,"Nice",""),"")</f>
        <v/>
      </c>
      <c r="J432" s="7" t="str">
        <f>CONCATENATE("[",TEXT(Show!A432,"#.0#"),":",TEXT(Show!B432,"#.0#"),"][",TEXT(Show!E432,"#.0#"),":",TEXT(Show!F432,"#.0#"),"]")</f>
        <v>[:][:]</v>
      </c>
    </row>
    <row r="433" spans="1:10" hidden="1" x14ac:dyDescent="0.25">
      <c r="A433" s="40" t="str">
        <f>IFERROR(IF(Calc!E433&lt;=$C$4,Calc!D433,""),"")</f>
        <v/>
      </c>
      <c r="B433" s="40" t="str">
        <f>IFERROR(IF(Calc!E433&lt;=$C$4,CONCATENATE(TEXT(Calc!C433,"#0.000#")," || ",TEXT(INDEX(Calc!L433:P433,$B$4),"#0.000#")),""),"")</f>
        <v/>
      </c>
      <c r="C433" s="41" t="str">
        <f>IFERROR(IF(Calc!E433&lt;=$C$4,Calc!E433,""),"")</f>
        <v/>
      </c>
      <c r="D433" s="33" t="str">
        <f>IFERROR(IF(Calc!E433&lt;=$D$4,"Nice",""),"")</f>
        <v/>
      </c>
      <c r="E433" s="40" t="str">
        <f>IFERROR(IF(Calc!J433&lt;=$C$4,Calc!I433,""),"")</f>
        <v/>
      </c>
      <c r="F433" s="40" t="str">
        <f>IFERROR(IF(Calc!J433&lt;=$C$4,CONCATENATE(TEXT(Calc!H433,"#0.000#")," + ",TEXT(INDEX(Calc!L433:P433,$B$4),"#0.000#")),""),"")</f>
        <v/>
      </c>
      <c r="G433" s="41" t="str">
        <f>IFERROR(IF(Calc!J433&lt;=$C$4,Calc!J433,""),"")</f>
        <v/>
      </c>
      <c r="H433" s="33" t="str">
        <f>IFERROR(IF(Calc!J433&lt;=$D$4,"Nice",""),"")</f>
        <v/>
      </c>
      <c r="J433" s="7" t="str">
        <f>CONCATENATE("[",TEXT(Show!A433,"#.0#"),":",TEXT(Show!B433,"#.0#"),"][",TEXT(Show!E433,"#.0#"),":",TEXT(Show!F433,"#.0#"),"]")</f>
        <v>[:][:]</v>
      </c>
    </row>
    <row r="434" spans="1:10" hidden="1" x14ac:dyDescent="0.25">
      <c r="A434" s="40" t="str">
        <f>IFERROR(IF(Calc!E434&lt;=$C$4,Calc!D434,""),"")</f>
        <v/>
      </c>
      <c r="B434" s="40" t="str">
        <f>IFERROR(IF(Calc!E434&lt;=$C$4,CONCATENATE(TEXT(Calc!C434,"#0.000#")," || ",TEXT(INDEX(Calc!L434:P434,$B$4),"#0.000#")),""),"")</f>
        <v/>
      </c>
      <c r="C434" s="41" t="str">
        <f>IFERROR(IF(Calc!E434&lt;=$C$4,Calc!E434,""),"")</f>
        <v/>
      </c>
      <c r="D434" s="33" t="str">
        <f>IFERROR(IF(Calc!E434&lt;=$D$4,"Nice",""),"")</f>
        <v/>
      </c>
      <c r="E434" s="40" t="str">
        <f>IFERROR(IF(Calc!J434&lt;=$C$4,Calc!I434,""),"")</f>
        <v/>
      </c>
      <c r="F434" s="40" t="str">
        <f>IFERROR(IF(Calc!J434&lt;=$C$4,CONCATENATE(TEXT(Calc!H434,"#0.000#")," + ",TEXT(INDEX(Calc!L434:P434,$B$4),"#0.000#")),""),"")</f>
        <v/>
      </c>
      <c r="G434" s="41" t="str">
        <f>IFERROR(IF(Calc!J434&lt;=$C$4,Calc!J434,""),"")</f>
        <v/>
      </c>
      <c r="H434" s="33" t="str">
        <f>IFERROR(IF(Calc!J434&lt;=$D$4,"Nice",""),"")</f>
        <v/>
      </c>
      <c r="J434" s="7" t="str">
        <f>CONCATENATE("[",TEXT(Show!A434,"#.0#"),":",TEXT(Show!B434,"#.0#"),"][",TEXT(Show!E434,"#.0#"),":",TEXT(Show!F434,"#.0#"),"]")</f>
        <v>[:][:]</v>
      </c>
    </row>
    <row r="435" spans="1:10" hidden="1" x14ac:dyDescent="0.25">
      <c r="A435" s="40" t="str">
        <f>IFERROR(IF(Calc!E435&lt;=$C$4,Calc!D435,""),"")</f>
        <v/>
      </c>
      <c r="B435" s="40" t="str">
        <f>IFERROR(IF(Calc!E435&lt;=$C$4,CONCATENATE(TEXT(Calc!C435,"#0.000#")," || ",TEXT(INDEX(Calc!L435:P435,$B$4),"#0.000#")),""),"")</f>
        <v/>
      </c>
      <c r="C435" s="41" t="str">
        <f>IFERROR(IF(Calc!E435&lt;=$C$4,Calc!E435,""),"")</f>
        <v/>
      </c>
      <c r="D435" s="33" t="str">
        <f>IFERROR(IF(Calc!E435&lt;=$D$4,"Nice",""),"")</f>
        <v/>
      </c>
      <c r="E435" s="40" t="str">
        <f>IFERROR(IF(Calc!J435&lt;=$C$4,Calc!I435,""),"")</f>
        <v/>
      </c>
      <c r="F435" s="40" t="str">
        <f>IFERROR(IF(Calc!J435&lt;=$C$4,CONCATENATE(TEXT(Calc!H435,"#0.000#")," + ",TEXT(INDEX(Calc!L435:P435,$B$4),"#0.000#")),""),"")</f>
        <v/>
      </c>
      <c r="G435" s="41" t="str">
        <f>IFERROR(IF(Calc!J435&lt;=$C$4,Calc!J435,""),"")</f>
        <v/>
      </c>
      <c r="H435" s="33" t="str">
        <f>IFERROR(IF(Calc!J435&lt;=$D$4,"Nice",""),"")</f>
        <v/>
      </c>
      <c r="J435" s="7" t="str">
        <f>CONCATENATE("[",TEXT(Show!A435,"#.0#"),":",TEXT(Show!B435,"#.0#"),"][",TEXT(Show!E435,"#.0#"),":",TEXT(Show!F435,"#.0#"),"]")</f>
        <v>[:][:]</v>
      </c>
    </row>
    <row r="436" spans="1:10" hidden="1" x14ac:dyDescent="0.25">
      <c r="A436" s="40" t="str">
        <f>IFERROR(IF(Calc!E436&lt;=$C$4,Calc!D436,""),"")</f>
        <v/>
      </c>
      <c r="B436" s="40" t="str">
        <f>IFERROR(IF(Calc!E436&lt;=$C$4,CONCATENATE(TEXT(Calc!C436,"#0.000#")," || ",TEXT(INDEX(Calc!L436:P436,$B$4),"#0.000#")),""),"")</f>
        <v/>
      </c>
      <c r="C436" s="41" t="str">
        <f>IFERROR(IF(Calc!E436&lt;=$C$4,Calc!E436,""),"")</f>
        <v/>
      </c>
      <c r="D436" s="33" t="str">
        <f>IFERROR(IF(Calc!E436&lt;=$D$4,"Nice",""),"")</f>
        <v/>
      </c>
      <c r="E436" s="40" t="str">
        <f>IFERROR(IF(Calc!J436&lt;=$C$4,Calc!I436,""),"")</f>
        <v/>
      </c>
      <c r="F436" s="40" t="str">
        <f>IFERROR(IF(Calc!J436&lt;=$C$4,CONCATENATE(TEXT(Calc!H436,"#0.000#")," + ",TEXT(INDEX(Calc!L436:P436,$B$4),"#0.000#")),""),"")</f>
        <v/>
      </c>
      <c r="G436" s="41" t="str">
        <f>IFERROR(IF(Calc!J436&lt;=$C$4,Calc!J436,""),"")</f>
        <v/>
      </c>
      <c r="H436" s="33" t="str">
        <f>IFERROR(IF(Calc!J436&lt;=$D$4,"Nice",""),"")</f>
        <v/>
      </c>
      <c r="J436" s="7" t="str">
        <f>CONCATENATE("[",TEXT(Show!A436,"#.0#"),":",TEXT(Show!B436,"#.0#"),"][",TEXT(Show!E436,"#.0#"),":",TEXT(Show!F436,"#.0#"),"]")</f>
        <v>[:][:]</v>
      </c>
    </row>
    <row r="437" spans="1:10" hidden="1" x14ac:dyDescent="0.25">
      <c r="A437" s="40" t="str">
        <f>IFERROR(IF(Calc!E437&lt;=$C$4,Calc!D437,""),"")</f>
        <v/>
      </c>
      <c r="B437" s="40" t="str">
        <f>IFERROR(IF(Calc!E437&lt;=$C$4,CONCATENATE(TEXT(Calc!C437,"#0.000#")," || ",TEXT(INDEX(Calc!L437:P437,$B$4),"#0.000#")),""),"")</f>
        <v/>
      </c>
      <c r="C437" s="41" t="str">
        <f>IFERROR(IF(Calc!E437&lt;=$C$4,Calc!E437,""),"")</f>
        <v/>
      </c>
      <c r="D437" s="33" t="str">
        <f>IFERROR(IF(Calc!E437&lt;=$D$4,"Nice",""),"")</f>
        <v/>
      </c>
      <c r="E437" s="40" t="str">
        <f>IFERROR(IF(Calc!J437&lt;=$C$4,Calc!I437,""),"")</f>
        <v/>
      </c>
      <c r="F437" s="40" t="str">
        <f>IFERROR(IF(Calc!J437&lt;=$C$4,CONCATENATE(TEXT(Calc!H437,"#0.000#")," + ",TEXT(INDEX(Calc!L437:P437,$B$4),"#0.000#")),""),"")</f>
        <v/>
      </c>
      <c r="G437" s="41" t="str">
        <f>IFERROR(IF(Calc!J437&lt;=$C$4,Calc!J437,""),"")</f>
        <v/>
      </c>
      <c r="H437" s="33" t="str">
        <f>IFERROR(IF(Calc!J437&lt;=$D$4,"Nice",""),"")</f>
        <v/>
      </c>
      <c r="J437" s="7" t="str">
        <f>CONCATENATE("[",TEXT(Show!A437,"#.0#"),":",TEXT(Show!B437,"#.0#"),"][",TEXT(Show!E437,"#.0#"),":",TEXT(Show!F437,"#.0#"),"]")</f>
        <v>[:][:]</v>
      </c>
    </row>
    <row r="438" spans="1:10" hidden="1" x14ac:dyDescent="0.25">
      <c r="A438" s="40" t="str">
        <f>IFERROR(IF(Calc!E438&lt;=$C$4,Calc!D438,""),"")</f>
        <v/>
      </c>
      <c r="B438" s="40" t="str">
        <f>IFERROR(IF(Calc!E438&lt;=$C$4,CONCATENATE(TEXT(Calc!C438,"#0.000#")," || ",TEXT(INDEX(Calc!L438:P438,$B$4),"#0.000#")),""),"")</f>
        <v/>
      </c>
      <c r="C438" s="41" t="str">
        <f>IFERROR(IF(Calc!E438&lt;=$C$4,Calc!E438,""),"")</f>
        <v/>
      </c>
      <c r="D438" s="33" t="str">
        <f>IFERROR(IF(Calc!E438&lt;=$D$4,"Nice",""),"")</f>
        <v/>
      </c>
      <c r="E438" s="40" t="str">
        <f>IFERROR(IF(Calc!J438&lt;=$C$4,Calc!I438,""),"")</f>
        <v/>
      </c>
      <c r="F438" s="40" t="str">
        <f>IFERROR(IF(Calc!J438&lt;=$C$4,CONCATENATE(TEXT(Calc!H438,"#0.000#")," + ",TEXT(INDEX(Calc!L438:P438,$B$4),"#0.000#")),""),"")</f>
        <v/>
      </c>
      <c r="G438" s="41" t="str">
        <f>IFERROR(IF(Calc!J438&lt;=$C$4,Calc!J438,""),"")</f>
        <v/>
      </c>
      <c r="H438" s="33" t="str">
        <f>IFERROR(IF(Calc!J438&lt;=$D$4,"Nice",""),"")</f>
        <v/>
      </c>
      <c r="J438" s="7" t="str">
        <f>CONCATENATE("[",TEXT(Show!A438,"#.0#"),":",TEXT(Show!B438,"#.0#"),"][",TEXT(Show!E438,"#.0#"),":",TEXT(Show!F438,"#.0#"),"]")</f>
        <v>[:][:]</v>
      </c>
    </row>
    <row r="439" spans="1:10" hidden="1" x14ac:dyDescent="0.25">
      <c r="A439" s="40" t="str">
        <f>IFERROR(IF(Calc!E439&lt;=$C$4,Calc!D439,""),"")</f>
        <v/>
      </c>
      <c r="B439" s="40" t="str">
        <f>IFERROR(IF(Calc!E439&lt;=$C$4,CONCATENATE(TEXT(Calc!C439,"#0.000#")," || ",TEXT(INDEX(Calc!L439:P439,$B$4),"#0.000#")),""),"")</f>
        <v/>
      </c>
      <c r="C439" s="41" t="str">
        <f>IFERROR(IF(Calc!E439&lt;=$C$4,Calc!E439,""),"")</f>
        <v/>
      </c>
      <c r="D439" s="33" t="str">
        <f>IFERROR(IF(Calc!E439&lt;=$D$4,"Nice",""),"")</f>
        <v/>
      </c>
      <c r="E439" s="40" t="str">
        <f>IFERROR(IF(Calc!J439&lt;=$C$4,Calc!I439,""),"")</f>
        <v/>
      </c>
      <c r="F439" s="40" t="str">
        <f>IFERROR(IF(Calc!J439&lt;=$C$4,CONCATENATE(TEXT(Calc!H439,"#0.000#")," + ",TEXT(INDEX(Calc!L439:P439,$B$4),"#0.000#")),""),"")</f>
        <v/>
      </c>
      <c r="G439" s="41" t="str">
        <f>IFERROR(IF(Calc!J439&lt;=$C$4,Calc!J439,""),"")</f>
        <v/>
      </c>
      <c r="H439" s="33" t="str">
        <f>IFERROR(IF(Calc!J439&lt;=$D$4,"Nice",""),"")</f>
        <v/>
      </c>
      <c r="J439" s="7" t="str">
        <f>CONCATENATE("[",TEXT(Show!A439,"#.0#"),":",TEXT(Show!B439,"#.0#"),"][",TEXT(Show!E439,"#.0#"),":",TEXT(Show!F439,"#.0#"),"]")</f>
        <v>[:][:]</v>
      </c>
    </row>
    <row r="440" spans="1:10" hidden="1" x14ac:dyDescent="0.25">
      <c r="A440" s="40" t="str">
        <f>IFERROR(IF(Calc!E440&lt;=$C$4,Calc!D440,""),"")</f>
        <v/>
      </c>
      <c r="B440" s="40" t="str">
        <f>IFERROR(IF(Calc!E440&lt;=$C$4,CONCATENATE(TEXT(Calc!C440,"#0.000#")," || ",TEXT(INDEX(Calc!L440:P440,$B$4),"#0.000#")),""),"")</f>
        <v/>
      </c>
      <c r="C440" s="41" t="str">
        <f>IFERROR(IF(Calc!E440&lt;=$C$4,Calc!E440,""),"")</f>
        <v/>
      </c>
      <c r="D440" s="33" t="str">
        <f>IFERROR(IF(Calc!E440&lt;=$D$4,"Nice",""),"")</f>
        <v/>
      </c>
      <c r="E440" s="40" t="str">
        <f>IFERROR(IF(Calc!J440&lt;=$C$4,Calc!I440,""),"")</f>
        <v/>
      </c>
      <c r="F440" s="40" t="str">
        <f>IFERROR(IF(Calc!J440&lt;=$C$4,CONCATENATE(TEXT(Calc!H440,"#0.000#")," + ",TEXT(INDEX(Calc!L440:P440,$B$4),"#0.000#")),""),"")</f>
        <v/>
      </c>
      <c r="G440" s="41" t="str">
        <f>IFERROR(IF(Calc!J440&lt;=$C$4,Calc!J440,""),"")</f>
        <v/>
      </c>
      <c r="H440" s="33" t="str">
        <f>IFERROR(IF(Calc!J440&lt;=$D$4,"Nice",""),"")</f>
        <v/>
      </c>
      <c r="J440" s="7" t="str">
        <f>CONCATENATE("[",TEXT(Show!A440,"#.0#"),":",TEXT(Show!B440,"#.0#"),"][",TEXT(Show!E440,"#.0#"),":",TEXT(Show!F440,"#.0#"),"]")</f>
        <v>[:][:]</v>
      </c>
    </row>
    <row r="441" spans="1:10" hidden="1" x14ac:dyDescent="0.25">
      <c r="A441" s="40" t="str">
        <f>IFERROR(IF(Calc!E441&lt;=$C$4,Calc!D441,""),"")</f>
        <v/>
      </c>
      <c r="B441" s="40" t="str">
        <f>IFERROR(IF(Calc!E441&lt;=$C$4,CONCATENATE(TEXT(Calc!C441,"#0.000#")," || ",TEXT(INDEX(Calc!L441:P441,$B$4),"#0.000#")),""),"")</f>
        <v/>
      </c>
      <c r="C441" s="41" t="str">
        <f>IFERROR(IF(Calc!E441&lt;=$C$4,Calc!E441,""),"")</f>
        <v/>
      </c>
      <c r="D441" s="33" t="str">
        <f>IFERROR(IF(Calc!E441&lt;=$D$4,"Nice",""),"")</f>
        <v/>
      </c>
      <c r="E441" s="40" t="str">
        <f>IFERROR(IF(Calc!J441&lt;=$C$4,Calc!I441,""),"")</f>
        <v/>
      </c>
      <c r="F441" s="40" t="str">
        <f>IFERROR(IF(Calc!J441&lt;=$C$4,CONCATENATE(TEXT(Calc!H441,"#0.000#")," + ",TEXT(INDEX(Calc!L441:P441,$B$4),"#0.000#")),""),"")</f>
        <v/>
      </c>
      <c r="G441" s="41" t="str">
        <f>IFERROR(IF(Calc!J441&lt;=$C$4,Calc!J441,""),"")</f>
        <v/>
      </c>
      <c r="H441" s="33" t="str">
        <f>IFERROR(IF(Calc!J441&lt;=$D$4,"Nice",""),"")</f>
        <v/>
      </c>
      <c r="J441" s="7" t="str">
        <f>CONCATENATE("[",TEXT(Show!A441,"#.0#"),":",TEXT(Show!B441,"#.0#"),"][",TEXT(Show!E441,"#.0#"),":",TEXT(Show!F441,"#.0#"),"]")</f>
        <v>[:][:]</v>
      </c>
    </row>
    <row r="442" spans="1:10" hidden="1" x14ac:dyDescent="0.25">
      <c r="A442" s="40" t="str">
        <f>IFERROR(IF(Calc!E442&lt;=$C$4,Calc!D442,""),"")</f>
        <v/>
      </c>
      <c r="B442" s="40" t="str">
        <f>IFERROR(IF(Calc!E442&lt;=$C$4,CONCATENATE(TEXT(Calc!C442,"#0.000#")," || ",TEXT(INDEX(Calc!L442:P442,$B$4),"#0.000#")),""),"")</f>
        <v/>
      </c>
      <c r="C442" s="41" t="str">
        <f>IFERROR(IF(Calc!E442&lt;=$C$4,Calc!E442,""),"")</f>
        <v/>
      </c>
      <c r="D442" s="33" t="str">
        <f>IFERROR(IF(Calc!E442&lt;=$D$4,"Nice",""),"")</f>
        <v/>
      </c>
      <c r="E442" s="40" t="str">
        <f>IFERROR(IF(Calc!J442&lt;=$C$4,Calc!I442,""),"")</f>
        <v/>
      </c>
      <c r="F442" s="40" t="str">
        <f>IFERROR(IF(Calc!J442&lt;=$C$4,CONCATENATE(TEXT(Calc!H442,"#0.000#")," + ",TEXT(INDEX(Calc!L442:P442,$B$4),"#0.000#")),""),"")</f>
        <v/>
      </c>
      <c r="G442" s="41" t="str">
        <f>IFERROR(IF(Calc!J442&lt;=$C$4,Calc!J442,""),"")</f>
        <v/>
      </c>
      <c r="H442" s="33" t="str">
        <f>IFERROR(IF(Calc!J442&lt;=$D$4,"Nice",""),"")</f>
        <v/>
      </c>
      <c r="J442" s="7" t="str">
        <f>CONCATENATE("[",TEXT(Show!A442,"#.0#"),":",TEXT(Show!B442,"#.0#"),"][",TEXT(Show!E442,"#.0#"),":",TEXT(Show!F442,"#.0#"),"]")</f>
        <v>[:][:]</v>
      </c>
    </row>
    <row r="443" spans="1:10" hidden="1" x14ac:dyDescent="0.25">
      <c r="A443" s="40" t="str">
        <f>IFERROR(IF(Calc!E443&lt;=$C$4,Calc!D443,""),"")</f>
        <v/>
      </c>
      <c r="B443" s="40" t="str">
        <f>IFERROR(IF(Calc!E443&lt;=$C$4,CONCATENATE(TEXT(Calc!C443,"#0.000#")," || ",TEXT(INDEX(Calc!L443:P443,$B$4),"#0.000#")),""),"")</f>
        <v/>
      </c>
      <c r="C443" s="41" t="str">
        <f>IFERROR(IF(Calc!E443&lt;=$C$4,Calc!E443,""),"")</f>
        <v/>
      </c>
      <c r="D443" s="33" t="str">
        <f>IFERROR(IF(Calc!E443&lt;=$D$4,"Nice",""),"")</f>
        <v/>
      </c>
      <c r="E443" s="40" t="str">
        <f>IFERROR(IF(Calc!J443&lt;=$C$4,Calc!I443,""),"")</f>
        <v/>
      </c>
      <c r="F443" s="40" t="str">
        <f>IFERROR(IF(Calc!J443&lt;=$C$4,CONCATENATE(TEXT(Calc!H443,"#0.000#")," + ",TEXT(INDEX(Calc!L443:P443,$B$4),"#0.000#")),""),"")</f>
        <v/>
      </c>
      <c r="G443" s="41" t="str">
        <f>IFERROR(IF(Calc!J443&lt;=$C$4,Calc!J443,""),"")</f>
        <v/>
      </c>
      <c r="H443" s="33" t="str">
        <f>IFERROR(IF(Calc!J443&lt;=$D$4,"Nice",""),"")</f>
        <v/>
      </c>
      <c r="J443" s="7" t="str">
        <f>CONCATENATE("[",TEXT(Show!A443,"#.0#"),":",TEXT(Show!B443,"#.0#"),"][",TEXT(Show!E443,"#.0#"),":",TEXT(Show!F443,"#.0#"),"]")</f>
        <v>[:][:]</v>
      </c>
    </row>
    <row r="444" spans="1:10" hidden="1" x14ac:dyDescent="0.25">
      <c r="A444" s="40" t="str">
        <f>IFERROR(IF(Calc!E444&lt;=$C$4,Calc!D444,""),"")</f>
        <v/>
      </c>
      <c r="B444" s="40" t="str">
        <f>IFERROR(IF(Calc!E444&lt;=$C$4,CONCATENATE(TEXT(Calc!C444,"#0.000#")," || ",TEXT(INDEX(Calc!L444:P444,$B$4),"#0.000#")),""),"")</f>
        <v/>
      </c>
      <c r="C444" s="41" t="str">
        <f>IFERROR(IF(Calc!E444&lt;=$C$4,Calc!E444,""),"")</f>
        <v/>
      </c>
      <c r="D444" s="33" t="str">
        <f>IFERROR(IF(Calc!E444&lt;=$D$4,"Nice",""),"")</f>
        <v/>
      </c>
      <c r="E444" s="40" t="str">
        <f>IFERROR(IF(Calc!J444&lt;=$C$4,Calc!I444,""),"")</f>
        <v/>
      </c>
      <c r="F444" s="40" t="str">
        <f>IFERROR(IF(Calc!J444&lt;=$C$4,CONCATENATE(TEXT(Calc!H444,"#0.000#")," + ",TEXT(INDEX(Calc!L444:P444,$B$4),"#0.000#")),""),"")</f>
        <v/>
      </c>
      <c r="G444" s="41" t="str">
        <f>IFERROR(IF(Calc!J444&lt;=$C$4,Calc!J444,""),"")</f>
        <v/>
      </c>
      <c r="H444" s="33" t="str">
        <f>IFERROR(IF(Calc!J444&lt;=$D$4,"Nice",""),"")</f>
        <v/>
      </c>
      <c r="J444" s="7" t="str">
        <f>CONCATENATE("[",TEXT(Show!A444,"#.0#"),":",TEXT(Show!B444,"#.0#"),"][",TEXT(Show!E444,"#.0#"),":",TEXT(Show!F444,"#.0#"),"]")</f>
        <v>[:][:]</v>
      </c>
    </row>
    <row r="445" spans="1:10" hidden="1" x14ac:dyDescent="0.25">
      <c r="A445" s="40" t="str">
        <f>IFERROR(IF(Calc!E445&lt;=$C$4,Calc!D445,""),"")</f>
        <v/>
      </c>
      <c r="B445" s="40" t="str">
        <f>IFERROR(IF(Calc!E445&lt;=$C$4,CONCATENATE(TEXT(Calc!C445,"#0.000#")," || ",TEXT(INDEX(Calc!L445:P445,$B$4),"#0.000#")),""),"")</f>
        <v/>
      </c>
      <c r="C445" s="41" t="str">
        <f>IFERROR(IF(Calc!E445&lt;=$C$4,Calc!E445,""),"")</f>
        <v/>
      </c>
      <c r="D445" s="33" t="str">
        <f>IFERROR(IF(Calc!E445&lt;=$D$4,"Nice",""),"")</f>
        <v/>
      </c>
      <c r="E445" s="40" t="str">
        <f>IFERROR(IF(Calc!J445&lt;=$C$4,Calc!I445,""),"")</f>
        <v/>
      </c>
      <c r="F445" s="40" t="str">
        <f>IFERROR(IF(Calc!J445&lt;=$C$4,CONCATENATE(TEXT(Calc!H445,"#0.000#")," + ",TEXT(INDEX(Calc!L445:P445,$B$4),"#0.000#")),""),"")</f>
        <v/>
      </c>
      <c r="G445" s="41" t="str">
        <f>IFERROR(IF(Calc!J445&lt;=$C$4,Calc!J445,""),"")</f>
        <v/>
      </c>
      <c r="H445" s="33" t="str">
        <f>IFERROR(IF(Calc!J445&lt;=$D$4,"Nice",""),"")</f>
        <v/>
      </c>
      <c r="J445" s="7" t="str">
        <f>CONCATENATE("[",TEXT(Show!A445,"#.0#"),":",TEXT(Show!B445,"#.0#"),"][",TEXT(Show!E445,"#.0#"),":",TEXT(Show!F445,"#.0#"),"]")</f>
        <v>[:][:]</v>
      </c>
    </row>
    <row r="446" spans="1:10" hidden="1" x14ac:dyDescent="0.25">
      <c r="A446" s="40" t="str">
        <f>IFERROR(IF(Calc!E446&lt;=$C$4,Calc!D446,""),"")</f>
        <v/>
      </c>
      <c r="B446" s="40" t="str">
        <f>IFERROR(IF(Calc!E446&lt;=$C$4,CONCATENATE(TEXT(Calc!C446,"#0.000#")," || ",TEXT(INDEX(Calc!L446:P446,$B$4),"#0.000#")),""),"")</f>
        <v/>
      </c>
      <c r="C446" s="41" t="str">
        <f>IFERROR(IF(Calc!E446&lt;=$C$4,Calc!E446,""),"")</f>
        <v/>
      </c>
      <c r="D446" s="33" t="str">
        <f>IFERROR(IF(Calc!E446&lt;=$D$4,"Nice",""),"")</f>
        <v/>
      </c>
      <c r="E446" s="40" t="str">
        <f>IFERROR(IF(Calc!J446&lt;=$C$4,Calc!I446,""),"")</f>
        <v/>
      </c>
      <c r="F446" s="40" t="str">
        <f>IFERROR(IF(Calc!J446&lt;=$C$4,CONCATENATE(TEXT(Calc!H446,"#0.000#")," + ",TEXT(INDEX(Calc!L446:P446,$B$4),"#0.000#")),""),"")</f>
        <v/>
      </c>
      <c r="G446" s="41" t="str">
        <f>IFERROR(IF(Calc!J446&lt;=$C$4,Calc!J446,""),"")</f>
        <v/>
      </c>
      <c r="H446" s="33" t="str">
        <f>IFERROR(IF(Calc!J446&lt;=$D$4,"Nice",""),"")</f>
        <v/>
      </c>
      <c r="J446" s="7" t="str">
        <f>CONCATENATE("[",TEXT(Show!A446,"#.0#"),":",TEXT(Show!B446,"#.0#"),"][",TEXT(Show!E446,"#.0#"),":",TEXT(Show!F446,"#.0#"),"]")</f>
        <v>[:][:]</v>
      </c>
    </row>
    <row r="447" spans="1:10" hidden="1" x14ac:dyDescent="0.25">
      <c r="A447" s="40" t="str">
        <f>IFERROR(IF(Calc!E447&lt;=$C$4,Calc!D447,""),"")</f>
        <v/>
      </c>
      <c r="B447" s="40" t="str">
        <f>IFERROR(IF(Calc!E447&lt;=$C$4,CONCATENATE(TEXT(Calc!C447,"#0.000#")," || ",TEXT(INDEX(Calc!L447:P447,$B$4),"#0.000#")),""),"")</f>
        <v/>
      </c>
      <c r="C447" s="41" t="str">
        <f>IFERROR(IF(Calc!E447&lt;=$C$4,Calc!E447,""),"")</f>
        <v/>
      </c>
      <c r="D447" s="33" t="str">
        <f>IFERROR(IF(Calc!E447&lt;=$D$4,"Nice",""),"")</f>
        <v/>
      </c>
      <c r="E447" s="40" t="str">
        <f>IFERROR(IF(Calc!J447&lt;=$C$4,Calc!I447,""),"")</f>
        <v/>
      </c>
      <c r="F447" s="40" t="str">
        <f>IFERROR(IF(Calc!J447&lt;=$C$4,CONCATENATE(TEXT(Calc!H447,"#0.000#")," + ",TEXT(INDEX(Calc!L447:P447,$B$4),"#0.000#")),""),"")</f>
        <v/>
      </c>
      <c r="G447" s="41" t="str">
        <f>IFERROR(IF(Calc!J447&lt;=$C$4,Calc!J447,""),"")</f>
        <v/>
      </c>
      <c r="H447" s="33" t="str">
        <f>IFERROR(IF(Calc!J447&lt;=$D$4,"Nice",""),"")</f>
        <v/>
      </c>
      <c r="J447" s="7" t="str">
        <f>CONCATENATE("[",TEXT(Show!A447,"#.0#"),":",TEXT(Show!B447,"#.0#"),"][",TEXT(Show!E447,"#.0#"),":",TEXT(Show!F447,"#.0#"),"]")</f>
        <v>[:][:]</v>
      </c>
    </row>
    <row r="448" spans="1:10" hidden="1" x14ac:dyDescent="0.25">
      <c r="A448" s="40" t="str">
        <f>IFERROR(IF(Calc!E448&lt;=$C$4,Calc!D448,""),"")</f>
        <v/>
      </c>
      <c r="B448" s="40" t="str">
        <f>IFERROR(IF(Calc!E448&lt;=$C$4,CONCATENATE(TEXT(Calc!C448,"#0.000#")," || ",TEXT(INDEX(Calc!L448:P448,$B$4),"#0.000#")),""),"")</f>
        <v/>
      </c>
      <c r="C448" s="41" t="str">
        <f>IFERROR(IF(Calc!E448&lt;=$C$4,Calc!E448,""),"")</f>
        <v/>
      </c>
      <c r="D448" s="33" t="str">
        <f>IFERROR(IF(Calc!E448&lt;=$D$4,"Nice",""),"")</f>
        <v/>
      </c>
      <c r="E448" s="40" t="str">
        <f>IFERROR(IF(Calc!J448&lt;=$C$4,Calc!I448,""),"")</f>
        <v/>
      </c>
      <c r="F448" s="40" t="str">
        <f>IFERROR(IF(Calc!J448&lt;=$C$4,CONCATENATE(TEXT(Calc!H448,"#0.000#")," + ",TEXT(INDEX(Calc!L448:P448,$B$4),"#0.000#")),""),"")</f>
        <v/>
      </c>
      <c r="G448" s="41" t="str">
        <f>IFERROR(IF(Calc!J448&lt;=$C$4,Calc!J448,""),"")</f>
        <v/>
      </c>
      <c r="H448" s="33" t="str">
        <f>IFERROR(IF(Calc!J448&lt;=$D$4,"Nice",""),"")</f>
        <v/>
      </c>
      <c r="J448" s="7" t="str">
        <f>CONCATENATE("[",TEXT(Show!A448,"#.0#"),":",TEXT(Show!B448,"#.0#"),"][",TEXT(Show!E448,"#.0#"),":",TEXT(Show!F448,"#.0#"),"]")</f>
        <v>[:][:]</v>
      </c>
    </row>
    <row r="449" spans="1:10" hidden="1" x14ac:dyDescent="0.25">
      <c r="A449" s="40" t="str">
        <f>IFERROR(IF(Calc!E449&lt;=$C$4,Calc!D449,""),"")</f>
        <v/>
      </c>
      <c r="B449" s="40" t="str">
        <f>IFERROR(IF(Calc!E449&lt;=$C$4,CONCATENATE(TEXT(Calc!C449,"#0.000#")," || ",TEXT(INDEX(Calc!L449:P449,$B$4),"#0.000#")),""),"")</f>
        <v/>
      </c>
      <c r="C449" s="41" t="str">
        <f>IFERROR(IF(Calc!E449&lt;=$C$4,Calc!E449,""),"")</f>
        <v/>
      </c>
      <c r="D449" s="33" t="str">
        <f>IFERROR(IF(Calc!E449&lt;=$D$4,"Nice",""),"")</f>
        <v/>
      </c>
      <c r="E449" s="40" t="str">
        <f>IFERROR(IF(Calc!J449&lt;=$C$4,Calc!I449,""),"")</f>
        <v/>
      </c>
      <c r="F449" s="40" t="str">
        <f>IFERROR(IF(Calc!J449&lt;=$C$4,CONCATENATE(TEXT(Calc!H449,"#0.000#")," + ",TEXT(INDEX(Calc!L449:P449,$B$4),"#0.000#")),""),"")</f>
        <v/>
      </c>
      <c r="G449" s="41" t="str">
        <f>IFERROR(IF(Calc!J449&lt;=$C$4,Calc!J449,""),"")</f>
        <v/>
      </c>
      <c r="H449" s="33" t="str">
        <f>IFERROR(IF(Calc!J449&lt;=$D$4,"Nice",""),"")</f>
        <v/>
      </c>
      <c r="J449" s="7" t="str">
        <f>CONCATENATE("[",TEXT(Show!A449,"#.0#"),":",TEXT(Show!B449,"#.0#"),"][",TEXT(Show!E449,"#.0#"),":",TEXT(Show!F449,"#.0#"),"]")</f>
        <v>[:][:]</v>
      </c>
    </row>
    <row r="450" spans="1:10" hidden="1" x14ac:dyDescent="0.25">
      <c r="A450" s="40" t="str">
        <f>IFERROR(IF(Calc!E450&lt;=$C$4,Calc!D450,""),"")</f>
        <v/>
      </c>
      <c r="B450" s="40" t="str">
        <f>IFERROR(IF(Calc!E450&lt;=$C$4,CONCATENATE(TEXT(Calc!C450,"#0.000#")," || ",TEXT(INDEX(Calc!L450:P450,$B$4),"#0.000#")),""),"")</f>
        <v/>
      </c>
      <c r="C450" s="41" t="str">
        <f>IFERROR(IF(Calc!E450&lt;=$C$4,Calc!E450,""),"")</f>
        <v/>
      </c>
      <c r="D450" s="33" t="str">
        <f>IFERROR(IF(Calc!E450&lt;=$D$4,"Nice",""),"")</f>
        <v/>
      </c>
      <c r="E450" s="40" t="str">
        <f>IFERROR(IF(Calc!J450&lt;=$C$4,Calc!I450,""),"")</f>
        <v/>
      </c>
      <c r="F450" s="40" t="str">
        <f>IFERROR(IF(Calc!J450&lt;=$C$4,CONCATENATE(TEXT(Calc!H450,"#0.000#")," + ",TEXT(INDEX(Calc!L450:P450,$B$4),"#0.000#")),""),"")</f>
        <v/>
      </c>
      <c r="G450" s="41" t="str">
        <f>IFERROR(IF(Calc!J450&lt;=$C$4,Calc!J450,""),"")</f>
        <v/>
      </c>
      <c r="H450" s="33" t="str">
        <f>IFERROR(IF(Calc!J450&lt;=$D$4,"Nice",""),"")</f>
        <v/>
      </c>
      <c r="J450" s="7" t="str">
        <f>CONCATENATE("[",TEXT(Show!A450,"#.0#"),":",TEXT(Show!B450,"#.0#"),"][",TEXT(Show!E450,"#.0#"),":",TEXT(Show!F450,"#.0#"),"]")</f>
        <v>[:][:]</v>
      </c>
    </row>
    <row r="451" spans="1:10" hidden="1" x14ac:dyDescent="0.25">
      <c r="A451" s="40" t="str">
        <f>IFERROR(IF(Calc!E451&lt;=$C$4,Calc!D451,""),"")</f>
        <v/>
      </c>
      <c r="B451" s="40" t="str">
        <f>IFERROR(IF(Calc!E451&lt;=$C$4,CONCATENATE(TEXT(Calc!C451,"#0.000#")," || ",TEXT(INDEX(Calc!L451:P451,$B$4),"#0.000#")),""),"")</f>
        <v/>
      </c>
      <c r="C451" s="41" t="str">
        <f>IFERROR(IF(Calc!E451&lt;=$C$4,Calc!E451,""),"")</f>
        <v/>
      </c>
      <c r="D451" s="33" t="str">
        <f>IFERROR(IF(Calc!E451&lt;=$D$4,"Nice",""),"")</f>
        <v/>
      </c>
      <c r="E451" s="40" t="str">
        <f>IFERROR(IF(Calc!J451&lt;=$C$4,Calc!I451,""),"")</f>
        <v/>
      </c>
      <c r="F451" s="40" t="str">
        <f>IFERROR(IF(Calc!J451&lt;=$C$4,CONCATENATE(TEXT(Calc!H451,"#0.000#")," + ",TEXT(INDEX(Calc!L451:P451,$B$4),"#0.000#")),""),"")</f>
        <v/>
      </c>
      <c r="G451" s="41" t="str">
        <f>IFERROR(IF(Calc!J451&lt;=$C$4,Calc!J451,""),"")</f>
        <v/>
      </c>
      <c r="H451" s="33" t="str">
        <f>IFERROR(IF(Calc!J451&lt;=$D$4,"Nice",""),"")</f>
        <v/>
      </c>
      <c r="J451" s="7" t="str">
        <f>CONCATENATE("[",TEXT(Show!A451,"#.0#"),":",TEXT(Show!B451,"#.0#"),"][",TEXT(Show!E451,"#.0#"),":",TEXT(Show!F451,"#.0#"),"]")</f>
        <v>[:][:]</v>
      </c>
    </row>
    <row r="452" spans="1:10" hidden="1" x14ac:dyDescent="0.25">
      <c r="A452" s="40" t="str">
        <f>IFERROR(IF(Calc!E452&lt;=$C$4,Calc!D452,""),"")</f>
        <v/>
      </c>
      <c r="B452" s="40" t="str">
        <f>IFERROR(IF(Calc!E452&lt;=$C$4,CONCATENATE(TEXT(Calc!C452,"#0.000#")," || ",TEXT(INDEX(Calc!L452:P452,$B$4),"#0.000#")),""),"")</f>
        <v/>
      </c>
      <c r="C452" s="41" t="str">
        <f>IFERROR(IF(Calc!E452&lt;=$C$4,Calc!E452,""),"")</f>
        <v/>
      </c>
      <c r="D452" s="33" t="str">
        <f>IFERROR(IF(Calc!E452&lt;=$D$4,"Nice",""),"")</f>
        <v/>
      </c>
      <c r="E452" s="40" t="str">
        <f>IFERROR(IF(Calc!J452&lt;=$C$4,Calc!I452,""),"")</f>
        <v/>
      </c>
      <c r="F452" s="40" t="str">
        <f>IFERROR(IF(Calc!J452&lt;=$C$4,CONCATENATE(TEXT(Calc!H452,"#0.000#")," + ",TEXT(INDEX(Calc!L452:P452,$B$4),"#0.000#")),""),"")</f>
        <v/>
      </c>
      <c r="G452" s="41" t="str">
        <f>IFERROR(IF(Calc!J452&lt;=$C$4,Calc!J452,""),"")</f>
        <v/>
      </c>
      <c r="H452" s="33" t="str">
        <f>IFERROR(IF(Calc!J452&lt;=$D$4,"Nice",""),"")</f>
        <v/>
      </c>
      <c r="J452" s="7" t="str">
        <f>CONCATENATE("[",TEXT(Show!A452,"#.0#"),":",TEXT(Show!B452,"#.0#"),"][",TEXT(Show!E452,"#.0#"),":",TEXT(Show!F452,"#.0#"),"]")</f>
        <v>[:][:]</v>
      </c>
    </row>
    <row r="453" spans="1:10" hidden="1" x14ac:dyDescent="0.25">
      <c r="A453" s="40" t="str">
        <f>IFERROR(IF(Calc!E453&lt;=$C$4,Calc!D453,""),"")</f>
        <v/>
      </c>
      <c r="B453" s="40" t="str">
        <f>IFERROR(IF(Calc!E453&lt;=$C$4,CONCATENATE(TEXT(Calc!C453,"#0.000#")," || ",TEXT(INDEX(Calc!L453:P453,$B$4),"#0.000#")),""),"")</f>
        <v/>
      </c>
      <c r="C453" s="41" t="str">
        <f>IFERROR(IF(Calc!E453&lt;=$C$4,Calc!E453,""),"")</f>
        <v/>
      </c>
      <c r="D453" s="33" t="str">
        <f>IFERROR(IF(Calc!E453&lt;=$D$4,"Nice",""),"")</f>
        <v/>
      </c>
      <c r="E453" s="40" t="str">
        <f>IFERROR(IF(Calc!J453&lt;=$C$4,Calc!I453,""),"")</f>
        <v/>
      </c>
      <c r="F453" s="40" t="str">
        <f>IFERROR(IF(Calc!J453&lt;=$C$4,CONCATENATE(TEXT(Calc!H453,"#0.000#")," + ",TEXT(INDEX(Calc!L453:P453,$B$4),"#0.000#")),""),"")</f>
        <v/>
      </c>
      <c r="G453" s="41" t="str">
        <f>IFERROR(IF(Calc!J453&lt;=$C$4,Calc!J453,""),"")</f>
        <v/>
      </c>
      <c r="H453" s="33" t="str">
        <f>IFERROR(IF(Calc!J453&lt;=$D$4,"Nice",""),"")</f>
        <v/>
      </c>
      <c r="J453" s="7" t="str">
        <f>CONCATENATE("[",TEXT(Show!A453,"#.0#"),":",TEXT(Show!B453,"#.0#"),"][",TEXT(Show!E453,"#.0#"),":",TEXT(Show!F453,"#.0#"),"]")</f>
        <v>[:][:]</v>
      </c>
    </row>
    <row r="454" spans="1:10" hidden="1" x14ac:dyDescent="0.25">
      <c r="A454" s="40" t="str">
        <f>IFERROR(IF(Calc!E454&lt;=$C$4,Calc!D454,""),"")</f>
        <v/>
      </c>
      <c r="B454" s="40" t="str">
        <f>IFERROR(IF(Calc!E454&lt;=$C$4,CONCATENATE(TEXT(Calc!C454,"#0.000#")," || ",TEXT(INDEX(Calc!L454:P454,$B$4),"#0.000#")),""),"")</f>
        <v/>
      </c>
      <c r="C454" s="41" t="str">
        <f>IFERROR(IF(Calc!E454&lt;=$C$4,Calc!E454,""),"")</f>
        <v/>
      </c>
      <c r="D454" s="33" t="str">
        <f>IFERROR(IF(Calc!E454&lt;=$D$4,"Nice",""),"")</f>
        <v/>
      </c>
      <c r="E454" s="40" t="str">
        <f>IFERROR(IF(Calc!J454&lt;=$C$4,Calc!I454,""),"")</f>
        <v/>
      </c>
      <c r="F454" s="40" t="str">
        <f>IFERROR(IF(Calc!J454&lt;=$C$4,CONCATENATE(TEXT(Calc!H454,"#0.000#")," + ",TEXT(INDEX(Calc!L454:P454,$B$4),"#0.000#")),""),"")</f>
        <v/>
      </c>
      <c r="G454" s="41" t="str">
        <f>IFERROR(IF(Calc!J454&lt;=$C$4,Calc!J454,""),"")</f>
        <v/>
      </c>
      <c r="H454" s="33" t="str">
        <f>IFERROR(IF(Calc!J454&lt;=$D$4,"Nice",""),"")</f>
        <v/>
      </c>
      <c r="J454" s="7" t="str">
        <f>CONCATENATE("[",TEXT(Show!A454,"#.0#"),":",TEXT(Show!B454,"#.0#"),"][",TEXT(Show!E454,"#.0#"),":",TEXT(Show!F454,"#.0#"),"]")</f>
        <v>[:][:]</v>
      </c>
    </row>
    <row r="455" spans="1:10" hidden="1" x14ac:dyDescent="0.25">
      <c r="A455" s="40" t="str">
        <f>IFERROR(IF(Calc!E455&lt;=$C$4,Calc!D455,""),"")</f>
        <v/>
      </c>
      <c r="B455" s="40" t="str">
        <f>IFERROR(IF(Calc!E455&lt;=$C$4,CONCATENATE(TEXT(Calc!C455,"#0.000#")," || ",TEXT(INDEX(Calc!L455:P455,$B$4),"#0.000#")),""),"")</f>
        <v/>
      </c>
      <c r="C455" s="41" t="str">
        <f>IFERROR(IF(Calc!E455&lt;=$C$4,Calc!E455,""),"")</f>
        <v/>
      </c>
      <c r="D455" s="33" t="str">
        <f>IFERROR(IF(Calc!E455&lt;=$D$4,"Nice",""),"")</f>
        <v/>
      </c>
      <c r="E455" s="40" t="str">
        <f>IFERROR(IF(Calc!J455&lt;=$C$4,Calc!I455,""),"")</f>
        <v/>
      </c>
      <c r="F455" s="40" t="str">
        <f>IFERROR(IF(Calc!J455&lt;=$C$4,CONCATENATE(TEXT(Calc!H455,"#0.000#")," + ",TEXT(INDEX(Calc!L455:P455,$B$4),"#0.000#")),""),"")</f>
        <v/>
      </c>
      <c r="G455" s="41" t="str">
        <f>IFERROR(IF(Calc!J455&lt;=$C$4,Calc!J455,""),"")</f>
        <v/>
      </c>
      <c r="H455" s="33" t="str">
        <f>IFERROR(IF(Calc!J455&lt;=$D$4,"Nice",""),"")</f>
        <v/>
      </c>
      <c r="J455" s="7" t="str">
        <f>CONCATENATE("[",TEXT(Show!A455,"#.0#"),":",TEXT(Show!B455,"#.0#"),"][",TEXT(Show!E455,"#.0#"),":",TEXT(Show!F455,"#.0#"),"]")</f>
        <v>[:][:]</v>
      </c>
    </row>
    <row r="456" spans="1:10" hidden="1" x14ac:dyDescent="0.25">
      <c r="A456" s="40" t="str">
        <f>IFERROR(IF(Calc!E456&lt;=$C$4,Calc!D456,""),"")</f>
        <v/>
      </c>
      <c r="B456" s="40" t="str">
        <f>IFERROR(IF(Calc!E456&lt;=$C$4,CONCATENATE(TEXT(Calc!C456,"#0.000#")," || ",TEXT(INDEX(Calc!L456:P456,$B$4),"#0.000#")),""),"")</f>
        <v/>
      </c>
      <c r="C456" s="41" t="str">
        <f>IFERROR(IF(Calc!E456&lt;=$C$4,Calc!E456,""),"")</f>
        <v/>
      </c>
      <c r="D456" s="33" t="str">
        <f>IFERROR(IF(Calc!E456&lt;=$D$4,"Nice",""),"")</f>
        <v/>
      </c>
      <c r="E456" s="40" t="str">
        <f>IFERROR(IF(Calc!J456&lt;=$C$4,Calc!I456,""),"")</f>
        <v/>
      </c>
      <c r="F456" s="40" t="str">
        <f>IFERROR(IF(Calc!J456&lt;=$C$4,CONCATENATE(TEXT(Calc!H456,"#0.000#")," + ",TEXT(INDEX(Calc!L456:P456,$B$4),"#0.000#")),""),"")</f>
        <v/>
      </c>
      <c r="G456" s="41" t="str">
        <f>IFERROR(IF(Calc!J456&lt;=$C$4,Calc!J456,""),"")</f>
        <v/>
      </c>
      <c r="H456" s="33" t="str">
        <f>IFERROR(IF(Calc!J456&lt;=$D$4,"Nice",""),"")</f>
        <v/>
      </c>
      <c r="J456" s="7" t="str">
        <f>CONCATENATE("[",TEXT(Show!A456,"#.0#"),":",TEXT(Show!B456,"#.0#"),"][",TEXT(Show!E456,"#.0#"),":",TEXT(Show!F456,"#.0#"),"]")</f>
        <v>[:][:]</v>
      </c>
    </row>
    <row r="457" spans="1:10" hidden="1" x14ac:dyDescent="0.25">
      <c r="A457" s="40" t="str">
        <f>IFERROR(IF(Calc!E457&lt;=$C$4,Calc!D457,""),"")</f>
        <v/>
      </c>
      <c r="B457" s="40" t="str">
        <f>IFERROR(IF(Calc!E457&lt;=$C$4,CONCATENATE(TEXT(Calc!C457,"#0.000#")," || ",TEXT(INDEX(Calc!L457:P457,$B$4),"#0.000#")),""),"")</f>
        <v/>
      </c>
      <c r="C457" s="41" t="str">
        <f>IFERROR(IF(Calc!E457&lt;=$C$4,Calc!E457,""),"")</f>
        <v/>
      </c>
      <c r="D457" s="33" t="str">
        <f>IFERROR(IF(Calc!E457&lt;=$D$4,"Nice",""),"")</f>
        <v/>
      </c>
      <c r="E457" s="40" t="str">
        <f>IFERROR(IF(Calc!J457&lt;=$C$4,Calc!I457,""),"")</f>
        <v/>
      </c>
      <c r="F457" s="40" t="str">
        <f>IFERROR(IF(Calc!J457&lt;=$C$4,CONCATENATE(TEXT(Calc!H457,"#0.000#")," + ",TEXT(INDEX(Calc!L457:P457,$B$4),"#0.000#")),""),"")</f>
        <v/>
      </c>
      <c r="G457" s="41" t="str">
        <f>IFERROR(IF(Calc!J457&lt;=$C$4,Calc!J457,""),"")</f>
        <v/>
      </c>
      <c r="H457" s="33" t="str">
        <f>IFERROR(IF(Calc!J457&lt;=$D$4,"Nice",""),"")</f>
        <v/>
      </c>
      <c r="J457" s="7" t="str">
        <f>CONCATENATE("[",TEXT(Show!A457,"#.0#"),":",TEXT(Show!B457,"#.0#"),"][",TEXT(Show!E457,"#.0#"),":",TEXT(Show!F457,"#.0#"),"]")</f>
        <v>[:][:]</v>
      </c>
    </row>
    <row r="458" spans="1:10" hidden="1" x14ac:dyDescent="0.25">
      <c r="A458" s="40" t="str">
        <f>IFERROR(IF(Calc!E458&lt;=$C$4,Calc!D458,""),"")</f>
        <v/>
      </c>
      <c r="B458" s="40" t="str">
        <f>IFERROR(IF(Calc!E458&lt;=$C$4,CONCATENATE(TEXT(Calc!C458,"#0.000#")," || ",TEXT(INDEX(Calc!L458:P458,$B$4),"#0.000#")),""),"")</f>
        <v/>
      </c>
      <c r="C458" s="41" t="str">
        <f>IFERROR(IF(Calc!E458&lt;=$C$4,Calc!E458,""),"")</f>
        <v/>
      </c>
      <c r="D458" s="33" t="str">
        <f>IFERROR(IF(Calc!E458&lt;=$D$4,"Nice",""),"")</f>
        <v/>
      </c>
      <c r="E458" s="40" t="str">
        <f>IFERROR(IF(Calc!J458&lt;=$C$4,Calc!I458,""),"")</f>
        <v/>
      </c>
      <c r="F458" s="40" t="str">
        <f>IFERROR(IF(Calc!J458&lt;=$C$4,CONCATENATE(TEXT(Calc!H458,"#0.000#")," + ",TEXT(INDEX(Calc!L458:P458,$B$4),"#0.000#")),""),"")</f>
        <v/>
      </c>
      <c r="G458" s="41" t="str">
        <f>IFERROR(IF(Calc!J458&lt;=$C$4,Calc!J458,""),"")</f>
        <v/>
      </c>
      <c r="H458" s="33" t="str">
        <f>IFERROR(IF(Calc!J458&lt;=$D$4,"Nice",""),"")</f>
        <v/>
      </c>
      <c r="J458" s="7" t="str">
        <f>CONCATENATE("[",TEXT(Show!A458,"#.0#"),":",TEXT(Show!B458,"#.0#"),"][",TEXT(Show!E458,"#.0#"),":",TEXT(Show!F458,"#.0#"),"]")</f>
        <v>[:][:]</v>
      </c>
    </row>
    <row r="459" spans="1:10" hidden="1" x14ac:dyDescent="0.25">
      <c r="A459" s="40" t="str">
        <f>IFERROR(IF(Calc!E459&lt;=$C$4,Calc!D459,""),"")</f>
        <v/>
      </c>
      <c r="B459" s="40" t="str">
        <f>IFERROR(IF(Calc!E459&lt;=$C$4,CONCATENATE(TEXT(Calc!C459,"#0.000#")," || ",TEXT(INDEX(Calc!L459:P459,$B$4),"#0.000#")),""),"")</f>
        <v/>
      </c>
      <c r="C459" s="41" t="str">
        <f>IFERROR(IF(Calc!E459&lt;=$C$4,Calc!E459,""),"")</f>
        <v/>
      </c>
      <c r="D459" s="33" t="str">
        <f>IFERROR(IF(Calc!E459&lt;=$D$4,"Nice",""),"")</f>
        <v/>
      </c>
      <c r="E459" s="40" t="str">
        <f>IFERROR(IF(Calc!J459&lt;=$C$4,Calc!I459,""),"")</f>
        <v/>
      </c>
      <c r="F459" s="40" t="str">
        <f>IFERROR(IF(Calc!J459&lt;=$C$4,CONCATENATE(TEXT(Calc!H459,"#0.000#")," + ",TEXT(INDEX(Calc!L459:P459,$B$4),"#0.000#")),""),"")</f>
        <v/>
      </c>
      <c r="G459" s="41" t="str">
        <f>IFERROR(IF(Calc!J459&lt;=$C$4,Calc!J459,""),"")</f>
        <v/>
      </c>
      <c r="H459" s="33" t="str">
        <f>IFERROR(IF(Calc!J459&lt;=$D$4,"Nice",""),"")</f>
        <v/>
      </c>
      <c r="J459" s="7" t="str">
        <f>CONCATENATE("[",TEXT(Show!A459,"#.0#"),":",TEXT(Show!B459,"#.0#"),"][",TEXT(Show!E459,"#.0#"),":",TEXT(Show!F459,"#.0#"),"]")</f>
        <v>[:][:]</v>
      </c>
    </row>
    <row r="460" spans="1:10" hidden="1" x14ac:dyDescent="0.25">
      <c r="A460" s="40" t="str">
        <f>IFERROR(IF(Calc!E460&lt;=$C$4,Calc!D460,""),"")</f>
        <v/>
      </c>
      <c r="B460" s="40" t="str">
        <f>IFERROR(IF(Calc!E460&lt;=$C$4,CONCATENATE(TEXT(Calc!C460,"#0.000#")," || ",TEXT(INDEX(Calc!L460:P460,$B$4),"#0.000#")),""),"")</f>
        <v/>
      </c>
      <c r="C460" s="41" t="str">
        <f>IFERROR(IF(Calc!E460&lt;=$C$4,Calc!E460,""),"")</f>
        <v/>
      </c>
      <c r="D460" s="33" t="str">
        <f>IFERROR(IF(Calc!E460&lt;=$D$4,"Nice",""),"")</f>
        <v/>
      </c>
      <c r="E460" s="40" t="str">
        <f>IFERROR(IF(Calc!J460&lt;=$C$4,Calc!I460,""),"")</f>
        <v/>
      </c>
      <c r="F460" s="40" t="str">
        <f>IFERROR(IF(Calc!J460&lt;=$C$4,CONCATENATE(TEXT(Calc!H460,"#0.000#")," + ",TEXT(INDEX(Calc!L460:P460,$B$4),"#0.000#")),""),"")</f>
        <v/>
      </c>
      <c r="G460" s="41" t="str">
        <f>IFERROR(IF(Calc!J460&lt;=$C$4,Calc!J460,""),"")</f>
        <v/>
      </c>
      <c r="H460" s="33" t="str">
        <f>IFERROR(IF(Calc!J460&lt;=$D$4,"Nice",""),"")</f>
        <v/>
      </c>
      <c r="J460" s="7" t="str">
        <f>CONCATENATE("[",TEXT(Show!A460,"#.0#"),":",TEXT(Show!B460,"#.0#"),"][",TEXT(Show!E460,"#.0#"),":",TEXT(Show!F460,"#.0#"),"]")</f>
        <v>[:][:]</v>
      </c>
    </row>
    <row r="461" spans="1:10" hidden="1" x14ac:dyDescent="0.25">
      <c r="A461" s="40" t="str">
        <f>IFERROR(IF(Calc!E461&lt;=$C$4,Calc!D461,""),"")</f>
        <v/>
      </c>
      <c r="B461" s="40" t="str">
        <f>IFERROR(IF(Calc!E461&lt;=$C$4,CONCATENATE(TEXT(Calc!C461,"#0.000#")," || ",TEXT(INDEX(Calc!L461:P461,$B$4),"#0.000#")),""),"")</f>
        <v/>
      </c>
      <c r="C461" s="41" t="str">
        <f>IFERROR(IF(Calc!E461&lt;=$C$4,Calc!E461,""),"")</f>
        <v/>
      </c>
      <c r="D461" s="33" t="str">
        <f>IFERROR(IF(Calc!E461&lt;=$D$4,"Nice",""),"")</f>
        <v/>
      </c>
      <c r="E461" s="40" t="str">
        <f>IFERROR(IF(Calc!J461&lt;=$C$4,Calc!I461,""),"")</f>
        <v/>
      </c>
      <c r="F461" s="40" t="str">
        <f>IFERROR(IF(Calc!J461&lt;=$C$4,CONCATENATE(TEXT(Calc!H461,"#0.000#")," + ",TEXT(INDEX(Calc!L461:P461,$B$4),"#0.000#")),""),"")</f>
        <v/>
      </c>
      <c r="G461" s="41" t="str">
        <f>IFERROR(IF(Calc!J461&lt;=$C$4,Calc!J461,""),"")</f>
        <v/>
      </c>
      <c r="H461" s="33" t="str">
        <f>IFERROR(IF(Calc!J461&lt;=$D$4,"Nice",""),"")</f>
        <v/>
      </c>
      <c r="J461" s="7" t="str">
        <f>CONCATENATE("[",TEXT(Show!A461,"#.0#"),":",TEXT(Show!B461,"#.0#"),"][",TEXT(Show!E461,"#.0#"),":",TEXT(Show!F461,"#.0#"),"]")</f>
        <v>[:][:]</v>
      </c>
    </row>
    <row r="462" spans="1:10" hidden="1" x14ac:dyDescent="0.25">
      <c r="A462" s="40" t="str">
        <f>IFERROR(IF(Calc!E462&lt;=$C$4,Calc!D462,""),"")</f>
        <v/>
      </c>
      <c r="B462" s="40" t="str">
        <f>IFERROR(IF(Calc!E462&lt;=$C$4,CONCATENATE(TEXT(Calc!C462,"#0.000#")," || ",TEXT(INDEX(Calc!L462:P462,$B$4),"#0.000#")),""),"")</f>
        <v/>
      </c>
      <c r="C462" s="41" t="str">
        <f>IFERROR(IF(Calc!E462&lt;=$C$4,Calc!E462,""),"")</f>
        <v/>
      </c>
      <c r="D462" s="33" t="str">
        <f>IFERROR(IF(Calc!E462&lt;=$D$4,"Nice",""),"")</f>
        <v/>
      </c>
      <c r="E462" s="40" t="str">
        <f>IFERROR(IF(Calc!J462&lt;=$C$4,Calc!I462,""),"")</f>
        <v/>
      </c>
      <c r="F462" s="40" t="str">
        <f>IFERROR(IF(Calc!J462&lt;=$C$4,CONCATENATE(TEXT(Calc!H462,"#0.000#")," + ",TEXT(INDEX(Calc!L462:P462,$B$4),"#0.000#")),""),"")</f>
        <v/>
      </c>
      <c r="G462" s="41" t="str">
        <f>IFERROR(IF(Calc!J462&lt;=$C$4,Calc!J462,""),"")</f>
        <v/>
      </c>
      <c r="H462" s="33" t="str">
        <f>IFERROR(IF(Calc!J462&lt;=$D$4,"Nice",""),"")</f>
        <v/>
      </c>
      <c r="J462" s="7" t="str">
        <f>CONCATENATE("[",TEXT(Show!A462,"#.0#"),":",TEXT(Show!B462,"#.0#"),"][",TEXT(Show!E462,"#.0#"),":",TEXT(Show!F462,"#.0#"),"]")</f>
        <v>[:][:]</v>
      </c>
    </row>
    <row r="463" spans="1:10" hidden="1" x14ac:dyDescent="0.25">
      <c r="A463" s="40" t="str">
        <f>IFERROR(IF(Calc!E463&lt;=$C$4,Calc!D463,""),"")</f>
        <v/>
      </c>
      <c r="B463" s="40" t="str">
        <f>IFERROR(IF(Calc!E463&lt;=$C$4,CONCATENATE(TEXT(Calc!C463,"#0.000#")," || ",TEXT(INDEX(Calc!L463:P463,$B$4),"#0.000#")),""),"")</f>
        <v/>
      </c>
      <c r="C463" s="41" t="str">
        <f>IFERROR(IF(Calc!E463&lt;=$C$4,Calc!E463,""),"")</f>
        <v/>
      </c>
      <c r="D463" s="33" t="str">
        <f>IFERROR(IF(Calc!E463&lt;=$D$4,"Nice",""),"")</f>
        <v/>
      </c>
      <c r="E463" s="40" t="str">
        <f>IFERROR(IF(Calc!J463&lt;=$C$4,Calc!I463,""),"")</f>
        <v/>
      </c>
      <c r="F463" s="40" t="str">
        <f>IFERROR(IF(Calc!J463&lt;=$C$4,CONCATENATE(TEXT(Calc!H463,"#0.000#")," + ",TEXT(INDEX(Calc!L463:P463,$B$4),"#0.000#")),""),"")</f>
        <v/>
      </c>
      <c r="G463" s="41" t="str">
        <f>IFERROR(IF(Calc!J463&lt;=$C$4,Calc!J463,""),"")</f>
        <v/>
      </c>
      <c r="H463" s="33" t="str">
        <f>IFERROR(IF(Calc!J463&lt;=$D$4,"Nice",""),"")</f>
        <v/>
      </c>
      <c r="J463" s="7" t="str">
        <f>CONCATENATE("[",TEXT(Show!A463,"#.0#"),":",TEXT(Show!B463,"#.0#"),"][",TEXT(Show!E463,"#.0#"),":",TEXT(Show!F463,"#.0#"),"]")</f>
        <v>[:][:]</v>
      </c>
    </row>
    <row r="464" spans="1:10" hidden="1" x14ac:dyDescent="0.25">
      <c r="A464" s="40" t="str">
        <f>IFERROR(IF(Calc!E464&lt;=$C$4,Calc!D464,""),"")</f>
        <v/>
      </c>
      <c r="B464" s="40" t="str">
        <f>IFERROR(IF(Calc!E464&lt;=$C$4,CONCATENATE(TEXT(Calc!C464,"#0.000#")," || ",TEXT(INDEX(Calc!L464:P464,$B$4),"#0.000#")),""),"")</f>
        <v/>
      </c>
      <c r="C464" s="41" t="str">
        <f>IFERROR(IF(Calc!E464&lt;=$C$4,Calc!E464,""),"")</f>
        <v/>
      </c>
      <c r="D464" s="33" t="str">
        <f>IFERROR(IF(Calc!E464&lt;=$D$4,"Nice",""),"")</f>
        <v/>
      </c>
      <c r="E464" s="40" t="str">
        <f>IFERROR(IF(Calc!J464&lt;=$C$4,Calc!I464,""),"")</f>
        <v/>
      </c>
      <c r="F464" s="40" t="str">
        <f>IFERROR(IF(Calc!J464&lt;=$C$4,CONCATENATE(TEXT(Calc!H464,"#0.000#")," + ",TEXT(INDEX(Calc!L464:P464,$B$4),"#0.000#")),""),"")</f>
        <v/>
      </c>
      <c r="G464" s="41" t="str">
        <f>IFERROR(IF(Calc!J464&lt;=$C$4,Calc!J464,""),"")</f>
        <v/>
      </c>
      <c r="H464" s="33" t="str">
        <f>IFERROR(IF(Calc!J464&lt;=$D$4,"Nice",""),"")</f>
        <v/>
      </c>
      <c r="J464" s="7" t="str">
        <f>CONCATENATE("[",TEXT(Show!A464,"#.0#"),":",TEXT(Show!B464,"#.0#"),"][",TEXT(Show!E464,"#.0#"),":",TEXT(Show!F464,"#.0#"),"]")</f>
        <v>[:][:]</v>
      </c>
    </row>
    <row r="465" spans="1:10" hidden="1" x14ac:dyDescent="0.25">
      <c r="A465" s="40" t="str">
        <f>IFERROR(IF(Calc!E465&lt;=$C$4,Calc!D465,""),"")</f>
        <v/>
      </c>
      <c r="B465" s="40" t="str">
        <f>IFERROR(IF(Calc!E465&lt;=$C$4,CONCATENATE(TEXT(Calc!C465,"#0.000#")," || ",TEXT(INDEX(Calc!L465:P465,$B$4),"#0.000#")),""),"")</f>
        <v/>
      </c>
      <c r="C465" s="41" t="str">
        <f>IFERROR(IF(Calc!E465&lt;=$C$4,Calc!E465,""),"")</f>
        <v/>
      </c>
      <c r="D465" s="33" t="str">
        <f>IFERROR(IF(Calc!E465&lt;=$D$4,"Nice",""),"")</f>
        <v/>
      </c>
      <c r="E465" s="40" t="str">
        <f>IFERROR(IF(Calc!J465&lt;=$C$4,Calc!I465,""),"")</f>
        <v/>
      </c>
      <c r="F465" s="40" t="str">
        <f>IFERROR(IF(Calc!J465&lt;=$C$4,CONCATENATE(TEXT(Calc!H465,"#0.000#")," + ",TEXT(INDEX(Calc!L465:P465,$B$4),"#0.000#")),""),"")</f>
        <v/>
      </c>
      <c r="G465" s="41" t="str">
        <f>IFERROR(IF(Calc!J465&lt;=$C$4,Calc!J465,""),"")</f>
        <v/>
      </c>
      <c r="H465" s="33" t="str">
        <f>IFERROR(IF(Calc!J465&lt;=$D$4,"Nice",""),"")</f>
        <v/>
      </c>
      <c r="J465" s="7" t="str">
        <f>CONCATENATE("[",TEXT(Show!A465,"#.0#"),":",TEXT(Show!B465,"#.0#"),"][",TEXT(Show!E465,"#.0#"),":",TEXT(Show!F465,"#.0#"),"]")</f>
        <v>[:][:]</v>
      </c>
    </row>
    <row r="466" spans="1:10" hidden="1" x14ac:dyDescent="0.25">
      <c r="A466" s="40" t="str">
        <f>IFERROR(IF(Calc!E466&lt;=$C$4,Calc!D466,""),"")</f>
        <v/>
      </c>
      <c r="B466" s="40" t="str">
        <f>IFERROR(IF(Calc!E466&lt;=$C$4,CONCATENATE(TEXT(Calc!C466,"#0.000#")," || ",TEXT(INDEX(Calc!L466:P466,$B$4),"#0.000#")),""),"")</f>
        <v/>
      </c>
      <c r="C466" s="41" t="str">
        <f>IFERROR(IF(Calc!E466&lt;=$C$4,Calc!E466,""),"")</f>
        <v/>
      </c>
      <c r="D466" s="33" t="str">
        <f>IFERROR(IF(Calc!E466&lt;=$D$4,"Nice",""),"")</f>
        <v/>
      </c>
      <c r="E466" s="40" t="str">
        <f>IFERROR(IF(Calc!J466&lt;=$C$4,Calc!I466,""),"")</f>
        <v/>
      </c>
      <c r="F466" s="40" t="str">
        <f>IFERROR(IF(Calc!J466&lt;=$C$4,CONCATENATE(TEXT(Calc!H466,"#0.000#")," + ",TEXT(INDEX(Calc!L466:P466,$B$4),"#0.000#")),""),"")</f>
        <v/>
      </c>
      <c r="G466" s="41" t="str">
        <f>IFERROR(IF(Calc!J466&lt;=$C$4,Calc!J466,""),"")</f>
        <v/>
      </c>
      <c r="H466" s="33" t="str">
        <f>IFERROR(IF(Calc!J466&lt;=$D$4,"Nice",""),"")</f>
        <v/>
      </c>
      <c r="J466" s="7" t="str">
        <f>CONCATENATE("[",TEXT(Show!A466,"#.0#"),":",TEXT(Show!B466,"#.0#"),"][",TEXT(Show!E466,"#.0#"),":",TEXT(Show!F466,"#.0#"),"]")</f>
        <v>[:][:]</v>
      </c>
    </row>
    <row r="467" spans="1:10" hidden="1" x14ac:dyDescent="0.25">
      <c r="A467" s="40" t="str">
        <f>IFERROR(IF(Calc!E467&lt;=$C$4,Calc!D467,""),"")</f>
        <v/>
      </c>
      <c r="B467" s="40" t="str">
        <f>IFERROR(IF(Calc!E467&lt;=$C$4,CONCATENATE(TEXT(Calc!C467,"#0.000#")," || ",TEXT(INDEX(Calc!L467:P467,$B$4),"#0.000#")),""),"")</f>
        <v/>
      </c>
      <c r="C467" s="41" t="str">
        <f>IFERROR(IF(Calc!E467&lt;=$C$4,Calc!E467,""),"")</f>
        <v/>
      </c>
      <c r="D467" s="33" t="str">
        <f>IFERROR(IF(Calc!E467&lt;=$D$4,"Nice",""),"")</f>
        <v/>
      </c>
      <c r="E467" s="40" t="str">
        <f>IFERROR(IF(Calc!J467&lt;=$C$4,Calc!I467,""),"")</f>
        <v/>
      </c>
      <c r="F467" s="40" t="str">
        <f>IFERROR(IF(Calc!J467&lt;=$C$4,CONCATENATE(TEXT(Calc!H467,"#0.000#")," + ",TEXT(INDEX(Calc!L467:P467,$B$4),"#0.000#")),""),"")</f>
        <v/>
      </c>
      <c r="G467" s="41" t="str">
        <f>IFERROR(IF(Calc!J467&lt;=$C$4,Calc!J467,""),"")</f>
        <v/>
      </c>
      <c r="H467" s="33" t="str">
        <f>IFERROR(IF(Calc!J467&lt;=$D$4,"Nice",""),"")</f>
        <v/>
      </c>
      <c r="J467" s="7" t="str">
        <f>CONCATENATE("[",TEXT(Show!A467,"#.0#"),":",TEXT(Show!B467,"#.0#"),"][",TEXT(Show!E467,"#.0#"),":",TEXT(Show!F467,"#.0#"),"]")</f>
        <v>[:][:]</v>
      </c>
    </row>
    <row r="468" spans="1:10" hidden="1" x14ac:dyDescent="0.25">
      <c r="A468" s="40" t="str">
        <f>IFERROR(IF(Calc!E468&lt;=$C$4,Calc!D468,""),"")</f>
        <v/>
      </c>
      <c r="B468" s="40" t="str">
        <f>IFERROR(IF(Calc!E468&lt;=$C$4,CONCATENATE(TEXT(Calc!C468,"#0.000#")," || ",TEXT(INDEX(Calc!L468:P468,$B$4),"#0.000#")),""),"")</f>
        <v/>
      </c>
      <c r="C468" s="41" t="str">
        <f>IFERROR(IF(Calc!E468&lt;=$C$4,Calc!E468,""),"")</f>
        <v/>
      </c>
      <c r="D468" s="33" t="str">
        <f>IFERROR(IF(Calc!E468&lt;=$D$4,"Nice",""),"")</f>
        <v/>
      </c>
      <c r="E468" s="40" t="str">
        <f>IFERROR(IF(Calc!J468&lt;=$C$4,Calc!I468,""),"")</f>
        <v/>
      </c>
      <c r="F468" s="40" t="str">
        <f>IFERROR(IF(Calc!J468&lt;=$C$4,CONCATENATE(TEXT(Calc!H468,"#0.000#")," + ",TEXT(INDEX(Calc!L468:P468,$B$4),"#0.000#")),""),"")</f>
        <v/>
      </c>
      <c r="G468" s="41" t="str">
        <f>IFERROR(IF(Calc!J468&lt;=$C$4,Calc!J468,""),"")</f>
        <v/>
      </c>
      <c r="H468" s="33" t="str">
        <f>IFERROR(IF(Calc!J468&lt;=$D$4,"Nice",""),"")</f>
        <v/>
      </c>
      <c r="J468" s="7" t="str">
        <f>CONCATENATE("[",TEXT(Show!A468,"#.0#"),":",TEXT(Show!B468,"#.0#"),"][",TEXT(Show!E468,"#.0#"),":",TEXT(Show!F468,"#.0#"),"]")</f>
        <v>[:][:]</v>
      </c>
    </row>
    <row r="469" spans="1:10" hidden="1" x14ac:dyDescent="0.25">
      <c r="A469" s="40" t="str">
        <f>IFERROR(IF(Calc!E469&lt;=$C$4,Calc!D469,""),"")</f>
        <v/>
      </c>
      <c r="B469" s="40" t="str">
        <f>IFERROR(IF(Calc!E469&lt;=$C$4,CONCATENATE(TEXT(Calc!C469,"#0.000#")," || ",TEXT(INDEX(Calc!L469:P469,$B$4),"#0.000#")),""),"")</f>
        <v/>
      </c>
      <c r="C469" s="41" t="str">
        <f>IFERROR(IF(Calc!E469&lt;=$C$4,Calc!E469,""),"")</f>
        <v/>
      </c>
      <c r="D469" s="33" t="str">
        <f>IFERROR(IF(Calc!E469&lt;=$D$4,"Nice",""),"")</f>
        <v/>
      </c>
      <c r="E469" s="40" t="str">
        <f>IFERROR(IF(Calc!J469&lt;=$C$4,Calc!I469,""),"")</f>
        <v/>
      </c>
      <c r="F469" s="40" t="str">
        <f>IFERROR(IF(Calc!J469&lt;=$C$4,CONCATENATE(TEXT(Calc!H469,"#0.000#")," + ",TEXT(INDEX(Calc!L469:P469,$B$4),"#0.000#")),""),"")</f>
        <v/>
      </c>
      <c r="G469" s="41" t="str">
        <f>IFERROR(IF(Calc!J469&lt;=$C$4,Calc!J469,""),"")</f>
        <v/>
      </c>
      <c r="H469" s="33" t="str">
        <f>IFERROR(IF(Calc!J469&lt;=$D$4,"Nice",""),"")</f>
        <v/>
      </c>
      <c r="J469" s="7" t="str">
        <f>CONCATENATE("[",TEXT(Show!A469,"#.0#"),":",TEXT(Show!B469,"#.0#"),"][",TEXT(Show!E469,"#.0#"),":",TEXT(Show!F469,"#.0#"),"]")</f>
        <v>[:][:]</v>
      </c>
    </row>
    <row r="470" spans="1:10" hidden="1" x14ac:dyDescent="0.25">
      <c r="A470" s="40" t="str">
        <f>IFERROR(IF(Calc!E470&lt;=$C$4,Calc!D470,""),"")</f>
        <v/>
      </c>
      <c r="B470" s="40" t="str">
        <f>IFERROR(IF(Calc!E470&lt;=$C$4,CONCATENATE(TEXT(Calc!C470,"#0.000#")," || ",TEXT(INDEX(Calc!L470:P470,$B$4),"#0.000#")),""),"")</f>
        <v/>
      </c>
      <c r="C470" s="41" t="str">
        <f>IFERROR(IF(Calc!E470&lt;=$C$4,Calc!E470,""),"")</f>
        <v/>
      </c>
      <c r="D470" s="33" t="str">
        <f>IFERROR(IF(Calc!E470&lt;=$D$4,"Nice",""),"")</f>
        <v/>
      </c>
      <c r="E470" s="40" t="str">
        <f>IFERROR(IF(Calc!J470&lt;=$C$4,Calc!I470,""),"")</f>
        <v/>
      </c>
      <c r="F470" s="40" t="str">
        <f>IFERROR(IF(Calc!J470&lt;=$C$4,CONCATENATE(TEXT(Calc!H470,"#0.000#")," + ",TEXT(INDEX(Calc!L470:P470,$B$4),"#0.000#")),""),"")</f>
        <v/>
      </c>
      <c r="G470" s="41" t="str">
        <f>IFERROR(IF(Calc!J470&lt;=$C$4,Calc!J470,""),"")</f>
        <v/>
      </c>
      <c r="H470" s="33" t="str">
        <f>IFERROR(IF(Calc!J470&lt;=$D$4,"Nice",""),"")</f>
        <v/>
      </c>
      <c r="J470" s="7" t="str">
        <f>CONCATENATE("[",TEXT(Show!A470,"#.0#"),":",TEXT(Show!B470,"#.0#"),"][",TEXT(Show!E470,"#.0#"),":",TEXT(Show!F470,"#.0#"),"]")</f>
        <v>[:][:]</v>
      </c>
    </row>
    <row r="471" spans="1:10" hidden="1" x14ac:dyDescent="0.25">
      <c r="A471" s="40" t="str">
        <f>IFERROR(IF(Calc!E471&lt;=$C$4,Calc!D471,""),"")</f>
        <v/>
      </c>
      <c r="B471" s="40" t="str">
        <f>IFERROR(IF(Calc!E471&lt;=$C$4,CONCATENATE(TEXT(Calc!C471,"#0.000#")," || ",TEXT(INDEX(Calc!L471:P471,$B$4),"#0.000#")),""),"")</f>
        <v/>
      </c>
      <c r="C471" s="41" t="str">
        <f>IFERROR(IF(Calc!E471&lt;=$C$4,Calc!E471,""),"")</f>
        <v/>
      </c>
      <c r="D471" s="33" t="str">
        <f>IFERROR(IF(Calc!E471&lt;=$D$4,"Nice",""),"")</f>
        <v/>
      </c>
      <c r="E471" s="40" t="str">
        <f>IFERROR(IF(Calc!J471&lt;=$C$4,Calc!I471,""),"")</f>
        <v/>
      </c>
      <c r="F471" s="40" t="str">
        <f>IFERROR(IF(Calc!J471&lt;=$C$4,CONCATENATE(TEXT(Calc!H471,"#0.000#")," + ",TEXT(INDEX(Calc!L471:P471,$B$4),"#0.000#")),""),"")</f>
        <v/>
      </c>
      <c r="G471" s="41" t="str">
        <f>IFERROR(IF(Calc!J471&lt;=$C$4,Calc!J471,""),"")</f>
        <v/>
      </c>
      <c r="H471" s="33" t="str">
        <f>IFERROR(IF(Calc!J471&lt;=$D$4,"Nice",""),"")</f>
        <v/>
      </c>
      <c r="J471" s="7" t="str">
        <f>CONCATENATE("[",TEXT(Show!A471,"#.0#"),":",TEXT(Show!B471,"#.0#"),"][",TEXT(Show!E471,"#.0#"),":",TEXT(Show!F471,"#.0#"),"]")</f>
        <v>[:][:]</v>
      </c>
    </row>
    <row r="472" spans="1:10" hidden="1" x14ac:dyDescent="0.25">
      <c r="A472" s="40" t="str">
        <f>IFERROR(IF(Calc!E472&lt;=$C$4,Calc!D472,""),"")</f>
        <v/>
      </c>
      <c r="B472" s="40" t="str">
        <f>IFERROR(IF(Calc!E472&lt;=$C$4,CONCATENATE(TEXT(Calc!C472,"#0.000#")," || ",TEXT(INDEX(Calc!L472:P472,$B$4),"#0.000#")),""),"")</f>
        <v/>
      </c>
      <c r="C472" s="41" t="str">
        <f>IFERROR(IF(Calc!E472&lt;=$C$4,Calc!E472,""),"")</f>
        <v/>
      </c>
      <c r="D472" s="33" t="str">
        <f>IFERROR(IF(Calc!E472&lt;=$D$4,"Nice",""),"")</f>
        <v/>
      </c>
      <c r="E472" s="40" t="str">
        <f>IFERROR(IF(Calc!J472&lt;=$C$4,Calc!I472,""),"")</f>
        <v/>
      </c>
      <c r="F472" s="40" t="str">
        <f>IFERROR(IF(Calc!J472&lt;=$C$4,CONCATENATE(TEXT(Calc!H472,"#0.000#")," + ",TEXT(INDEX(Calc!L472:P472,$B$4),"#0.000#")),""),"")</f>
        <v/>
      </c>
      <c r="G472" s="41" t="str">
        <f>IFERROR(IF(Calc!J472&lt;=$C$4,Calc!J472,""),"")</f>
        <v/>
      </c>
      <c r="H472" s="33" t="str">
        <f>IFERROR(IF(Calc!J472&lt;=$D$4,"Nice",""),"")</f>
        <v/>
      </c>
      <c r="J472" s="7" t="str">
        <f>CONCATENATE("[",TEXT(Show!A472,"#.0#"),":",TEXT(Show!B472,"#.0#"),"][",TEXT(Show!E472,"#.0#"),":",TEXT(Show!F472,"#.0#"),"]")</f>
        <v>[:][:]</v>
      </c>
    </row>
    <row r="473" spans="1:10" hidden="1" x14ac:dyDescent="0.25">
      <c r="A473" s="40" t="str">
        <f>IFERROR(IF(Calc!E473&lt;=$C$4,Calc!D473,""),"")</f>
        <v/>
      </c>
      <c r="B473" s="40" t="str">
        <f>IFERROR(IF(Calc!E473&lt;=$C$4,CONCATENATE(TEXT(Calc!C473,"#0.000#")," || ",TEXT(INDEX(Calc!L473:P473,$B$4),"#0.000#")),""),"")</f>
        <v/>
      </c>
      <c r="C473" s="41" t="str">
        <f>IFERROR(IF(Calc!E473&lt;=$C$4,Calc!E473,""),"")</f>
        <v/>
      </c>
      <c r="D473" s="33" t="str">
        <f>IFERROR(IF(Calc!E473&lt;=$D$4,"Nice",""),"")</f>
        <v/>
      </c>
      <c r="E473" s="40" t="str">
        <f>IFERROR(IF(Calc!J473&lt;=$C$4,Calc!I473,""),"")</f>
        <v/>
      </c>
      <c r="F473" s="40" t="str">
        <f>IFERROR(IF(Calc!J473&lt;=$C$4,CONCATENATE(TEXT(Calc!H473,"#0.000#")," + ",TEXT(INDEX(Calc!L473:P473,$B$4),"#0.000#")),""),"")</f>
        <v/>
      </c>
      <c r="G473" s="41" t="str">
        <f>IFERROR(IF(Calc!J473&lt;=$C$4,Calc!J473,""),"")</f>
        <v/>
      </c>
      <c r="H473" s="33" t="str">
        <f>IFERROR(IF(Calc!J473&lt;=$D$4,"Nice",""),"")</f>
        <v/>
      </c>
      <c r="J473" s="7" t="str">
        <f>CONCATENATE("[",TEXT(Show!A473,"#.0#"),":",TEXT(Show!B473,"#.0#"),"][",TEXT(Show!E473,"#.0#"),":",TEXT(Show!F473,"#.0#"),"]")</f>
        <v>[:][:]</v>
      </c>
    </row>
    <row r="474" spans="1:10" hidden="1" x14ac:dyDescent="0.25">
      <c r="A474" s="40" t="str">
        <f>IFERROR(IF(Calc!E474&lt;=$C$4,Calc!D474,""),"")</f>
        <v/>
      </c>
      <c r="B474" s="40" t="str">
        <f>IFERROR(IF(Calc!E474&lt;=$C$4,CONCATENATE(TEXT(Calc!C474,"#0.000#")," || ",TEXT(INDEX(Calc!L474:P474,$B$4),"#0.000#")),""),"")</f>
        <v/>
      </c>
      <c r="C474" s="41" t="str">
        <f>IFERROR(IF(Calc!E474&lt;=$C$4,Calc!E474,""),"")</f>
        <v/>
      </c>
      <c r="D474" s="33" t="str">
        <f>IFERROR(IF(Calc!E474&lt;=$D$4,"Nice",""),"")</f>
        <v/>
      </c>
      <c r="E474" s="40" t="str">
        <f>IFERROR(IF(Calc!J474&lt;=$C$4,Calc!I474,""),"")</f>
        <v/>
      </c>
      <c r="F474" s="40" t="str">
        <f>IFERROR(IF(Calc!J474&lt;=$C$4,CONCATENATE(TEXT(Calc!H474,"#0.000#")," + ",TEXT(INDEX(Calc!L474:P474,$B$4),"#0.000#")),""),"")</f>
        <v/>
      </c>
      <c r="G474" s="41" t="str">
        <f>IFERROR(IF(Calc!J474&lt;=$C$4,Calc!J474,""),"")</f>
        <v/>
      </c>
      <c r="H474" s="33" t="str">
        <f>IFERROR(IF(Calc!J474&lt;=$D$4,"Nice",""),"")</f>
        <v/>
      </c>
      <c r="J474" s="7" t="str">
        <f>CONCATENATE("[",TEXT(Show!A474,"#.0#"),":",TEXT(Show!B474,"#.0#"),"][",TEXT(Show!E474,"#.0#"),":",TEXT(Show!F474,"#.0#"),"]")</f>
        <v>[:][:]</v>
      </c>
    </row>
    <row r="475" spans="1:10" hidden="1" x14ac:dyDescent="0.25">
      <c r="A475" s="40" t="str">
        <f>IFERROR(IF(Calc!E475&lt;=$C$4,Calc!D475,""),"")</f>
        <v/>
      </c>
      <c r="B475" s="40" t="str">
        <f>IFERROR(IF(Calc!E475&lt;=$C$4,CONCATENATE(TEXT(Calc!C475,"#0.000#")," || ",TEXT(INDEX(Calc!L475:P475,$B$4),"#0.000#")),""),"")</f>
        <v/>
      </c>
      <c r="C475" s="41" t="str">
        <f>IFERROR(IF(Calc!E475&lt;=$C$4,Calc!E475,""),"")</f>
        <v/>
      </c>
      <c r="D475" s="33" t="str">
        <f>IFERROR(IF(Calc!E475&lt;=$D$4,"Nice",""),"")</f>
        <v/>
      </c>
      <c r="E475" s="40" t="str">
        <f>IFERROR(IF(Calc!J475&lt;=$C$4,Calc!I475,""),"")</f>
        <v/>
      </c>
      <c r="F475" s="40" t="str">
        <f>IFERROR(IF(Calc!J475&lt;=$C$4,CONCATENATE(TEXT(Calc!H475,"#0.000#")," + ",TEXT(INDEX(Calc!L475:P475,$B$4),"#0.000#")),""),"")</f>
        <v/>
      </c>
      <c r="G475" s="41" t="str">
        <f>IFERROR(IF(Calc!J475&lt;=$C$4,Calc!J475,""),"")</f>
        <v/>
      </c>
      <c r="H475" s="33" t="str">
        <f>IFERROR(IF(Calc!J475&lt;=$D$4,"Nice",""),"")</f>
        <v/>
      </c>
      <c r="J475" s="7" t="str">
        <f>CONCATENATE("[",TEXT(Show!A475,"#.0#"),":",TEXT(Show!B475,"#.0#"),"][",TEXT(Show!E475,"#.0#"),":",TEXT(Show!F475,"#.0#"),"]")</f>
        <v>[:][:]</v>
      </c>
    </row>
    <row r="476" spans="1:10" hidden="1" x14ac:dyDescent="0.25">
      <c r="A476" s="40" t="str">
        <f>IFERROR(IF(Calc!E476&lt;=$C$4,Calc!D476,""),"")</f>
        <v/>
      </c>
      <c r="B476" s="40" t="str">
        <f>IFERROR(IF(Calc!E476&lt;=$C$4,CONCATENATE(TEXT(Calc!C476,"#0.000#")," || ",TEXT(INDEX(Calc!L476:P476,$B$4),"#0.000#")),""),"")</f>
        <v/>
      </c>
      <c r="C476" s="41" t="str">
        <f>IFERROR(IF(Calc!E476&lt;=$C$4,Calc!E476,""),"")</f>
        <v/>
      </c>
      <c r="D476" s="33" t="str">
        <f>IFERROR(IF(Calc!E476&lt;=$D$4,"Nice",""),"")</f>
        <v/>
      </c>
      <c r="E476" s="40" t="str">
        <f>IFERROR(IF(Calc!J476&lt;=$C$4,Calc!I476,""),"")</f>
        <v/>
      </c>
      <c r="F476" s="40" t="str">
        <f>IFERROR(IF(Calc!J476&lt;=$C$4,CONCATENATE(TEXT(Calc!H476,"#0.000#")," + ",TEXT(INDEX(Calc!L476:P476,$B$4),"#0.000#")),""),"")</f>
        <v/>
      </c>
      <c r="G476" s="41" t="str">
        <f>IFERROR(IF(Calc!J476&lt;=$C$4,Calc!J476,""),"")</f>
        <v/>
      </c>
      <c r="H476" s="33" t="str">
        <f>IFERROR(IF(Calc!J476&lt;=$D$4,"Nice",""),"")</f>
        <v/>
      </c>
      <c r="J476" s="7" t="str">
        <f>CONCATENATE("[",TEXT(Show!A476,"#.0#"),":",TEXT(Show!B476,"#.0#"),"][",TEXT(Show!E476,"#.0#"),":",TEXT(Show!F476,"#.0#"),"]")</f>
        <v>[:][:]</v>
      </c>
    </row>
    <row r="477" spans="1:10" hidden="1" x14ac:dyDescent="0.25">
      <c r="A477" s="40" t="str">
        <f>IFERROR(IF(Calc!E477&lt;=$C$4,Calc!D477,""),"")</f>
        <v/>
      </c>
      <c r="B477" s="40" t="str">
        <f>IFERROR(IF(Calc!E477&lt;=$C$4,CONCATENATE(TEXT(Calc!C477,"#0.000#")," || ",TEXT(INDEX(Calc!L477:P477,$B$4),"#0.000#")),""),"")</f>
        <v/>
      </c>
      <c r="C477" s="41" t="str">
        <f>IFERROR(IF(Calc!E477&lt;=$C$4,Calc!E477,""),"")</f>
        <v/>
      </c>
      <c r="D477" s="33" t="str">
        <f>IFERROR(IF(Calc!E477&lt;=$D$4,"Nice",""),"")</f>
        <v/>
      </c>
      <c r="E477" s="40" t="str">
        <f>IFERROR(IF(Calc!J477&lt;=$C$4,Calc!I477,""),"")</f>
        <v/>
      </c>
      <c r="F477" s="40" t="str">
        <f>IFERROR(IF(Calc!J477&lt;=$C$4,CONCATENATE(TEXT(Calc!H477,"#0.000#")," + ",TEXT(INDEX(Calc!L477:P477,$B$4),"#0.000#")),""),"")</f>
        <v/>
      </c>
      <c r="G477" s="41" t="str">
        <f>IFERROR(IF(Calc!J477&lt;=$C$4,Calc!J477,""),"")</f>
        <v/>
      </c>
      <c r="H477" s="33" t="str">
        <f>IFERROR(IF(Calc!J477&lt;=$D$4,"Nice",""),"")</f>
        <v/>
      </c>
      <c r="J477" s="7" t="str">
        <f>CONCATENATE("[",TEXT(Show!A477,"#.0#"),":",TEXT(Show!B477,"#.0#"),"][",TEXT(Show!E477,"#.0#"),":",TEXT(Show!F477,"#.0#"),"]")</f>
        <v>[:][:]</v>
      </c>
    </row>
    <row r="478" spans="1:10" hidden="1" x14ac:dyDescent="0.25">
      <c r="A478" s="40" t="str">
        <f>IFERROR(IF(Calc!E478&lt;=$C$4,Calc!D478,""),"")</f>
        <v/>
      </c>
      <c r="B478" s="40" t="str">
        <f>IFERROR(IF(Calc!E478&lt;=$C$4,CONCATENATE(TEXT(Calc!C478,"#0.000#")," || ",TEXT(INDEX(Calc!L478:P478,$B$4),"#0.000#")),""),"")</f>
        <v/>
      </c>
      <c r="C478" s="41" t="str">
        <f>IFERROR(IF(Calc!E478&lt;=$C$4,Calc!E478,""),"")</f>
        <v/>
      </c>
      <c r="D478" s="33" t="str">
        <f>IFERROR(IF(Calc!E478&lt;=$D$4,"Nice",""),"")</f>
        <v/>
      </c>
      <c r="E478" s="40" t="str">
        <f>IFERROR(IF(Calc!J478&lt;=$C$4,Calc!I478,""),"")</f>
        <v/>
      </c>
      <c r="F478" s="40" t="str">
        <f>IFERROR(IF(Calc!J478&lt;=$C$4,CONCATENATE(TEXT(Calc!H478,"#0.000#")," + ",TEXT(INDEX(Calc!L478:P478,$B$4),"#0.000#")),""),"")</f>
        <v/>
      </c>
      <c r="G478" s="41" t="str">
        <f>IFERROR(IF(Calc!J478&lt;=$C$4,Calc!J478,""),"")</f>
        <v/>
      </c>
      <c r="H478" s="33" t="str">
        <f>IFERROR(IF(Calc!J478&lt;=$D$4,"Nice",""),"")</f>
        <v/>
      </c>
      <c r="J478" s="7" t="str">
        <f>CONCATENATE("[",TEXT(Show!A478,"#.0#"),":",TEXT(Show!B478,"#.0#"),"][",TEXT(Show!E478,"#.0#"),":",TEXT(Show!F478,"#.0#"),"]")</f>
        <v>[:][:]</v>
      </c>
    </row>
    <row r="479" spans="1:10" hidden="1" x14ac:dyDescent="0.25">
      <c r="A479" s="40" t="str">
        <f>IFERROR(IF(Calc!E479&lt;=$C$4,Calc!D479,""),"")</f>
        <v/>
      </c>
      <c r="B479" s="40" t="str">
        <f>IFERROR(IF(Calc!E479&lt;=$C$4,CONCATENATE(TEXT(Calc!C479,"#0.000#")," || ",TEXT(INDEX(Calc!L479:P479,$B$4),"#0.000#")),""),"")</f>
        <v/>
      </c>
      <c r="C479" s="41" t="str">
        <f>IFERROR(IF(Calc!E479&lt;=$C$4,Calc!E479,""),"")</f>
        <v/>
      </c>
      <c r="D479" s="33" t="str">
        <f>IFERROR(IF(Calc!E479&lt;=$D$4,"Nice",""),"")</f>
        <v/>
      </c>
      <c r="E479" s="40" t="str">
        <f>IFERROR(IF(Calc!J479&lt;=$C$4,Calc!I479,""),"")</f>
        <v/>
      </c>
      <c r="F479" s="40" t="str">
        <f>IFERROR(IF(Calc!J479&lt;=$C$4,CONCATENATE(TEXT(Calc!H479,"#0.000#")," + ",TEXT(INDEX(Calc!L479:P479,$B$4),"#0.000#")),""),"")</f>
        <v/>
      </c>
      <c r="G479" s="41" t="str">
        <f>IFERROR(IF(Calc!J479&lt;=$C$4,Calc!J479,""),"")</f>
        <v/>
      </c>
      <c r="H479" s="33" t="str">
        <f>IFERROR(IF(Calc!J479&lt;=$D$4,"Nice",""),"")</f>
        <v/>
      </c>
      <c r="J479" s="7" t="str">
        <f>CONCATENATE("[",TEXT(Show!A479,"#.0#"),":",TEXT(Show!B479,"#.0#"),"][",TEXT(Show!E479,"#.0#"),":",TEXT(Show!F479,"#.0#"),"]")</f>
        <v>[:][:]</v>
      </c>
    </row>
    <row r="480" spans="1:10" hidden="1" x14ac:dyDescent="0.25">
      <c r="A480" s="40" t="str">
        <f>IFERROR(IF(Calc!E480&lt;=$C$4,Calc!D480,""),"")</f>
        <v/>
      </c>
      <c r="B480" s="40" t="str">
        <f>IFERROR(IF(Calc!E480&lt;=$C$4,CONCATENATE(TEXT(Calc!C480,"#0.000#")," || ",TEXT(INDEX(Calc!L480:P480,$B$4),"#0.000#")),""),"")</f>
        <v/>
      </c>
      <c r="C480" s="41" t="str">
        <f>IFERROR(IF(Calc!E480&lt;=$C$4,Calc!E480,""),"")</f>
        <v/>
      </c>
      <c r="D480" s="33" t="str">
        <f>IFERROR(IF(Calc!E480&lt;=$D$4,"Nice",""),"")</f>
        <v/>
      </c>
      <c r="E480" s="40" t="str">
        <f>IFERROR(IF(Calc!J480&lt;=$C$4,Calc!I480,""),"")</f>
        <v/>
      </c>
      <c r="F480" s="40" t="str">
        <f>IFERROR(IF(Calc!J480&lt;=$C$4,CONCATENATE(TEXT(Calc!H480,"#0.000#")," + ",TEXT(INDEX(Calc!L480:P480,$B$4),"#0.000#")),""),"")</f>
        <v/>
      </c>
      <c r="G480" s="41" t="str">
        <f>IFERROR(IF(Calc!J480&lt;=$C$4,Calc!J480,""),"")</f>
        <v/>
      </c>
      <c r="H480" s="33" t="str">
        <f>IFERROR(IF(Calc!J480&lt;=$D$4,"Nice",""),"")</f>
        <v/>
      </c>
      <c r="J480" s="7" t="str">
        <f>CONCATENATE("[",TEXT(Show!A480,"#.0#"),":",TEXT(Show!B480,"#.0#"),"][",TEXT(Show!E480,"#.0#"),":",TEXT(Show!F480,"#.0#"),"]")</f>
        <v>[:][:]</v>
      </c>
    </row>
    <row r="481" spans="1:10" hidden="1" x14ac:dyDescent="0.25">
      <c r="A481" s="40" t="str">
        <f>IFERROR(IF(Calc!E481&lt;=$C$4,Calc!D481,""),"")</f>
        <v/>
      </c>
      <c r="B481" s="40" t="str">
        <f>IFERROR(IF(Calc!E481&lt;=$C$4,CONCATENATE(TEXT(Calc!C481,"#0.000#")," || ",TEXT(INDEX(Calc!L481:P481,$B$4),"#0.000#")),""),"")</f>
        <v/>
      </c>
      <c r="C481" s="41" t="str">
        <f>IFERROR(IF(Calc!E481&lt;=$C$4,Calc!E481,""),"")</f>
        <v/>
      </c>
      <c r="D481" s="33" t="str">
        <f>IFERROR(IF(Calc!E481&lt;=$D$4,"Nice",""),"")</f>
        <v/>
      </c>
      <c r="E481" s="40" t="str">
        <f>IFERROR(IF(Calc!J481&lt;=$C$4,Calc!I481,""),"")</f>
        <v/>
      </c>
      <c r="F481" s="40" t="str">
        <f>IFERROR(IF(Calc!J481&lt;=$C$4,CONCATENATE(TEXT(Calc!H481,"#0.000#")," + ",TEXT(INDEX(Calc!L481:P481,$B$4),"#0.000#")),""),"")</f>
        <v/>
      </c>
      <c r="G481" s="41" t="str">
        <f>IFERROR(IF(Calc!J481&lt;=$C$4,Calc!J481,""),"")</f>
        <v/>
      </c>
      <c r="H481" s="33" t="str">
        <f>IFERROR(IF(Calc!J481&lt;=$D$4,"Nice",""),"")</f>
        <v/>
      </c>
      <c r="J481" s="7" t="str">
        <f>CONCATENATE("[",TEXT(Show!A481,"#.0#"),":",TEXT(Show!B481,"#.0#"),"][",TEXT(Show!E481,"#.0#"),":",TEXT(Show!F481,"#.0#"),"]")</f>
        <v>[:][:]</v>
      </c>
    </row>
    <row r="482" spans="1:10" hidden="1" x14ac:dyDescent="0.25">
      <c r="A482" s="40" t="str">
        <f>IFERROR(IF(Calc!E482&lt;=$C$4,Calc!D482,""),"")</f>
        <v/>
      </c>
      <c r="B482" s="40" t="str">
        <f>IFERROR(IF(Calc!E482&lt;=$C$4,CONCATENATE(TEXT(Calc!C482,"#0.000#")," || ",TEXT(INDEX(Calc!L482:P482,$B$4),"#0.000#")),""),"")</f>
        <v/>
      </c>
      <c r="C482" s="41" t="str">
        <f>IFERROR(IF(Calc!E482&lt;=$C$4,Calc!E482,""),"")</f>
        <v/>
      </c>
      <c r="D482" s="33" t="str">
        <f>IFERROR(IF(Calc!E482&lt;=$D$4,"Nice",""),"")</f>
        <v/>
      </c>
      <c r="E482" s="40" t="str">
        <f>IFERROR(IF(Calc!J482&lt;=$C$4,Calc!I482,""),"")</f>
        <v/>
      </c>
      <c r="F482" s="40" t="str">
        <f>IFERROR(IF(Calc!J482&lt;=$C$4,CONCATENATE(TEXT(Calc!H482,"#0.000#")," + ",TEXT(INDEX(Calc!L482:P482,$B$4),"#0.000#")),""),"")</f>
        <v/>
      </c>
      <c r="G482" s="41" t="str">
        <f>IFERROR(IF(Calc!J482&lt;=$C$4,Calc!J482,""),"")</f>
        <v/>
      </c>
      <c r="H482" s="33" t="str">
        <f>IFERROR(IF(Calc!J482&lt;=$D$4,"Nice",""),"")</f>
        <v/>
      </c>
      <c r="J482" s="7" t="str">
        <f>CONCATENATE("[",TEXT(Show!A482,"#.0#"),":",TEXT(Show!B482,"#.0#"),"][",TEXT(Show!E482,"#.0#"),":",TEXT(Show!F482,"#.0#"),"]")</f>
        <v>[:][:]</v>
      </c>
    </row>
    <row r="483" spans="1:10" hidden="1" x14ac:dyDescent="0.25">
      <c r="A483" s="40" t="str">
        <f>IFERROR(IF(Calc!E483&lt;=$C$4,Calc!D483,""),"")</f>
        <v/>
      </c>
      <c r="B483" s="40" t="str">
        <f>IFERROR(IF(Calc!E483&lt;=$C$4,CONCATENATE(TEXT(Calc!C483,"#0.000#")," || ",TEXT(INDEX(Calc!L483:P483,$B$4),"#0.000#")),""),"")</f>
        <v/>
      </c>
      <c r="C483" s="41" t="str">
        <f>IFERROR(IF(Calc!E483&lt;=$C$4,Calc!E483,""),"")</f>
        <v/>
      </c>
      <c r="D483" s="33" t="str">
        <f>IFERROR(IF(Calc!E483&lt;=$D$4,"Nice",""),"")</f>
        <v/>
      </c>
      <c r="E483" s="40" t="str">
        <f>IFERROR(IF(Calc!J483&lt;=$C$4,Calc!I483,""),"")</f>
        <v/>
      </c>
      <c r="F483" s="40" t="str">
        <f>IFERROR(IF(Calc!J483&lt;=$C$4,CONCATENATE(TEXT(Calc!H483,"#0.000#")," + ",TEXT(INDEX(Calc!L483:P483,$B$4),"#0.000#")),""),"")</f>
        <v/>
      </c>
      <c r="G483" s="41" t="str">
        <f>IFERROR(IF(Calc!J483&lt;=$C$4,Calc!J483,""),"")</f>
        <v/>
      </c>
      <c r="H483" s="33" t="str">
        <f>IFERROR(IF(Calc!J483&lt;=$D$4,"Nice",""),"")</f>
        <v/>
      </c>
      <c r="J483" s="7" t="str">
        <f>CONCATENATE("[",TEXT(Show!A483,"#.0#"),":",TEXT(Show!B483,"#.0#"),"][",TEXT(Show!E483,"#.0#"),":",TEXT(Show!F483,"#.0#"),"]")</f>
        <v>[:][:]</v>
      </c>
    </row>
    <row r="484" spans="1:10" hidden="1" x14ac:dyDescent="0.25">
      <c r="A484" s="40" t="str">
        <f>IFERROR(IF(Calc!E484&lt;=$C$4,Calc!D484,""),"")</f>
        <v/>
      </c>
      <c r="B484" s="40" t="str">
        <f>IFERROR(IF(Calc!E484&lt;=$C$4,CONCATENATE(TEXT(Calc!C484,"#0.000#")," || ",TEXT(INDEX(Calc!L484:P484,$B$4),"#0.000#")),""),"")</f>
        <v/>
      </c>
      <c r="C484" s="41" t="str">
        <f>IFERROR(IF(Calc!E484&lt;=$C$4,Calc!E484,""),"")</f>
        <v/>
      </c>
      <c r="D484" s="33" t="str">
        <f>IFERROR(IF(Calc!E484&lt;=$D$4,"Nice",""),"")</f>
        <v/>
      </c>
      <c r="E484" s="40" t="str">
        <f>IFERROR(IF(Calc!J484&lt;=$C$4,Calc!I484,""),"")</f>
        <v/>
      </c>
      <c r="F484" s="40" t="str">
        <f>IFERROR(IF(Calc!J484&lt;=$C$4,CONCATENATE(TEXT(Calc!H484,"#0.000#")," + ",TEXT(INDEX(Calc!L484:P484,$B$4),"#0.000#")),""),"")</f>
        <v/>
      </c>
      <c r="G484" s="41" t="str">
        <f>IFERROR(IF(Calc!J484&lt;=$C$4,Calc!J484,""),"")</f>
        <v/>
      </c>
      <c r="H484" s="33" t="str">
        <f>IFERROR(IF(Calc!J484&lt;=$D$4,"Nice",""),"")</f>
        <v/>
      </c>
      <c r="J484" s="7" t="str">
        <f>CONCATENATE("[",TEXT(Show!A484,"#.0#"),":",TEXT(Show!B484,"#.0#"),"][",TEXT(Show!E484,"#.0#"),":",TEXT(Show!F484,"#.0#"),"]")</f>
        <v>[:][:]</v>
      </c>
    </row>
    <row r="485" spans="1:10" hidden="1" x14ac:dyDescent="0.25">
      <c r="A485" s="40" t="str">
        <f>IFERROR(IF(Calc!E485&lt;=$C$4,Calc!D485,""),"")</f>
        <v/>
      </c>
      <c r="B485" s="40" t="str">
        <f>IFERROR(IF(Calc!E485&lt;=$C$4,CONCATENATE(TEXT(Calc!C485,"#0.000#")," || ",TEXT(INDEX(Calc!L485:P485,$B$4),"#0.000#")),""),"")</f>
        <v/>
      </c>
      <c r="C485" s="41" t="str">
        <f>IFERROR(IF(Calc!E485&lt;=$C$4,Calc!E485,""),"")</f>
        <v/>
      </c>
      <c r="D485" s="33" t="str">
        <f>IFERROR(IF(Calc!E485&lt;=$D$4,"Nice",""),"")</f>
        <v/>
      </c>
      <c r="E485" s="40" t="str">
        <f>IFERROR(IF(Calc!J485&lt;=$C$4,Calc!I485,""),"")</f>
        <v/>
      </c>
      <c r="F485" s="40" t="str">
        <f>IFERROR(IF(Calc!J485&lt;=$C$4,CONCATENATE(TEXT(Calc!H485,"#0.000#")," + ",TEXT(INDEX(Calc!L485:P485,$B$4),"#0.000#")),""),"")</f>
        <v/>
      </c>
      <c r="G485" s="41" t="str">
        <f>IFERROR(IF(Calc!J485&lt;=$C$4,Calc!J485,""),"")</f>
        <v/>
      </c>
      <c r="H485" s="33" t="str">
        <f>IFERROR(IF(Calc!J485&lt;=$D$4,"Nice",""),"")</f>
        <v/>
      </c>
      <c r="J485" s="7" t="str">
        <f>CONCATENATE("[",TEXT(Show!A485,"#.0#"),":",TEXT(Show!B485,"#.0#"),"][",TEXT(Show!E485,"#.0#"),":",TEXT(Show!F485,"#.0#"),"]")</f>
        <v>[:][:]</v>
      </c>
    </row>
    <row r="486" spans="1:10" hidden="1" x14ac:dyDescent="0.25">
      <c r="A486" s="40" t="str">
        <f>IFERROR(IF(Calc!E486&lt;=$C$4,Calc!D486,""),"")</f>
        <v/>
      </c>
      <c r="B486" s="40" t="str">
        <f>IFERROR(IF(Calc!E486&lt;=$C$4,CONCATENATE(TEXT(Calc!C486,"#0.000#")," || ",TEXT(INDEX(Calc!L486:P486,$B$4),"#0.000#")),""),"")</f>
        <v/>
      </c>
      <c r="C486" s="41" t="str">
        <f>IFERROR(IF(Calc!E486&lt;=$C$4,Calc!E486,""),"")</f>
        <v/>
      </c>
      <c r="D486" s="33" t="str">
        <f>IFERROR(IF(Calc!E486&lt;=$D$4,"Nice",""),"")</f>
        <v/>
      </c>
      <c r="E486" s="40" t="str">
        <f>IFERROR(IF(Calc!J486&lt;=$C$4,Calc!I486,""),"")</f>
        <v/>
      </c>
      <c r="F486" s="40" t="str">
        <f>IFERROR(IF(Calc!J486&lt;=$C$4,CONCATENATE(TEXT(Calc!H486,"#0.000#")," + ",TEXT(INDEX(Calc!L486:P486,$B$4),"#0.000#")),""),"")</f>
        <v/>
      </c>
      <c r="G486" s="41" t="str">
        <f>IFERROR(IF(Calc!J486&lt;=$C$4,Calc!J486,""),"")</f>
        <v/>
      </c>
      <c r="H486" s="33" t="str">
        <f>IFERROR(IF(Calc!J486&lt;=$D$4,"Nice",""),"")</f>
        <v/>
      </c>
      <c r="J486" s="7" t="str">
        <f>CONCATENATE("[",TEXT(Show!A486,"#.0#"),":",TEXT(Show!B486,"#.0#"),"][",TEXT(Show!E486,"#.0#"),":",TEXT(Show!F486,"#.0#"),"]")</f>
        <v>[:][:]</v>
      </c>
    </row>
    <row r="487" spans="1:10" hidden="1" x14ac:dyDescent="0.25">
      <c r="A487" s="40" t="str">
        <f>IFERROR(IF(Calc!E487&lt;=$C$4,Calc!D487,""),"")</f>
        <v/>
      </c>
      <c r="B487" s="40" t="str">
        <f>IFERROR(IF(Calc!E487&lt;=$C$4,CONCATENATE(TEXT(Calc!C487,"#0.000#")," || ",TEXT(INDEX(Calc!L487:P487,$B$4),"#0.000#")),""),"")</f>
        <v/>
      </c>
      <c r="C487" s="41" t="str">
        <f>IFERROR(IF(Calc!E487&lt;=$C$4,Calc!E487,""),"")</f>
        <v/>
      </c>
      <c r="D487" s="33" t="str">
        <f>IFERROR(IF(Calc!E487&lt;=$D$4,"Nice",""),"")</f>
        <v/>
      </c>
      <c r="E487" s="40" t="str">
        <f>IFERROR(IF(Calc!J487&lt;=$C$4,Calc!I487,""),"")</f>
        <v/>
      </c>
      <c r="F487" s="40" t="str">
        <f>IFERROR(IF(Calc!J487&lt;=$C$4,CONCATENATE(TEXT(Calc!H487,"#0.000#")," + ",TEXT(INDEX(Calc!L487:P487,$B$4),"#0.000#")),""),"")</f>
        <v/>
      </c>
      <c r="G487" s="41" t="str">
        <f>IFERROR(IF(Calc!J487&lt;=$C$4,Calc!J487,""),"")</f>
        <v/>
      </c>
      <c r="H487" s="33" t="str">
        <f>IFERROR(IF(Calc!J487&lt;=$D$4,"Nice",""),"")</f>
        <v/>
      </c>
      <c r="J487" s="7" t="str">
        <f>CONCATENATE("[",TEXT(Show!A487,"#.0#"),":",TEXT(Show!B487,"#.0#"),"][",TEXT(Show!E487,"#.0#"),":",TEXT(Show!F487,"#.0#"),"]")</f>
        <v>[:][:]</v>
      </c>
    </row>
    <row r="488" spans="1:10" hidden="1" x14ac:dyDescent="0.25">
      <c r="A488" s="40" t="str">
        <f>IFERROR(IF(Calc!E488&lt;=$C$4,Calc!D488,""),"")</f>
        <v/>
      </c>
      <c r="B488" s="40" t="str">
        <f>IFERROR(IF(Calc!E488&lt;=$C$4,CONCATENATE(TEXT(Calc!C488,"#0.000#")," || ",TEXT(INDEX(Calc!L488:P488,$B$4),"#0.000#")),""),"")</f>
        <v/>
      </c>
      <c r="C488" s="41" t="str">
        <f>IFERROR(IF(Calc!E488&lt;=$C$4,Calc!E488,""),"")</f>
        <v/>
      </c>
      <c r="D488" s="33" t="str">
        <f>IFERROR(IF(Calc!E488&lt;=$D$4,"Nice",""),"")</f>
        <v/>
      </c>
      <c r="E488" s="40" t="str">
        <f>IFERROR(IF(Calc!J488&lt;=$C$4,Calc!I488,""),"")</f>
        <v/>
      </c>
      <c r="F488" s="40" t="str">
        <f>IFERROR(IF(Calc!J488&lt;=$C$4,CONCATENATE(TEXT(Calc!H488,"#0.000#")," + ",TEXT(INDEX(Calc!L488:P488,$B$4),"#0.000#")),""),"")</f>
        <v/>
      </c>
      <c r="G488" s="41" t="str">
        <f>IFERROR(IF(Calc!J488&lt;=$C$4,Calc!J488,""),"")</f>
        <v/>
      </c>
      <c r="H488" s="33" t="str">
        <f>IFERROR(IF(Calc!J488&lt;=$D$4,"Nice",""),"")</f>
        <v/>
      </c>
      <c r="J488" s="7" t="str">
        <f>CONCATENATE("[",TEXT(Show!A488,"#.0#"),":",TEXT(Show!B488,"#.0#"),"][",TEXT(Show!E488,"#.0#"),":",TEXT(Show!F488,"#.0#"),"]")</f>
        <v>[:][:]</v>
      </c>
    </row>
    <row r="489" spans="1:10" hidden="1" x14ac:dyDescent="0.25">
      <c r="A489" s="40" t="str">
        <f>IFERROR(IF(Calc!E489&lt;=$C$4,Calc!D489,""),"")</f>
        <v/>
      </c>
      <c r="B489" s="40" t="str">
        <f>IFERROR(IF(Calc!E489&lt;=$C$4,CONCATENATE(TEXT(Calc!C489,"#0.000#")," || ",TEXT(INDEX(Calc!L489:P489,$B$4),"#0.000#")),""),"")</f>
        <v/>
      </c>
      <c r="C489" s="41" t="str">
        <f>IFERROR(IF(Calc!E489&lt;=$C$4,Calc!E489,""),"")</f>
        <v/>
      </c>
      <c r="D489" s="33" t="str">
        <f>IFERROR(IF(Calc!E489&lt;=$D$4,"Nice",""),"")</f>
        <v/>
      </c>
      <c r="E489" s="40" t="str">
        <f>IFERROR(IF(Calc!J489&lt;=$C$4,Calc!I489,""),"")</f>
        <v/>
      </c>
      <c r="F489" s="40" t="str">
        <f>IFERROR(IF(Calc!J489&lt;=$C$4,CONCATENATE(TEXT(Calc!H489,"#0.000#")," + ",TEXT(INDEX(Calc!L489:P489,$B$4),"#0.000#")),""),"")</f>
        <v/>
      </c>
      <c r="G489" s="41" t="str">
        <f>IFERROR(IF(Calc!J489&lt;=$C$4,Calc!J489,""),"")</f>
        <v/>
      </c>
      <c r="H489" s="33" t="str">
        <f>IFERROR(IF(Calc!J489&lt;=$D$4,"Nice",""),"")</f>
        <v/>
      </c>
      <c r="J489" s="7" t="str">
        <f>CONCATENATE("[",TEXT(Show!A489,"#.0#"),":",TEXT(Show!B489,"#.0#"),"][",TEXT(Show!E489,"#.0#"),":",TEXT(Show!F489,"#.0#"),"]")</f>
        <v>[:][:]</v>
      </c>
    </row>
    <row r="490" spans="1:10" hidden="1" x14ac:dyDescent="0.25">
      <c r="A490" s="40" t="str">
        <f>IFERROR(IF(Calc!E490&lt;=$C$4,Calc!D490,""),"")</f>
        <v/>
      </c>
      <c r="B490" s="40" t="str">
        <f>IFERROR(IF(Calc!E490&lt;=$C$4,CONCATENATE(TEXT(Calc!C490,"#0.000#")," || ",TEXT(INDEX(Calc!L490:P490,$B$4),"#0.000#")),""),"")</f>
        <v/>
      </c>
      <c r="C490" s="41" t="str">
        <f>IFERROR(IF(Calc!E490&lt;=$C$4,Calc!E490,""),"")</f>
        <v/>
      </c>
      <c r="D490" s="33" t="str">
        <f>IFERROR(IF(Calc!E490&lt;=$D$4,"Nice",""),"")</f>
        <v/>
      </c>
      <c r="E490" s="40" t="str">
        <f>IFERROR(IF(Calc!J490&lt;=$C$4,Calc!I490,""),"")</f>
        <v/>
      </c>
      <c r="F490" s="40" t="str">
        <f>IFERROR(IF(Calc!J490&lt;=$C$4,CONCATENATE(TEXT(Calc!H490,"#0.000#")," + ",TEXT(INDEX(Calc!L490:P490,$B$4),"#0.000#")),""),"")</f>
        <v/>
      </c>
      <c r="G490" s="41" t="str">
        <f>IFERROR(IF(Calc!J490&lt;=$C$4,Calc!J490,""),"")</f>
        <v/>
      </c>
      <c r="H490" s="33" t="str">
        <f>IFERROR(IF(Calc!J490&lt;=$D$4,"Nice",""),"")</f>
        <v/>
      </c>
      <c r="J490" s="7" t="str">
        <f>CONCATENATE("[",TEXT(Show!A490,"#.0#"),":",TEXT(Show!B490,"#.0#"),"][",TEXT(Show!E490,"#.0#"),":",TEXT(Show!F490,"#.0#"),"]")</f>
        <v>[:][:]</v>
      </c>
    </row>
    <row r="491" spans="1:10" hidden="1" x14ac:dyDescent="0.25">
      <c r="A491" s="40" t="str">
        <f>IFERROR(IF(Calc!E491&lt;=$C$4,Calc!D491,""),"")</f>
        <v/>
      </c>
      <c r="B491" s="40" t="str">
        <f>IFERROR(IF(Calc!E491&lt;=$C$4,CONCATENATE(TEXT(Calc!C491,"#0.000#")," || ",TEXT(INDEX(Calc!L491:P491,$B$4),"#0.000#")),""),"")</f>
        <v/>
      </c>
      <c r="C491" s="41" t="str">
        <f>IFERROR(IF(Calc!E491&lt;=$C$4,Calc!E491,""),"")</f>
        <v/>
      </c>
      <c r="D491" s="33" t="str">
        <f>IFERROR(IF(Calc!E491&lt;=$D$4,"Nice",""),"")</f>
        <v/>
      </c>
      <c r="E491" s="40" t="str">
        <f>IFERROR(IF(Calc!J491&lt;=$C$4,Calc!I491,""),"")</f>
        <v/>
      </c>
      <c r="F491" s="40" t="str">
        <f>IFERROR(IF(Calc!J491&lt;=$C$4,CONCATENATE(TEXT(Calc!H491,"#0.000#")," + ",TEXT(INDEX(Calc!L491:P491,$B$4),"#0.000#")),""),"")</f>
        <v/>
      </c>
      <c r="G491" s="41" t="str">
        <f>IFERROR(IF(Calc!J491&lt;=$C$4,Calc!J491,""),"")</f>
        <v/>
      </c>
      <c r="H491" s="33" t="str">
        <f>IFERROR(IF(Calc!J491&lt;=$D$4,"Nice",""),"")</f>
        <v/>
      </c>
      <c r="J491" s="7" t="str">
        <f>CONCATENATE("[",TEXT(Show!A491,"#.0#"),":",TEXT(Show!B491,"#.0#"),"][",TEXT(Show!E491,"#.0#"),":",TEXT(Show!F491,"#.0#"),"]")</f>
        <v>[:][:]</v>
      </c>
    </row>
    <row r="492" spans="1:10" hidden="1" x14ac:dyDescent="0.25">
      <c r="A492" s="40" t="str">
        <f>IFERROR(IF(Calc!E492&lt;=$C$4,Calc!D492,""),"")</f>
        <v/>
      </c>
      <c r="B492" s="40" t="str">
        <f>IFERROR(IF(Calc!E492&lt;=$C$4,CONCATENATE(TEXT(Calc!C492,"#0.000#")," || ",TEXT(INDEX(Calc!L492:P492,$B$4),"#0.000#")),""),"")</f>
        <v/>
      </c>
      <c r="C492" s="41" t="str">
        <f>IFERROR(IF(Calc!E492&lt;=$C$4,Calc!E492,""),"")</f>
        <v/>
      </c>
      <c r="D492" s="33" t="str">
        <f>IFERROR(IF(Calc!E492&lt;=$D$4,"Nice",""),"")</f>
        <v/>
      </c>
      <c r="E492" s="40" t="str">
        <f>IFERROR(IF(Calc!J492&lt;=$C$4,Calc!I492,""),"")</f>
        <v/>
      </c>
      <c r="F492" s="40" t="str">
        <f>IFERROR(IF(Calc!J492&lt;=$C$4,CONCATENATE(TEXT(Calc!H492,"#0.000#")," + ",TEXT(INDEX(Calc!L492:P492,$B$4),"#0.000#")),""),"")</f>
        <v/>
      </c>
      <c r="G492" s="41" t="str">
        <f>IFERROR(IF(Calc!J492&lt;=$C$4,Calc!J492,""),"")</f>
        <v/>
      </c>
      <c r="H492" s="33" t="str">
        <f>IFERROR(IF(Calc!J492&lt;=$D$4,"Nice",""),"")</f>
        <v/>
      </c>
      <c r="J492" s="7" t="str">
        <f>CONCATENATE("[",TEXT(Show!A492,"#.0#"),":",TEXT(Show!B492,"#.0#"),"][",TEXT(Show!E492,"#.0#"),":",TEXT(Show!F492,"#.0#"),"]")</f>
        <v>[:][:]</v>
      </c>
    </row>
    <row r="493" spans="1:10" hidden="1" x14ac:dyDescent="0.25">
      <c r="A493" s="40" t="str">
        <f>IFERROR(IF(Calc!E493&lt;=$C$4,Calc!D493,""),"")</f>
        <v/>
      </c>
      <c r="B493" s="40" t="str">
        <f>IFERROR(IF(Calc!E493&lt;=$C$4,CONCATENATE(TEXT(Calc!C493,"#0.000#")," || ",TEXT(INDEX(Calc!L493:P493,$B$4),"#0.000#")),""),"")</f>
        <v/>
      </c>
      <c r="C493" s="41" t="str">
        <f>IFERROR(IF(Calc!E493&lt;=$C$4,Calc!E493,""),"")</f>
        <v/>
      </c>
      <c r="D493" s="33" t="str">
        <f>IFERROR(IF(Calc!E493&lt;=$D$4,"Nice",""),"")</f>
        <v/>
      </c>
      <c r="E493" s="40" t="str">
        <f>IFERROR(IF(Calc!J493&lt;=$C$4,Calc!I493,""),"")</f>
        <v/>
      </c>
      <c r="F493" s="40" t="str">
        <f>IFERROR(IF(Calc!J493&lt;=$C$4,CONCATENATE(TEXT(Calc!H493,"#0.000#")," + ",TEXT(INDEX(Calc!L493:P493,$B$4),"#0.000#")),""),"")</f>
        <v/>
      </c>
      <c r="G493" s="41" t="str">
        <f>IFERROR(IF(Calc!J493&lt;=$C$4,Calc!J493,""),"")</f>
        <v/>
      </c>
      <c r="H493" s="33" t="str">
        <f>IFERROR(IF(Calc!J493&lt;=$D$4,"Nice",""),"")</f>
        <v/>
      </c>
      <c r="J493" s="7" t="str">
        <f>CONCATENATE("[",TEXT(Show!A493,"#.0#"),":",TEXT(Show!B493,"#.0#"),"][",TEXT(Show!E493,"#.0#"),":",TEXT(Show!F493,"#.0#"),"]")</f>
        <v>[:][:]</v>
      </c>
    </row>
    <row r="494" spans="1:10" hidden="1" x14ac:dyDescent="0.25">
      <c r="A494" s="40" t="str">
        <f>IFERROR(IF(Calc!E494&lt;=$C$4,Calc!D494,""),"")</f>
        <v/>
      </c>
      <c r="B494" s="40" t="str">
        <f>IFERROR(IF(Calc!E494&lt;=$C$4,CONCATENATE(TEXT(Calc!C494,"#0.000#")," || ",TEXT(INDEX(Calc!L494:P494,$B$4),"#0.000#")),""),"")</f>
        <v/>
      </c>
      <c r="C494" s="41" t="str">
        <f>IFERROR(IF(Calc!E494&lt;=$C$4,Calc!E494,""),"")</f>
        <v/>
      </c>
      <c r="D494" s="33" t="str">
        <f>IFERROR(IF(Calc!E494&lt;=$D$4,"Nice",""),"")</f>
        <v/>
      </c>
      <c r="E494" s="40" t="str">
        <f>IFERROR(IF(Calc!J494&lt;=$C$4,Calc!I494,""),"")</f>
        <v/>
      </c>
      <c r="F494" s="40" t="str">
        <f>IFERROR(IF(Calc!J494&lt;=$C$4,CONCATENATE(TEXT(Calc!H494,"#0.000#")," + ",TEXT(INDEX(Calc!L494:P494,$B$4),"#0.000#")),""),"")</f>
        <v/>
      </c>
      <c r="G494" s="41" t="str">
        <f>IFERROR(IF(Calc!J494&lt;=$C$4,Calc!J494,""),"")</f>
        <v/>
      </c>
      <c r="H494" s="33" t="str">
        <f>IFERROR(IF(Calc!J494&lt;=$D$4,"Nice",""),"")</f>
        <v/>
      </c>
      <c r="J494" s="7" t="str">
        <f>CONCATENATE("[",TEXT(Show!A494,"#.0#"),":",TEXT(Show!B494,"#.0#"),"][",TEXT(Show!E494,"#.0#"),":",TEXT(Show!F494,"#.0#"),"]")</f>
        <v>[:][:]</v>
      </c>
    </row>
    <row r="495" spans="1:10" hidden="1" x14ac:dyDescent="0.25">
      <c r="A495" s="40" t="str">
        <f>IFERROR(IF(Calc!E495&lt;=$C$4,Calc!D495,""),"")</f>
        <v/>
      </c>
      <c r="B495" s="40" t="str">
        <f>IFERROR(IF(Calc!E495&lt;=$C$4,CONCATENATE(TEXT(Calc!C495,"#0.000#")," || ",TEXT(INDEX(Calc!L495:P495,$B$4),"#0.000#")),""),"")</f>
        <v/>
      </c>
      <c r="C495" s="41" t="str">
        <f>IFERROR(IF(Calc!E495&lt;=$C$4,Calc!E495,""),"")</f>
        <v/>
      </c>
      <c r="D495" s="33" t="str">
        <f>IFERROR(IF(Calc!E495&lt;=$D$4,"Nice",""),"")</f>
        <v/>
      </c>
      <c r="E495" s="40" t="str">
        <f>IFERROR(IF(Calc!J495&lt;=$C$4,Calc!I495,""),"")</f>
        <v/>
      </c>
      <c r="F495" s="40" t="str">
        <f>IFERROR(IF(Calc!J495&lt;=$C$4,CONCATENATE(TEXT(Calc!H495,"#0.000#")," + ",TEXT(INDEX(Calc!L495:P495,$B$4),"#0.000#")),""),"")</f>
        <v/>
      </c>
      <c r="G495" s="41" t="str">
        <f>IFERROR(IF(Calc!J495&lt;=$C$4,Calc!J495,""),"")</f>
        <v/>
      </c>
      <c r="H495" s="33" t="str">
        <f>IFERROR(IF(Calc!J495&lt;=$D$4,"Nice",""),"")</f>
        <v/>
      </c>
      <c r="J495" s="7" t="str">
        <f>CONCATENATE("[",TEXT(Show!A495,"#.0#"),":",TEXT(Show!B495,"#.0#"),"][",TEXT(Show!E495,"#.0#"),":",TEXT(Show!F495,"#.0#"),"]")</f>
        <v>[:][:]</v>
      </c>
    </row>
    <row r="496" spans="1:10" hidden="1" x14ac:dyDescent="0.25">
      <c r="A496" s="40" t="str">
        <f>IFERROR(IF(Calc!E496&lt;=$C$4,Calc!D496,""),"")</f>
        <v/>
      </c>
      <c r="B496" s="40" t="str">
        <f>IFERROR(IF(Calc!E496&lt;=$C$4,CONCATENATE(TEXT(Calc!C496,"#0.000#")," || ",TEXT(INDEX(Calc!L496:P496,$B$4),"#0.000#")),""),"")</f>
        <v/>
      </c>
      <c r="C496" s="41" t="str">
        <f>IFERROR(IF(Calc!E496&lt;=$C$4,Calc!E496,""),"")</f>
        <v/>
      </c>
      <c r="D496" s="33" t="str">
        <f>IFERROR(IF(Calc!E496&lt;=$D$4,"Nice",""),"")</f>
        <v/>
      </c>
      <c r="E496" s="40" t="str">
        <f>IFERROR(IF(Calc!J496&lt;=$C$4,Calc!I496,""),"")</f>
        <v/>
      </c>
      <c r="F496" s="40" t="str">
        <f>IFERROR(IF(Calc!J496&lt;=$C$4,CONCATENATE(TEXT(Calc!H496,"#0.000#")," + ",TEXT(INDEX(Calc!L496:P496,$B$4),"#0.000#")),""),"")</f>
        <v/>
      </c>
      <c r="G496" s="41" t="str">
        <f>IFERROR(IF(Calc!J496&lt;=$C$4,Calc!J496,""),"")</f>
        <v/>
      </c>
      <c r="H496" s="33" t="str">
        <f>IFERROR(IF(Calc!J496&lt;=$D$4,"Nice",""),"")</f>
        <v/>
      </c>
      <c r="J496" s="7" t="str">
        <f>CONCATENATE("[",TEXT(Show!A496,"#.0#"),":",TEXT(Show!B496,"#.0#"),"][",TEXT(Show!E496,"#.0#"),":",TEXT(Show!F496,"#.0#"),"]")</f>
        <v>[:][:]</v>
      </c>
    </row>
    <row r="497" spans="1:10" hidden="1" x14ac:dyDescent="0.25">
      <c r="A497" s="40" t="str">
        <f>IFERROR(IF(Calc!E497&lt;=$C$4,Calc!D497,""),"")</f>
        <v/>
      </c>
      <c r="B497" s="40" t="str">
        <f>IFERROR(IF(Calc!E497&lt;=$C$4,CONCATENATE(TEXT(Calc!C497,"#0.000#")," || ",TEXT(INDEX(Calc!L497:P497,$B$4),"#0.000#")),""),"")</f>
        <v/>
      </c>
      <c r="C497" s="41" t="str">
        <f>IFERROR(IF(Calc!E497&lt;=$C$4,Calc!E497,""),"")</f>
        <v/>
      </c>
      <c r="D497" s="33" t="str">
        <f>IFERROR(IF(Calc!E497&lt;=$D$4,"Nice",""),"")</f>
        <v/>
      </c>
      <c r="E497" s="40" t="str">
        <f>IFERROR(IF(Calc!J497&lt;=$C$4,Calc!I497,""),"")</f>
        <v/>
      </c>
      <c r="F497" s="40" t="str">
        <f>IFERROR(IF(Calc!J497&lt;=$C$4,CONCATENATE(TEXT(Calc!H497,"#0.000#")," + ",TEXT(INDEX(Calc!L497:P497,$B$4),"#0.000#")),""),"")</f>
        <v/>
      </c>
      <c r="G497" s="41" t="str">
        <f>IFERROR(IF(Calc!J497&lt;=$C$4,Calc!J497,""),"")</f>
        <v/>
      </c>
      <c r="H497" s="33" t="str">
        <f>IFERROR(IF(Calc!J497&lt;=$D$4,"Nice",""),"")</f>
        <v/>
      </c>
      <c r="J497" s="7" t="str">
        <f>CONCATENATE("[",TEXT(Show!A497,"#.0#"),":",TEXT(Show!B497,"#.0#"),"][",TEXT(Show!E497,"#.0#"),":",TEXT(Show!F497,"#.0#"),"]")</f>
        <v>[:][:]</v>
      </c>
    </row>
    <row r="498" spans="1:10" hidden="1" x14ac:dyDescent="0.25">
      <c r="A498" s="40" t="str">
        <f>IFERROR(IF(Calc!E498&lt;=$C$4,Calc!D498,""),"")</f>
        <v/>
      </c>
      <c r="B498" s="40" t="str">
        <f>IFERROR(IF(Calc!E498&lt;=$C$4,CONCATENATE(TEXT(Calc!C498,"#0.000#")," || ",TEXT(INDEX(Calc!L498:P498,$B$4),"#0.000#")),""),"")</f>
        <v/>
      </c>
      <c r="C498" s="41" t="str">
        <f>IFERROR(IF(Calc!E498&lt;=$C$4,Calc!E498,""),"")</f>
        <v/>
      </c>
      <c r="D498" s="33" t="str">
        <f>IFERROR(IF(Calc!E498&lt;=$D$4,"Nice",""),"")</f>
        <v/>
      </c>
      <c r="E498" s="40" t="str">
        <f>IFERROR(IF(Calc!J498&lt;=$C$4,Calc!I498,""),"")</f>
        <v/>
      </c>
      <c r="F498" s="40" t="str">
        <f>IFERROR(IF(Calc!J498&lt;=$C$4,CONCATENATE(TEXT(Calc!H498,"#0.000#")," + ",TEXT(INDEX(Calc!L498:P498,$B$4),"#0.000#")),""),"")</f>
        <v/>
      </c>
      <c r="G498" s="41" t="str">
        <f>IFERROR(IF(Calc!J498&lt;=$C$4,Calc!J498,""),"")</f>
        <v/>
      </c>
      <c r="H498" s="33" t="str">
        <f>IFERROR(IF(Calc!J498&lt;=$D$4,"Nice",""),"")</f>
        <v/>
      </c>
      <c r="J498" s="7" t="str">
        <f>CONCATENATE("[",TEXT(Show!A498,"#.0#"),":",TEXT(Show!B498,"#.0#"),"][",TEXT(Show!E498,"#.0#"),":",TEXT(Show!F498,"#.0#"),"]")</f>
        <v>[:][:]</v>
      </c>
    </row>
    <row r="499" spans="1:10" hidden="1" x14ac:dyDescent="0.25">
      <c r="A499" s="40" t="str">
        <f>IFERROR(IF(Calc!E499&lt;=$C$4,Calc!D499,""),"")</f>
        <v/>
      </c>
      <c r="B499" s="40" t="str">
        <f>IFERROR(IF(Calc!E499&lt;=$C$4,CONCATENATE(TEXT(Calc!C499,"#0.000#")," || ",TEXT(INDEX(Calc!L499:P499,$B$4),"#0.000#")),""),"")</f>
        <v/>
      </c>
      <c r="C499" s="41" t="str">
        <f>IFERROR(IF(Calc!E499&lt;=$C$4,Calc!E499,""),"")</f>
        <v/>
      </c>
      <c r="D499" s="33" t="str">
        <f>IFERROR(IF(Calc!E499&lt;=$D$4,"Nice",""),"")</f>
        <v/>
      </c>
      <c r="E499" s="40" t="str">
        <f>IFERROR(IF(Calc!J499&lt;=$C$4,Calc!I499,""),"")</f>
        <v/>
      </c>
      <c r="F499" s="40" t="str">
        <f>IFERROR(IF(Calc!J499&lt;=$C$4,CONCATENATE(TEXT(Calc!H499,"#0.000#")," + ",TEXT(INDEX(Calc!L499:P499,$B$4),"#0.000#")),""),"")</f>
        <v/>
      </c>
      <c r="G499" s="41" t="str">
        <f>IFERROR(IF(Calc!J499&lt;=$C$4,Calc!J499,""),"")</f>
        <v/>
      </c>
      <c r="H499" s="33" t="str">
        <f>IFERROR(IF(Calc!J499&lt;=$D$4,"Nice",""),"")</f>
        <v/>
      </c>
      <c r="J499" s="7" t="str">
        <f>CONCATENATE("[",TEXT(Show!A499,"#.0#"),":",TEXT(Show!B499,"#.0#"),"][",TEXT(Show!E499,"#.0#"),":",TEXT(Show!F499,"#.0#"),"]")</f>
        <v>[:][:]</v>
      </c>
    </row>
    <row r="500" spans="1:10" hidden="1" x14ac:dyDescent="0.25">
      <c r="A500" s="40" t="str">
        <f>IFERROR(IF(Calc!E500&lt;=$C$4,Calc!D500,""),"")</f>
        <v/>
      </c>
      <c r="B500" s="40" t="str">
        <f>IFERROR(IF(Calc!E500&lt;=$C$4,CONCATENATE(TEXT(Calc!C500,"#0.000#")," || ",TEXT(INDEX(Calc!L500:P500,$B$4),"#0.000#")),""),"")</f>
        <v/>
      </c>
      <c r="C500" s="41" t="str">
        <f>IFERROR(IF(Calc!E500&lt;=$C$4,Calc!E500,""),"")</f>
        <v/>
      </c>
      <c r="D500" s="33" t="str">
        <f>IFERROR(IF(Calc!E500&lt;=$D$4,"Nice",""),"")</f>
        <v/>
      </c>
      <c r="E500" s="40" t="str">
        <f>IFERROR(IF(Calc!J500&lt;=$C$4,Calc!I500,""),"")</f>
        <v/>
      </c>
      <c r="F500" s="40" t="str">
        <f>IFERROR(IF(Calc!J500&lt;=$C$4,CONCATENATE(TEXT(Calc!H500,"#0.000#")," + ",TEXT(INDEX(Calc!L500:P500,$B$4),"#0.000#")),""),"")</f>
        <v/>
      </c>
      <c r="G500" s="41" t="str">
        <f>IFERROR(IF(Calc!J500&lt;=$C$4,Calc!J500,""),"")</f>
        <v/>
      </c>
      <c r="H500" s="33" t="str">
        <f>IFERROR(IF(Calc!J500&lt;=$D$4,"Nice",""),"")</f>
        <v/>
      </c>
      <c r="J500" s="7" t="str">
        <f>CONCATENATE("[",TEXT(Show!A500,"#.0#"),":",TEXT(Show!B500,"#.0#"),"][",TEXT(Show!E500,"#.0#"),":",TEXT(Show!F500,"#.0#"),"]")</f>
        <v>[:][:]</v>
      </c>
    </row>
    <row r="501" spans="1:10" hidden="1" x14ac:dyDescent="0.25">
      <c r="A501" s="40" t="str">
        <f>IFERROR(IF(Calc!E501&lt;=$C$4,Calc!D501,""),"")</f>
        <v/>
      </c>
      <c r="B501" s="40" t="str">
        <f>IFERROR(IF(Calc!E501&lt;=$C$4,CONCATENATE(TEXT(Calc!C501,"#0.000#")," || ",TEXT(INDEX(Calc!L501:P501,$B$4),"#0.000#")),""),"")</f>
        <v/>
      </c>
      <c r="C501" s="41" t="str">
        <f>IFERROR(IF(Calc!E501&lt;=$C$4,Calc!E501,""),"")</f>
        <v/>
      </c>
      <c r="D501" s="33" t="str">
        <f>IFERROR(IF(Calc!E501&lt;=$D$4,"Nice",""),"")</f>
        <v/>
      </c>
      <c r="E501" s="40" t="str">
        <f>IFERROR(IF(Calc!J501&lt;=$C$4,Calc!I501,""),"")</f>
        <v/>
      </c>
      <c r="F501" s="40" t="str">
        <f>IFERROR(IF(Calc!J501&lt;=$C$4,CONCATENATE(TEXT(Calc!H501,"#0.000#")," + ",TEXT(INDEX(Calc!L501:P501,$B$4),"#0.000#")),""),"")</f>
        <v/>
      </c>
      <c r="G501" s="41" t="str">
        <f>IFERROR(IF(Calc!J501&lt;=$C$4,Calc!J501,""),"")</f>
        <v/>
      </c>
      <c r="H501" s="33" t="str">
        <f>IFERROR(IF(Calc!J501&lt;=$D$4,"Nice",""),"")</f>
        <v/>
      </c>
      <c r="J501" s="7" t="str">
        <f>CONCATENATE("[",TEXT(Show!A501,"#.0#"),":",TEXT(Show!B501,"#.0#"),"][",TEXT(Show!E501,"#.0#"),":",TEXT(Show!F501,"#.0#"),"]")</f>
        <v>[:][:]</v>
      </c>
    </row>
    <row r="502" spans="1:10" hidden="1" x14ac:dyDescent="0.25">
      <c r="A502" s="40" t="str">
        <f>IFERROR(IF(Calc!E502&lt;=$C$4,Calc!D502,""),"")</f>
        <v/>
      </c>
      <c r="B502" s="40" t="str">
        <f>IFERROR(IF(Calc!E502&lt;=$C$4,CONCATENATE(TEXT(Calc!C502,"#0.000#")," || ",TEXT(INDEX(Calc!L502:P502,$B$4),"#0.000#")),""),"")</f>
        <v/>
      </c>
      <c r="C502" s="41" t="str">
        <f>IFERROR(IF(Calc!E502&lt;=$C$4,Calc!E502,""),"")</f>
        <v/>
      </c>
      <c r="D502" s="33" t="str">
        <f>IFERROR(IF(Calc!E502&lt;=$D$4,"Nice",""),"")</f>
        <v/>
      </c>
      <c r="E502" s="40" t="str">
        <f>IFERROR(IF(Calc!J502&lt;=$C$4,Calc!I502,""),"")</f>
        <v/>
      </c>
      <c r="F502" s="40" t="str">
        <f>IFERROR(IF(Calc!J502&lt;=$C$4,CONCATENATE(TEXT(Calc!H502,"#0.000#")," + ",TEXT(INDEX(Calc!L502:P502,$B$4),"#0.000#")),""),"")</f>
        <v/>
      </c>
      <c r="G502" s="41" t="str">
        <f>IFERROR(IF(Calc!J502&lt;=$C$4,Calc!J502,""),"")</f>
        <v/>
      </c>
      <c r="H502" s="33" t="str">
        <f>IFERROR(IF(Calc!J502&lt;=$D$4,"Nice",""),"")</f>
        <v/>
      </c>
      <c r="J502" s="7" t="str">
        <f>CONCATENATE("[",TEXT(Show!A502,"#.0#"),":",TEXT(Show!B502,"#.0#"),"][",TEXT(Show!E502,"#.0#"),":",TEXT(Show!F502,"#.0#"),"]")</f>
        <v>[:][:]</v>
      </c>
    </row>
    <row r="503" spans="1:10" hidden="1" x14ac:dyDescent="0.25">
      <c r="A503" s="40" t="str">
        <f>IFERROR(IF(Calc!E503&lt;=$C$4,Calc!D503,""),"")</f>
        <v/>
      </c>
      <c r="B503" s="40" t="str">
        <f>IFERROR(IF(Calc!E503&lt;=$C$4,CONCATENATE(TEXT(Calc!C503,"#0.000#")," || ",TEXT(INDEX(Calc!L503:P503,$B$4),"#0.000#")),""),"")</f>
        <v/>
      </c>
      <c r="C503" s="41" t="str">
        <f>IFERROR(IF(Calc!E503&lt;=$C$4,Calc!E503,""),"")</f>
        <v/>
      </c>
      <c r="D503" s="33" t="str">
        <f>IFERROR(IF(Calc!E503&lt;=$D$4,"Nice",""),"")</f>
        <v/>
      </c>
      <c r="E503" s="40" t="str">
        <f>IFERROR(IF(Calc!J503&lt;=$C$4,Calc!I503,""),"")</f>
        <v/>
      </c>
      <c r="F503" s="40" t="str">
        <f>IFERROR(IF(Calc!J503&lt;=$C$4,CONCATENATE(TEXT(Calc!H503,"#0.000#")," + ",TEXT(INDEX(Calc!L503:P503,$B$4),"#0.000#")),""),"")</f>
        <v/>
      </c>
      <c r="G503" s="41" t="str">
        <f>IFERROR(IF(Calc!J503&lt;=$C$4,Calc!J503,""),"")</f>
        <v/>
      </c>
      <c r="H503" s="33" t="str">
        <f>IFERROR(IF(Calc!J503&lt;=$D$4,"Nice",""),"")</f>
        <v/>
      </c>
      <c r="J503" s="7" t="str">
        <f>CONCATENATE("[",TEXT(Show!A503,"#.0#"),":",TEXT(Show!B503,"#.0#"),"][",TEXT(Show!E503,"#.0#"),":",TEXT(Show!F503,"#.0#"),"]")</f>
        <v>[:][:]</v>
      </c>
    </row>
    <row r="504" spans="1:10" hidden="1" x14ac:dyDescent="0.25">
      <c r="A504" s="40" t="str">
        <f>IFERROR(IF(Calc!E504&lt;=$C$4,Calc!D504,""),"")</f>
        <v/>
      </c>
      <c r="B504" s="40" t="str">
        <f>IFERROR(IF(Calc!E504&lt;=$C$4,CONCATENATE(TEXT(Calc!C504,"#0.000#")," || ",TEXT(INDEX(Calc!L504:P504,$B$4),"#0.000#")),""),"")</f>
        <v/>
      </c>
      <c r="C504" s="41" t="str">
        <f>IFERROR(IF(Calc!E504&lt;=$C$4,Calc!E504,""),"")</f>
        <v/>
      </c>
      <c r="D504" s="33" t="str">
        <f>IFERROR(IF(Calc!E504&lt;=$D$4,"Nice",""),"")</f>
        <v/>
      </c>
      <c r="E504" s="40" t="str">
        <f>IFERROR(IF(Calc!J504&lt;=$C$4,Calc!I504,""),"")</f>
        <v/>
      </c>
      <c r="F504" s="40" t="str">
        <f>IFERROR(IF(Calc!J504&lt;=$C$4,CONCATENATE(TEXT(Calc!H504,"#0.000#")," + ",TEXT(INDEX(Calc!L504:P504,$B$4),"#0.000#")),""),"")</f>
        <v/>
      </c>
      <c r="G504" s="41" t="str">
        <f>IFERROR(IF(Calc!J504&lt;=$C$4,Calc!J504,""),"")</f>
        <v/>
      </c>
      <c r="H504" s="33" t="str">
        <f>IFERROR(IF(Calc!J504&lt;=$D$4,"Nice",""),"")</f>
        <v/>
      </c>
      <c r="J504" s="7" t="str">
        <f>CONCATENATE("[",TEXT(Show!A504,"#.0#"),":",TEXT(Show!B504,"#.0#"),"][",TEXT(Show!E504,"#.0#"),":",TEXT(Show!F504,"#.0#"),"]")</f>
        <v>[:][:]</v>
      </c>
    </row>
    <row r="505" spans="1:10" hidden="1" x14ac:dyDescent="0.25">
      <c r="A505" s="40" t="str">
        <f>IFERROR(IF(Calc!E505&lt;=$C$4,Calc!D505,""),"")</f>
        <v/>
      </c>
      <c r="B505" s="40" t="str">
        <f>IFERROR(IF(Calc!E505&lt;=$C$4,CONCATENATE(TEXT(Calc!C505,"#0.000#")," || ",TEXT(INDEX(Calc!L505:P505,$B$4),"#0.000#")),""),"")</f>
        <v/>
      </c>
      <c r="C505" s="41" t="str">
        <f>IFERROR(IF(Calc!E505&lt;=$C$4,Calc!E505,""),"")</f>
        <v/>
      </c>
      <c r="D505" s="33" t="str">
        <f>IFERROR(IF(Calc!E505&lt;=$D$4,"Nice",""),"")</f>
        <v/>
      </c>
      <c r="E505" s="40" t="str">
        <f>IFERROR(IF(Calc!J505&lt;=$C$4,Calc!I505,""),"")</f>
        <v/>
      </c>
      <c r="F505" s="40" t="str">
        <f>IFERROR(IF(Calc!J505&lt;=$C$4,CONCATENATE(TEXT(Calc!H505,"#0.000#")," + ",TEXT(INDEX(Calc!L505:P505,$B$4),"#0.000#")),""),"")</f>
        <v/>
      </c>
      <c r="G505" s="41" t="str">
        <f>IFERROR(IF(Calc!J505&lt;=$C$4,Calc!J505,""),"")</f>
        <v/>
      </c>
      <c r="H505" s="33" t="str">
        <f>IFERROR(IF(Calc!J505&lt;=$D$4,"Nice",""),"")</f>
        <v/>
      </c>
      <c r="J505" s="7" t="str">
        <f>CONCATENATE("[",TEXT(Show!A505,"#.0#"),":",TEXT(Show!B505,"#.0#"),"][",TEXT(Show!E505,"#.0#"),":",TEXT(Show!F505,"#.0#"),"]")</f>
        <v>[:][:]</v>
      </c>
    </row>
    <row r="506" spans="1:10" hidden="1" x14ac:dyDescent="0.25">
      <c r="A506" s="40" t="str">
        <f>IFERROR(IF(Calc!E506&lt;=$C$4,Calc!D506,""),"")</f>
        <v/>
      </c>
      <c r="B506" s="40" t="str">
        <f>IFERROR(IF(Calc!E506&lt;=$C$4,CONCATENATE(TEXT(Calc!C506,"#0.000#")," || ",TEXT(INDEX(Calc!L506:P506,$B$4),"#0.000#")),""),"")</f>
        <v/>
      </c>
      <c r="C506" s="41" t="str">
        <f>IFERROR(IF(Calc!E506&lt;=$C$4,Calc!E506,""),"")</f>
        <v/>
      </c>
      <c r="D506" s="33" t="str">
        <f>IFERROR(IF(Calc!E506&lt;=$D$4,"Nice",""),"")</f>
        <v/>
      </c>
      <c r="E506" s="40" t="str">
        <f>IFERROR(IF(Calc!J506&lt;=$C$4,Calc!I506,""),"")</f>
        <v/>
      </c>
      <c r="F506" s="40" t="str">
        <f>IFERROR(IF(Calc!J506&lt;=$C$4,CONCATENATE(TEXT(Calc!H506,"#0.000#")," + ",TEXT(INDEX(Calc!L506:P506,$B$4),"#0.000#")),""),"")</f>
        <v/>
      </c>
      <c r="G506" s="41" t="str">
        <f>IFERROR(IF(Calc!J506&lt;=$C$4,Calc!J506,""),"")</f>
        <v/>
      </c>
      <c r="H506" s="33" t="str">
        <f>IFERROR(IF(Calc!J506&lt;=$D$4,"Nice",""),"")</f>
        <v/>
      </c>
      <c r="J506" s="7" t="str">
        <f>CONCATENATE("[",TEXT(Show!A506,"#.0#"),":",TEXT(Show!B506,"#.0#"),"][",TEXT(Show!E506,"#.0#"),":",TEXT(Show!F506,"#.0#"),"]")</f>
        <v>[:][:]</v>
      </c>
    </row>
    <row r="507" spans="1:10" hidden="1" x14ac:dyDescent="0.25">
      <c r="A507" s="40" t="str">
        <f>IFERROR(IF(Calc!E507&lt;=$C$4,Calc!D507,""),"")</f>
        <v/>
      </c>
      <c r="B507" s="40" t="str">
        <f>IFERROR(IF(Calc!E507&lt;=$C$4,CONCATENATE(TEXT(Calc!C507,"#0.000#")," || ",TEXT(INDEX(Calc!L507:P507,$B$4),"#0.000#")),""),"")</f>
        <v/>
      </c>
      <c r="C507" s="41" t="str">
        <f>IFERROR(IF(Calc!E507&lt;=$C$4,Calc!E507,""),"")</f>
        <v/>
      </c>
      <c r="D507" s="33" t="str">
        <f>IFERROR(IF(Calc!E507&lt;=$D$4,"Nice",""),"")</f>
        <v/>
      </c>
      <c r="E507" s="40" t="str">
        <f>IFERROR(IF(Calc!J507&lt;=$C$4,Calc!I507,""),"")</f>
        <v/>
      </c>
      <c r="F507" s="40" t="str">
        <f>IFERROR(IF(Calc!J507&lt;=$C$4,CONCATENATE(TEXT(Calc!H507,"#0.000#")," + ",TEXT(INDEX(Calc!L507:P507,$B$4),"#0.000#")),""),"")</f>
        <v/>
      </c>
      <c r="G507" s="41" t="str">
        <f>IFERROR(IF(Calc!J507&lt;=$C$4,Calc!J507,""),"")</f>
        <v/>
      </c>
      <c r="H507" s="33" t="str">
        <f>IFERROR(IF(Calc!J507&lt;=$D$4,"Nice",""),"")</f>
        <v/>
      </c>
      <c r="J507" s="7" t="str">
        <f>CONCATENATE("[",TEXT(Show!A507,"#.0#"),":",TEXT(Show!B507,"#.0#"),"][",TEXT(Show!E507,"#.0#"),":",TEXT(Show!F507,"#.0#"),"]")</f>
        <v>[:][:]</v>
      </c>
    </row>
    <row r="508" spans="1:10" hidden="1" x14ac:dyDescent="0.25">
      <c r="A508" s="40" t="str">
        <f>IFERROR(IF(Calc!E508&lt;=$C$4,Calc!D508,""),"")</f>
        <v/>
      </c>
      <c r="B508" s="40" t="str">
        <f>IFERROR(IF(Calc!E508&lt;=$C$4,CONCATENATE(TEXT(Calc!C508,"#0.000#")," || ",TEXT(INDEX(Calc!L508:P508,$B$4),"#0.000#")),""),"")</f>
        <v/>
      </c>
      <c r="C508" s="41" t="str">
        <f>IFERROR(IF(Calc!E508&lt;=$C$4,Calc!E508,""),"")</f>
        <v/>
      </c>
      <c r="D508" s="33" t="str">
        <f>IFERROR(IF(Calc!E508&lt;=$D$4,"Nice",""),"")</f>
        <v/>
      </c>
      <c r="E508" s="40" t="str">
        <f>IFERROR(IF(Calc!J508&lt;=$C$4,Calc!I508,""),"")</f>
        <v/>
      </c>
      <c r="F508" s="40" t="str">
        <f>IFERROR(IF(Calc!J508&lt;=$C$4,CONCATENATE(TEXT(Calc!H508,"#0.000#")," + ",TEXT(INDEX(Calc!L508:P508,$B$4),"#0.000#")),""),"")</f>
        <v/>
      </c>
      <c r="G508" s="41" t="str">
        <f>IFERROR(IF(Calc!J508&lt;=$C$4,Calc!J508,""),"")</f>
        <v/>
      </c>
      <c r="H508" s="33" t="str">
        <f>IFERROR(IF(Calc!J508&lt;=$D$4,"Nice",""),"")</f>
        <v/>
      </c>
      <c r="J508" s="7" t="str">
        <f>CONCATENATE("[",TEXT(Show!A508,"#.0#"),":",TEXT(Show!B508,"#.0#"),"][",TEXT(Show!E508,"#.0#"),":",TEXT(Show!F508,"#.0#"),"]")</f>
        <v>[:][:]</v>
      </c>
    </row>
    <row r="509" spans="1:10" hidden="1" x14ac:dyDescent="0.25">
      <c r="A509" s="40" t="str">
        <f>IFERROR(IF(Calc!E509&lt;=$C$4,Calc!D509,""),"")</f>
        <v/>
      </c>
      <c r="B509" s="40" t="str">
        <f>IFERROR(IF(Calc!E509&lt;=$C$4,CONCATENATE(TEXT(Calc!C509,"#0.000#")," || ",TEXT(INDEX(Calc!L509:P509,$B$4),"#0.000#")),""),"")</f>
        <v/>
      </c>
      <c r="C509" s="41" t="str">
        <f>IFERROR(IF(Calc!E509&lt;=$C$4,Calc!E509,""),"")</f>
        <v/>
      </c>
      <c r="D509" s="33" t="str">
        <f>IFERROR(IF(Calc!E509&lt;=$D$4,"Nice",""),"")</f>
        <v/>
      </c>
      <c r="E509" s="40" t="str">
        <f>IFERROR(IF(Calc!J509&lt;=$C$4,Calc!I509,""),"")</f>
        <v/>
      </c>
      <c r="F509" s="40" t="str">
        <f>IFERROR(IF(Calc!J509&lt;=$C$4,CONCATENATE(TEXT(Calc!H509,"#0.000#")," + ",TEXT(INDEX(Calc!L509:P509,$B$4),"#0.000#")),""),"")</f>
        <v/>
      </c>
      <c r="G509" s="41" t="str">
        <f>IFERROR(IF(Calc!J509&lt;=$C$4,Calc!J509,""),"")</f>
        <v/>
      </c>
      <c r="H509" s="33" t="str">
        <f>IFERROR(IF(Calc!J509&lt;=$D$4,"Nice",""),"")</f>
        <v/>
      </c>
      <c r="J509" s="7" t="str">
        <f>CONCATENATE("[",TEXT(Show!A509,"#.0#"),":",TEXT(Show!B509,"#.0#"),"][",TEXT(Show!E509,"#.0#"),":",TEXT(Show!F509,"#.0#"),"]")</f>
        <v>[:][:]</v>
      </c>
    </row>
    <row r="510" spans="1:10" hidden="1" x14ac:dyDescent="0.25">
      <c r="A510" s="40" t="str">
        <f>IFERROR(IF(Calc!E510&lt;=$C$4,Calc!D510,""),"")</f>
        <v/>
      </c>
      <c r="B510" s="40" t="str">
        <f>IFERROR(IF(Calc!E510&lt;=$C$4,CONCATENATE(TEXT(Calc!C510,"#0.000#")," || ",TEXT(INDEX(Calc!L510:P510,$B$4),"#0.000#")),""),"")</f>
        <v/>
      </c>
      <c r="C510" s="41" t="str">
        <f>IFERROR(IF(Calc!E510&lt;=$C$4,Calc!E510,""),"")</f>
        <v/>
      </c>
      <c r="D510" s="33" t="str">
        <f>IFERROR(IF(Calc!E510&lt;=$D$4,"Nice",""),"")</f>
        <v/>
      </c>
      <c r="E510" s="40" t="str">
        <f>IFERROR(IF(Calc!J510&lt;=$C$4,Calc!I510,""),"")</f>
        <v/>
      </c>
      <c r="F510" s="40" t="str">
        <f>IFERROR(IF(Calc!J510&lt;=$C$4,CONCATENATE(TEXT(Calc!H510,"#0.000#")," + ",TEXT(INDEX(Calc!L510:P510,$B$4),"#0.000#")),""),"")</f>
        <v/>
      </c>
      <c r="G510" s="41" t="str">
        <f>IFERROR(IF(Calc!J510&lt;=$C$4,Calc!J510,""),"")</f>
        <v/>
      </c>
      <c r="H510" s="33" t="str">
        <f>IFERROR(IF(Calc!J510&lt;=$D$4,"Nice",""),"")</f>
        <v/>
      </c>
      <c r="J510" s="7" t="str">
        <f>CONCATENATE("[",TEXT(Show!A510,"#.0#"),":",TEXT(Show!B510,"#.0#"),"][",TEXT(Show!E510,"#.0#"),":",TEXT(Show!F510,"#.0#"),"]")</f>
        <v>[:][:]</v>
      </c>
    </row>
    <row r="511" spans="1:10" hidden="1" x14ac:dyDescent="0.25">
      <c r="A511" s="40" t="str">
        <f>IFERROR(IF(Calc!E511&lt;=$C$4,Calc!D511,""),"")</f>
        <v/>
      </c>
      <c r="B511" s="40" t="str">
        <f>IFERROR(IF(Calc!E511&lt;=$C$4,CONCATENATE(TEXT(Calc!C511,"#0.000#")," || ",TEXT(INDEX(Calc!L511:P511,$B$4),"#0.000#")),""),"")</f>
        <v/>
      </c>
      <c r="C511" s="41" t="str">
        <f>IFERROR(IF(Calc!E511&lt;=$C$4,Calc!E511,""),"")</f>
        <v/>
      </c>
      <c r="D511" s="33" t="str">
        <f>IFERROR(IF(Calc!E511&lt;=$D$4,"Nice",""),"")</f>
        <v/>
      </c>
      <c r="E511" s="40" t="str">
        <f>IFERROR(IF(Calc!J511&lt;=$C$4,Calc!I511,""),"")</f>
        <v/>
      </c>
      <c r="F511" s="40" t="str">
        <f>IFERROR(IF(Calc!J511&lt;=$C$4,CONCATENATE(TEXT(Calc!H511,"#0.000#")," + ",TEXT(INDEX(Calc!L511:P511,$B$4),"#0.000#")),""),"")</f>
        <v/>
      </c>
      <c r="G511" s="41" t="str">
        <f>IFERROR(IF(Calc!J511&lt;=$C$4,Calc!J511,""),"")</f>
        <v/>
      </c>
      <c r="H511" s="33" t="str">
        <f>IFERROR(IF(Calc!J511&lt;=$D$4,"Nice",""),"")</f>
        <v/>
      </c>
      <c r="J511" s="7" t="str">
        <f>CONCATENATE("[",TEXT(Show!A511,"#.0#"),":",TEXT(Show!B511,"#.0#"),"][",TEXT(Show!E511,"#.0#"),":",TEXT(Show!F511,"#.0#"),"]")</f>
        <v>[:][:]</v>
      </c>
    </row>
    <row r="512" spans="1:10" hidden="1" x14ac:dyDescent="0.25">
      <c r="A512" s="40" t="str">
        <f>IFERROR(IF(Calc!E512&lt;=$C$4,Calc!D512,""),"")</f>
        <v/>
      </c>
      <c r="B512" s="40" t="str">
        <f>IFERROR(IF(Calc!E512&lt;=$C$4,CONCATENATE(TEXT(Calc!C512,"#0.000#")," || ",TEXT(INDEX(Calc!L512:P512,$B$4),"#0.000#")),""),"")</f>
        <v/>
      </c>
      <c r="C512" s="41" t="str">
        <f>IFERROR(IF(Calc!E512&lt;=$C$4,Calc!E512,""),"")</f>
        <v/>
      </c>
      <c r="D512" s="33" t="str">
        <f>IFERROR(IF(Calc!E512&lt;=$D$4,"Nice",""),"")</f>
        <v/>
      </c>
      <c r="E512" s="40" t="str">
        <f>IFERROR(IF(Calc!J512&lt;=$C$4,Calc!I512,""),"")</f>
        <v/>
      </c>
      <c r="F512" s="40" t="str">
        <f>IFERROR(IF(Calc!J512&lt;=$C$4,CONCATENATE(TEXT(Calc!H512,"#0.000#")," + ",TEXT(INDEX(Calc!L512:P512,$B$4),"#0.000#")),""),"")</f>
        <v/>
      </c>
      <c r="G512" s="41" t="str">
        <f>IFERROR(IF(Calc!J512&lt;=$C$4,Calc!J512,""),"")</f>
        <v/>
      </c>
      <c r="H512" s="33" t="str">
        <f>IFERROR(IF(Calc!J512&lt;=$D$4,"Nice",""),"")</f>
        <v/>
      </c>
      <c r="J512" s="7" t="str">
        <f>CONCATENATE("[",TEXT(Show!A512,"#.0#"),":",TEXT(Show!B512,"#.0#"),"][",TEXT(Show!E512,"#.0#"),":",TEXT(Show!F512,"#.0#"),"]")</f>
        <v>[:][:]</v>
      </c>
    </row>
    <row r="513" spans="1:10" hidden="1" x14ac:dyDescent="0.25">
      <c r="A513" s="40" t="str">
        <f>IFERROR(IF(Calc!E513&lt;=$C$4,Calc!D513,""),"")</f>
        <v/>
      </c>
      <c r="B513" s="40" t="str">
        <f>IFERROR(IF(Calc!E513&lt;=$C$4,CONCATENATE(TEXT(Calc!C513,"#0.000#")," || ",TEXT(INDEX(Calc!L513:P513,$B$4),"#0.000#")),""),"")</f>
        <v/>
      </c>
      <c r="C513" s="41" t="str">
        <f>IFERROR(IF(Calc!E513&lt;=$C$4,Calc!E513,""),"")</f>
        <v/>
      </c>
      <c r="D513" s="33" t="str">
        <f>IFERROR(IF(Calc!E513&lt;=$D$4,"Nice",""),"")</f>
        <v/>
      </c>
      <c r="E513" s="40" t="str">
        <f>IFERROR(IF(Calc!J513&lt;=$C$4,Calc!I513,""),"")</f>
        <v/>
      </c>
      <c r="F513" s="40" t="str">
        <f>IFERROR(IF(Calc!J513&lt;=$C$4,CONCATENATE(TEXT(Calc!H513,"#0.000#")," + ",TEXT(INDEX(Calc!L513:P513,$B$4),"#0.000#")),""),"")</f>
        <v/>
      </c>
      <c r="G513" s="41" t="str">
        <f>IFERROR(IF(Calc!J513&lt;=$C$4,Calc!J513,""),"")</f>
        <v/>
      </c>
      <c r="H513" s="33" t="str">
        <f>IFERROR(IF(Calc!J513&lt;=$D$4,"Nice",""),"")</f>
        <v/>
      </c>
      <c r="J513" s="7" t="str">
        <f>CONCATENATE("[",TEXT(Show!A513,"#.0#"),":",TEXT(Show!B513,"#.0#"),"][",TEXT(Show!E513,"#.0#"),":",TEXT(Show!F513,"#.0#"),"]")</f>
        <v>[:][:]</v>
      </c>
    </row>
    <row r="514" spans="1:10" hidden="1" x14ac:dyDescent="0.25">
      <c r="A514" s="40" t="str">
        <f>IFERROR(IF(Calc!E514&lt;=$C$4,Calc!D514,""),"")</f>
        <v/>
      </c>
      <c r="B514" s="40" t="str">
        <f>IFERROR(IF(Calc!E514&lt;=$C$4,CONCATENATE(TEXT(Calc!C514,"#0.000#")," || ",TEXT(INDEX(Calc!L514:P514,$B$4),"#0.000#")),""),"")</f>
        <v/>
      </c>
      <c r="C514" s="41" t="str">
        <f>IFERROR(IF(Calc!E514&lt;=$C$4,Calc!E514,""),"")</f>
        <v/>
      </c>
      <c r="D514" s="33" t="str">
        <f>IFERROR(IF(Calc!E514&lt;=$D$4,"Nice",""),"")</f>
        <v/>
      </c>
      <c r="E514" s="40" t="str">
        <f>IFERROR(IF(Calc!J514&lt;=$C$4,Calc!I514,""),"")</f>
        <v/>
      </c>
      <c r="F514" s="40" t="str">
        <f>IFERROR(IF(Calc!J514&lt;=$C$4,CONCATENATE(TEXT(Calc!H514,"#0.000#")," + ",TEXT(INDEX(Calc!L514:P514,$B$4),"#0.000#")),""),"")</f>
        <v/>
      </c>
      <c r="G514" s="41" t="str">
        <f>IFERROR(IF(Calc!J514&lt;=$C$4,Calc!J514,""),"")</f>
        <v/>
      </c>
      <c r="H514" s="33" t="str">
        <f>IFERROR(IF(Calc!J514&lt;=$D$4,"Nice",""),"")</f>
        <v/>
      </c>
      <c r="J514" s="7" t="str">
        <f>CONCATENATE("[",TEXT(Show!A514,"#.0#"),":",TEXT(Show!B514,"#.0#"),"][",TEXT(Show!E514,"#.0#"),":",TEXT(Show!F514,"#.0#"),"]")</f>
        <v>[:][:]</v>
      </c>
    </row>
    <row r="515" spans="1:10" hidden="1" x14ac:dyDescent="0.25">
      <c r="A515" s="40" t="str">
        <f>IFERROR(IF(Calc!E515&lt;=$C$4,Calc!D515,""),"")</f>
        <v/>
      </c>
      <c r="B515" s="40" t="str">
        <f>IFERROR(IF(Calc!E515&lt;=$C$4,CONCATENATE(TEXT(Calc!C515,"#0.000#")," || ",TEXT(INDEX(Calc!L515:P515,$B$4),"#0.000#")),""),"")</f>
        <v/>
      </c>
      <c r="C515" s="41" t="str">
        <f>IFERROR(IF(Calc!E515&lt;=$C$4,Calc!E515,""),"")</f>
        <v/>
      </c>
      <c r="D515" s="33" t="str">
        <f>IFERROR(IF(Calc!E515&lt;=$D$4,"Nice",""),"")</f>
        <v/>
      </c>
      <c r="E515" s="40" t="str">
        <f>IFERROR(IF(Calc!J515&lt;=$C$4,Calc!I515,""),"")</f>
        <v/>
      </c>
      <c r="F515" s="40" t="str">
        <f>IFERROR(IF(Calc!J515&lt;=$C$4,CONCATENATE(TEXT(Calc!H515,"#0.000#")," + ",TEXT(INDEX(Calc!L515:P515,$B$4),"#0.000#")),""),"")</f>
        <v/>
      </c>
      <c r="G515" s="41" t="str">
        <f>IFERROR(IF(Calc!J515&lt;=$C$4,Calc!J515,""),"")</f>
        <v/>
      </c>
      <c r="H515" s="33" t="str">
        <f>IFERROR(IF(Calc!J515&lt;=$D$4,"Nice",""),"")</f>
        <v/>
      </c>
      <c r="J515" s="7" t="str">
        <f>CONCATENATE("[",TEXT(Show!A515,"#.0#"),":",TEXT(Show!B515,"#.0#"),"][",TEXT(Show!E515,"#.0#"),":",TEXT(Show!F515,"#.0#"),"]")</f>
        <v>[:][:]</v>
      </c>
    </row>
    <row r="516" spans="1:10" hidden="1" x14ac:dyDescent="0.25">
      <c r="A516" s="40" t="str">
        <f>IFERROR(IF(Calc!E516&lt;=$C$4,Calc!D516,""),"")</f>
        <v/>
      </c>
      <c r="B516" s="40" t="str">
        <f>IFERROR(IF(Calc!E516&lt;=$C$4,CONCATENATE(TEXT(Calc!C516,"#0.000#")," || ",TEXT(INDEX(Calc!L516:P516,$B$4),"#0.000#")),""),"")</f>
        <v/>
      </c>
      <c r="C516" s="41" t="str">
        <f>IFERROR(IF(Calc!E516&lt;=$C$4,Calc!E516,""),"")</f>
        <v/>
      </c>
      <c r="D516" s="33" t="str">
        <f>IFERROR(IF(Calc!E516&lt;=$D$4,"Nice",""),"")</f>
        <v/>
      </c>
      <c r="E516" s="40" t="str">
        <f>IFERROR(IF(Calc!J516&lt;=$C$4,Calc!I516,""),"")</f>
        <v/>
      </c>
      <c r="F516" s="40" t="str">
        <f>IFERROR(IF(Calc!J516&lt;=$C$4,CONCATENATE(TEXT(Calc!H516,"#0.000#")," + ",TEXT(INDEX(Calc!L516:P516,$B$4),"#0.000#")),""),"")</f>
        <v/>
      </c>
      <c r="G516" s="41" t="str">
        <f>IFERROR(IF(Calc!J516&lt;=$C$4,Calc!J516,""),"")</f>
        <v/>
      </c>
      <c r="H516" s="33" t="str">
        <f>IFERROR(IF(Calc!J516&lt;=$D$4,"Nice",""),"")</f>
        <v/>
      </c>
      <c r="J516" s="7" t="str">
        <f>CONCATENATE("[",TEXT(Show!A516,"#.0#"),":",TEXT(Show!B516,"#.0#"),"][",TEXT(Show!E516,"#.0#"),":",TEXT(Show!F516,"#.0#"),"]")</f>
        <v>[:][:]</v>
      </c>
    </row>
    <row r="517" spans="1:10" hidden="1" x14ac:dyDescent="0.25">
      <c r="A517" s="40" t="str">
        <f>IFERROR(IF(Calc!E517&lt;=$C$4,Calc!D517,""),"")</f>
        <v/>
      </c>
      <c r="B517" s="40" t="str">
        <f>IFERROR(IF(Calc!E517&lt;=$C$4,CONCATENATE(TEXT(Calc!C517,"#0.000#")," || ",TEXT(INDEX(Calc!L517:P517,$B$4),"#0.000#")),""),"")</f>
        <v/>
      </c>
      <c r="C517" s="41" t="str">
        <f>IFERROR(IF(Calc!E517&lt;=$C$4,Calc!E517,""),"")</f>
        <v/>
      </c>
      <c r="D517" s="33" t="str">
        <f>IFERROR(IF(Calc!E517&lt;=$D$4,"Nice",""),"")</f>
        <v/>
      </c>
      <c r="E517" s="40" t="str">
        <f>IFERROR(IF(Calc!J517&lt;=$C$4,Calc!I517,""),"")</f>
        <v/>
      </c>
      <c r="F517" s="40" t="str">
        <f>IFERROR(IF(Calc!J517&lt;=$C$4,CONCATENATE(TEXT(Calc!H517,"#0.000#")," + ",TEXT(INDEX(Calc!L517:P517,$B$4),"#0.000#")),""),"")</f>
        <v/>
      </c>
      <c r="G517" s="41" t="str">
        <f>IFERROR(IF(Calc!J517&lt;=$C$4,Calc!J517,""),"")</f>
        <v/>
      </c>
      <c r="H517" s="33" t="str">
        <f>IFERROR(IF(Calc!J517&lt;=$D$4,"Nice",""),"")</f>
        <v/>
      </c>
      <c r="J517" s="7" t="str">
        <f>CONCATENATE("[",TEXT(Show!A517,"#.0#"),":",TEXT(Show!B517,"#.0#"),"][",TEXT(Show!E517,"#.0#"),":",TEXT(Show!F517,"#.0#"),"]")</f>
        <v>[:][:]</v>
      </c>
    </row>
    <row r="518" spans="1:10" hidden="1" x14ac:dyDescent="0.25">
      <c r="A518" s="40" t="str">
        <f>IFERROR(IF(Calc!E518&lt;=$C$4,Calc!D518,""),"")</f>
        <v/>
      </c>
      <c r="B518" s="40" t="str">
        <f>IFERROR(IF(Calc!E518&lt;=$C$4,CONCATENATE(TEXT(Calc!C518,"#0.000#")," || ",TEXT(INDEX(Calc!L518:P518,$B$4),"#0.000#")),""),"")</f>
        <v/>
      </c>
      <c r="C518" s="41" t="str">
        <f>IFERROR(IF(Calc!E518&lt;=$C$4,Calc!E518,""),"")</f>
        <v/>
      </c>
      <c r="D518" s="33" t="str">
        <f>IFERROR(IF(Calc!E518&lt;=$D$4,"Nice",""),"")</f>
        <v/>
      </c>
      <c r="E518" s="40" t="str">
        <f>IFERROR(IF(Calc!J518&lt;=$C$4,Calc!I518,""),"")</f>
        <v/>
      </c>
      <c r="F518" s="40" t="str">
        <f>IFERROR(IF(Calc!J518&lt;=$C$4,CONCATENATE(TEXT(Calc!H518,"#0.000#")," + ",TEXT(INDEX(Calc!L518:P518,$B$4),"#0.000#")),""),"")</f>
        <v/>
      </c>
      <c r="G518" s="41" t="str">
        <f>IFERROR(IF(Calc!J518&lt;=$C$4,Calc!J518,""),"")</f>
        <v/>
      </c>
      <c r="H518" s="33" t="str">
        <f>IFERROR(IF(Calc!J518&lt;=$D$4,"Nice",""),"")</f>
        <v/>
      </c>
      <c r="J518" s="7" t="str">
        <f>CONCATENATE("[",TEXT(Show!A518,"#.0#"),":",TEXT(Show!B518,"#.0#"),"][",TEXT(Show!E518,"#.0#"),":",TEXT(Show!F518,"#.0#"),"]")</f>
        <v>[:][:]</v>
      </c>
    </row>
    <row r="519" spans="1:10" hidden="1" x14ac:dyDescent="0.25">
      <c r="A519" s="40" t="str">
        <f>IFERROR(IF(Calc!E519&lt;=$C$4,Calc!D519,""),"")</f>
        <v/>
      </c>
      <c r="B519" s="40" t="str">
        <f>IFERROR(IF(Calc!E519&lt;=$C$4,CONCATENATE(TEXT(Calc!C519,"#0.000#")," || ",TEXT(INDEX(Calc!L519:P519,$B$4),"#0.000#")),""),"")</f>
        <v/>
      </c>
      <c r="C519" s="41" t="str">
        <f>IFERROR(IF(Calc!E519&lt;=$C$4,Calc!E519,""),"")</f>
        <v/>
      </c>
      <c r="D519" s="33" t="str">
        <f>IFERROR(IF(Calc!E519&lt;=$D$4,"Nice",""),"")</f>
        <v/>
      </c>
      <c r="E519" s="40" t="str">
        <f>IFERROR(IF(Calc!J519&lt;=$C$4,Calc!I519,""),"")</f>
        <v/>
      </c>
      <c r="F519" s="40" t="str">
        <f>IFERROR(IF(Calc!J519&lt;=$C$4,CONCATENATE(TEXT(Calc!H519,"#0.000#")," + ",TEXT(INDEX(Calc!L519:P519,$B$4),"#0.000#")),""),"")</f>
        <v/>
      </c>
      <c r="G519" s="41" t="str">
        <f>IFERROR(IF(Calc!J519&lt;=$C$4,Calc!J519,""),"")</f>
        <v/>
      </c>
      <c r="H519" s="33" t="str">
        <f>IFERROR(IF(Calc!J519&lt;=$D$4,"Nice",""),"")</f>
        <v/>
      </c>
      <c r="J519" s="7" t="str">
        <f>CONCATENATE("[",TEXT(Show!A519,"#.0#"),":",TEXT(Show!B519,"#.0#"),"][",TEXT(Show!E519,"#.0#"),":",TEXT(Show!F519,"#.0#"),"]")</f>
        <v>[:][:]</v>
      </c>
    </row>
    <row r="520" spans="1:10" hidden="1" x14ac:dyDescent="0.25">
      <c r="A520" s="40" t="str">
        <f>IFERROR(IF(Calc!E520&lt;=$C$4,Calc!D520,""),"")</f>
        <v/>
      </c>
      <c r="B520" s="40" t="str">
        <f>IFERROR(IF(Calc!E520&lt;=$C$4,CONCATENATE(TEXT(Calc!C520,"#0.000#")," || ",TEXT(INDEX(Calc!L520:P520,$B$4),"#0.000#")),""),"")</f>
        <v/>
      </c>
      <c r="C520" s="41" t="str">
        <f>IFERROR(IF(Calc!E520&lt;=$C$4,Calc!E520,""),"")</f>
        <v/>
      </c>
      <c r="D520" s="33" t="str">
        <f>IFERROR(IF(Calc!E520&lt;=$D$4,"Nice",""),"")</f>
        <v/>
      </c>
      <c r="E520" s="40" t="str">
        <f>IFERROR(IF(Calc!J520&lt;=$C$4,Calc!I520,""),"")</f>
        <v/>
      </c>
      <c r="F520" s="40" t="str">
        <f>IFERROR(IF(Calc!J520&lt;=$C$4,CONCATENATE(TEXT(Calc!H520,"#0.000#")," + ",TEXT(INDEX(Calc!L520:P520,$B$4),"#0.000#")),""),"")</f>
        <v/>
      </c>
      <c r="G520" s="41" t="str">
        <f>IFERROR(IF(Calc!J520&lt;=$C$4,Calc!J520,""),"")</f>
        <v/>
      </c>
      <c r="H520" s="33" t="str">
        <f>IFERROR(IF(Calc!J520&lt;=$D$4,"Nice",""),"")</f>
        <v/>
      </c>
      <c r="J520" s="7" t="str">
        <f>CONCATENATE("[",TEXT(Show!A520,"#.0#"),":",TEXT(Show!B520,"#.0#"),"][",TEXT(Show!E520,"#.0#"),":",TEXT(Show!F520,"#.0#"),"]")</f>
        <v>[:][:]</v>
      </c>
    </row>
    <row r="521" spans="1:10" hidden="1" x14ac:dyDescent="0.25">
      <c r="A521" s="40" t="str">
        <f>IFERROR(IF(Calc!E521&lt;=$C$4,Calc!D521,""),"")</f>
        <v/>
      </c>
      <c r="B521" s="40" t="str">
        <f>IFERROR(IF(Calc!E521&lt;=$C$4,CONCATENATE(TEXT(Calc!C521,"#0.000#")," || ",TEXT(INDEX(Calc!L521:P521,$B$4),"#0.000#")),""),"")</f>
        <v/>
      </c>
      <c r="C521" s="41" t="str">
        <f>IFERROR(IF(Calc!E521&lt;=$C$4,Calc!E521,""),"")</f>
        <v/>
      </c>
      <c r="D521" s="33" t="str">
        <f>IFERROR(IF(Calc!E521&lt;=$D$4,"Nice",""),"")</f>
        <v/>
      </c>
      <c r="E521" s="40" t="str">
        <f>IFERROR(IF(Calc!J521&lt;=$C$4,Calc!I521,""),"")</f>
        <v/>
      </c>
      <c r="F521" s="40" t="str">
        <f>IFERROR(IF(Calc!J521&lt;=$C$4,CONCATENATE(TEXT(Calc!H521,"#0.000#")," + ",TEXT(INDEX(Calc!L521:P521,$B$4),"#0.000#")),""),"")</f>
        <v/>
      </c>
      <c r="G521" s="41" t="str">
        <f>IFERROR(IF(Calc!J521&lt;=$C$4,Calc!J521,""),"")</f>
        <v/>
      </c>
      <c r="H521" s="33" t="str">
        <f>IFERROR(IF(Calc!J521&lt;=$D$4,"Nice",""),"")</f>
        <v/>
      </c>
      <c r="J521" s="7" t="str">
        <f>CONCATENATE("[",TEXT(Show!A521,"#.0#"),":",TEXT(Show!B521,"#.0#"),"][",TEXT(Show!E521,"#.0#"),":",TEXT(Show!F521,"#.0#"),"]")</f>
        <v>[:][:]</v>
      </c>
    </row>
    <row r="522" spans="1:10" hidden="1" x14ac:dyDescent="0.25">
      <c r="A522" s="40" t="str">
        <f>IFERROR(IF(Calc!E522&lt;=$C$4,Calc!D522,""),"")</f>
        <v/>
      </c>
      <c r="B522" s="40" t="str">
        <f>IFERROR(IF(Calc!E522&lt;=$C$4,CONCATENATE(TEXT(Calc!C522,"#0.000#")," || ",TEXT(INDEX(Calc!L522:P522,$B$4),"#0.000#")),""),"")</f>
        <v/>
      </c>
      <c r="C522" s="41" t="str">
        <f>IFERROR(IF(Calc!E522&lt;=$C$4,Calc!E522,""),"")</f>
        <v/>
      </c>
      <c r="D522" s="33" t="str">
        <f>IFERROR(IF(Calc!E522&lt;=$D$4,"Nice",""),"")</f>
        <v/>
      </c>
      <c r="E522" s="40" t="str">
        <f>IFERROR(IF(Calc!J522&lt;=$C$4,Calc!I522,""),"")</f>
        <v/>
      </c>
      <c r="F522" s="40" t="str">
        <f>IFERROR(IF(Calc!J522&lt;=$C$4,CONCATENATE(TEXT(Calc!H522,"#0.000#")," + ",TEXT(INDEX(Calc!L522:P522,$B$4),"#0.000#")),""),"")</f>
        <v/>
      </c>
      <c r="G522" s="41" t="str">
        <f>IFERROR(IF(Calc!J522&lt;=$C$4,Calc!J522,""),"")</f>
        <v/>
      </c>
      <c r="H522" s="33" t="str">
        <f>IFERROR(IF(Calc!J522&lt;=$D$4,"Nice",""),"")</f>
        <v/>
      </c>
      <c r="J522" s="7" t="str">
        <f>CONCATENATE("[",TEXT(Show!A522,"#.0#"),":",TEXT(Show!B522,"#.0#"),"][",TEXT(Show!E522,"#.0#"),":",TEXT(Show!F522,"#.0#"),"]")</f>
        <v>[:][:]</v>
      </c>
    </row>
    <row r="523" spans="1:10" hidden="1" x14ac:dyDescent="0.25">
      <c r="A523" s="40" t="str">
        <f>IFERROR(IF(Calc!E523&lt;=$C$4,Calc!D523,""),"")</f>
        <v/>
      </c>
      <c r="B523" s="40" t="str">
        <f>IFERROR(IF(Calc!E523&lt;=$C$4,CONCATENATE(TEXT(Calc!C523,"#0.000#")," || ",TEXT(INDEX(Calc!L523:P523,$B$4),"#0.000#")),""),"")</f>
        <v/>
      </c>
      <c r="C523" s="41" t="str">
        <f>IFERROR(IF(Calc!E523&lt;=$C$4,Calc!E523,""),"")</f>
        <v/>
      </c>
      <c r="D523" s="33" t="str">
        <f>IFERROR(IF(Calc!E523&lt;=$D$4,"Nice",""),"")</f>
        <v/>
      </c>
      <c r="E523" s="40" t="str">
        <f>IFERROR(IF(Calc!J523&lt;=$C$4,Calc!I523,""),"")</f>
        <v/>
      </c>
      <c r="F523" s="40" t="str">
        <f>IFERROR(IF(Calc!J523&lt;=$C$4,CONCATENATE(TEXT(Calc!H523,"#0.000#")," + ",TEXT(INDEX(Calc!L523:P523,$B$4),"#0.000#")),""),"")</f>
        <v/>
      </c>
      <c r="G523" s="41" t="str">
        <f>IFERROR(IF(Calc!J523&lt;=$C$4,Calc!J523,""),"")</f>
        <v/>
      </c>
      <c r="H523" s="33" t="str">
        <f>IFERROR(IF(Calc!J523&lt;=$D$4,"Nice",""),"")</f>
        <v/>
      </c>
      <c r="J523" s="7" t="str">
        <f>CONCATENATE("[",TEXT(Show!A523,"#.0#"),":",TEXT(Show!B523,"#.0#"),"][",TEXT(Show!E523,"#.0#"),":",TEXT(Show!F523,"#.0#"),"]")</f>
        <v>[:][:]</v>
      </c>
    </row>
    <row r="524" spans="1:10" hidden="1" x14ac:dyDescent="0.25">
      <c r="A524" s="40" t="str">
        <f>IFERROR(IF(Calc!E524&lt;=$C$4,Calc!D524,""),"")</f>
        <v/>
      </c>
      <c r="B524" s="40" t="str">
        <f>IFERROR(IF(Calc!E524&lt;=$C$4,CONCATENATE(TEXT(Calc!C524,"#0.000#")," || ",TEXT(INDEX(Calc!L524:P524,$B$4),"#0.000#")),""),"")</f>
        <v/>
      </c>
      <c r="C524" s="41" t="str">
        <f>IFERROR(IF(Calc!E524&lt;=$C$4,Calc!E524,""),"")</f>
        <v/>
      </c>
      <c r="D524" s="33" t="str">
        <f>IFERROR(IF(Calc!E524&lt;=$D$4,"Nice",""),"")</f>
        <v/>
      </c>
      <c r="E524" s="40" t="str">
        <f>IFERROR(IF(Calc!J524&lt;=$C$4,Calc!I524,""),"")</f>
        <v/>
      </c>
      <c r="F524" s="40" t="str">
        <f>IFERROR(IF(Calc!J524&lt;=$C$4,CONCATENATE(TEXT(Calc!H524,"#0.000#")," + ",TEXT(INDEX(Calc!L524:P524,$B$4),"#0.000#")),""),"")</f>
        <v/>
      </c>
      <c r="G524" s="41" t="str">
        <f>IFERROR(IF(Calc!J524&lt;=$C$4,Calc!J524,""),"")</f>
        <v/>
      </c>
      <c r="H524" s="33" t="str">
        <f>IFERROR(IF(Calc!J524&lt;=$D$4,"Nice",""),"")</f>
        <v/>
      </c>
      <c r="J524" s="7" t="str">
        <f>CONCATENATE("[",TEXT(Show!A524,"#.0#"),":",TEXT(Show!B524,"#.0#"),"][",TEXT(Show!E524,"#.0#"),":",TEXT(Show!F524,"#.0#"),"]")</f>
        <v>[:][:]</v>
      </c>
    </row>
    <row r="525" spans="1:10" hidden="1" x14ac:dyDescent="0.25">
      <c r="A525" s="40" t="str">
        <f>IFERROR(IF(Calc!E525&lt;=$C$4,Calc!D525,""),"")</f>
        <v/>
      </c>
      <c r="B525" s="40" t="str">
        <f>IFERROR(IF(Calc!E525&lt;=$C$4,CONCATENATE(TEXT(Calc!C525,"#0.000#")," || ",TEXT(INDEX(Calc!L525:P525,$B$4),"#0.000#")),""),"")</f>
        <v/>
      </c>
      <c r="C525" s="41" t="str">
        <f>IFERROR(IF(Calc!E525&lt;=$C$4,Calc!E525,""),"")</f>
        <v/>
      </c>
      <c r="D525" s="33" t="str">
        <f>IFERROR(IF(Calc!E525&lt;=$D$4,"Nice",""),"")</f>
        <v/>
      </c>
      <c r="E525" s="40" t="str">
        <f>IFERROR(IF(Calc!J525&lt;=$C$4,Calc!I525,""),"")</f>
        <v/>
      </c>
      <c r="F525" s="40" t="str">
        <f>IFERROR(IF(Calc!J525&lt;=$C$4,CONCATENATE(TEXT(Calc!H525,"#0.000#")," + ",TEXT(INDEX(Calc!L525:P525,$B$4),"#0.000#")),""),"")</f>
        <v/>
      </c>
      <c r="G525" s="41" t="str">
        <f>IFERROR(IF(Calc!J525&lt;=$C$4,Calc!J525,""),"")</f>
        <v/>
      </c>
      <c r="H525" s="33" t="str">
        <f>IFERROR(IF(Calc!J525&lt;=$D$4,"Nice",""),"")</f>
        <v/>
      </c>
      <c r="J525" s="7" t="str">
        <f>CONCATENATE("[",TEXT(Show!A525,"#.0#"),":",TEXT(Show!B525,"#.0#"),"][",TEXT(Show!E525,"#.0#"),":",TEXT(Show!F525,"#.0#"),"]")</f>
        <v>[:][:]</v>
      </c>
    </row>
    <row r="526" spans="1:10" hidden="1" x14ac:dyDescent="0.25">
      <c r="A526" s="40" t="str">
        <f>IFERROR(IF(Calc!E526&lt;=$C$4,Calc!D526,""),"")</f>
        <v/>
      </c>
      <c r="B526" s="40" t="str">
        <f>IFERROR(IF(Calc!E526&lt;=$C$4,CONCATENATE(TEXT(Calc!C526,"#0.000#")," || ",TEXT(INDEX(Calc!L526:P526,$B$4),"#0.000#")),""),"")</f>
        <v/>
      </c>
      <c r="C526" s="41" t="str">
        <f>IFERROR(IF(Calc!E526&lt;=$C$4,Calc!E526,""),"")</f>
        <v/>
      </c>
      <c r="D526" s="33" t="str">
        <f>IFERROR(IF(Calc!E526&lt;=$D$4,"Nice",""),"")</f>
        <v/>
      </c>
      <c r="E526" s="40" t="str">
        <f>IFERROR(IF(Calc!J526&lt;=$C$4,Calc!I526,""),"")</f>
        <v/>
      </c>
      <c r="F526" s="40" t="str">
        <f>IFERROR(IF(Calc!J526&lt;=$C$4,CONCATENATE(TEXT(Calc!H526,"#0.000#")," + ",TEXT(INDEX(Calc!L526:P526,$B$4),"#0.000#")),""),"")</f>
        <v/>
      </c>
      <c r="G526" s="41" t="str">
        <f>IFERROR(IF(Calc!J526&lt;=$C$4,Calc!J526,""),"")</f>
        <v/>
      </c>
      <c r="H526" s="33" t="str">
        <f>IFERROR(IF(Calc!J526&lt;=$D$4,"Nice",""),"")</f>
        <v/>
      </c>
      <c r="J526" s="7" t="str">
        <f>CONCATENATE("[",TEXT(Show!A526,"#.0#"),":",TEXT(Show!B526,"#.0#"),"][",TEXT(Show!E526,"#.0#"),":",TEXT(Show!F526,"#.0#"),"]")</f>
        <v>[:][:]</v>
      </c>
    </row>
    <row r="527" spans="1:10" hidden="1" x14ac:dyDescent="0.25">
      <c r="A527" s="40" t="str">
        <f>IFERROR(IF(Calc!E527&lt;=$C$4,Calc!D527,""),"")</f>
        <v/>
      </c>
      <c r="B527" s="40" t="str">
        <f>IFERROR(IF(Calc!E527&lt;=$C$4,CONCATENATE(TEXT(Calc!C527,"#0.000#")," || ",TEXT(INDEX(Calc!L527:P527,$B$4),"#0.000#")),""),"")</f>
        <v/>
      </c>
      <c r="C527" s="41" t="str">
        <f>IFERROR(IF(Calc!E527&lt;=$C$4,Calc!E527,""),"")</f>
        <v/>
      </c>
      <c r="D527" s="33" t="str">
        <f>IFERROR(IF(Calc!E527&lt;=$D$4,"Nice",""),"")</f>
        <v/>
      </c>
      <c r="E527" s="40" t="str">
        <f>IFERROR(IF(Calc!J527&lt;=$C$4,Calc!I527,""),"")</f>
        <v/>
      </c>
      <c r="F527" s="40" t="str">
        <f>IFERROR(IF(Calc!J527&lt;=$C$4,CONCATENATE(TEXT(Calc!H527,"#0.000#")," + ",TEXT(INDEX(Calc!L527:P527,$B$4),"#0.000#")),""),"")</f>
        <v/>
      </c>
      <c r="G527" s="41" t="str">
        <f>IFERROR(IF(Calc!J527&lt;=$C$4,Calc!J527,""),"")</f>
        <v/>
      </c>
      <c r="H527" s="33" t="str">
        <f>IFERROR(IF(Calc!J527&lt;=$D$4,"Nice",""),"")</f>
        <v/>
      </c>
      <c r="J527" s="7" t="str">
        <f>CONCATENATE("[",TEXT(Show!A527,"#.0#"),":",TEXT(Show!B527,"#.0#"),"][",TEXT(Show!E527,"#.0#"),":",TEXT(Show!F527,"#.0#"),"]")</f>
        <v>[:][:]</v>
      </c>
    </row>
    <row r="528" spans="1:10" hidden="1" x14ac:dyDescent="0.25">
      <c r="A528" s="40" t="str">
        <f>IFERROR(IF(Calc!E528&lt;=$C$4,Calc!D528,""),"")</f>
        <v/>
      </c>
      <c r="B528" s="40" t="str">
        <f>IFERROR(IF(Calc!E528&lt;=$C$4,CONCATENATE(TEXT(Calc!C528,"#0.000#")," || ",TEXT(INDEX(Calc!L528:P528,$B$4),"#0.000#")),""),"")</f>
        <v/>
      </c>
      <c r="C528" s="41" t="str">
        <f>IFERROR(IF(Calc!E528&lt;=$C$4,Calc!E528,""),"")</f>
        <v/>
      </c>
      <c r="D528" s="33" t="str">
        <f>IFERROR(IF(Calc!E528&lt;=$D$4,"Nice",""),"")</f>
        <v/>
      </c>
      <c r="E528" s="40" t="str">
        <f>IFERROR(IF(Calc!J528&lt;=$C$4,Calc!I528,""),"")</f>
        <v/>
      </c>
      <c r="F528" s="40" t="str">
        <f>IFERROR(IF(Calc!J528&lt;=$C$4,CONCATENATE(TEXT(Calc!H528,"#0.000#")," + ",TEXT(INDEX(Calc!L528:P528,$B$4),"#0.000#")),""),"")</f>
        <v/>
      </c>
      <c r="G528" s="41" t="str">
        <f>IFERROR(IF(Calc!J528&lt;=$C$4,Calc!J528,""),"")</f>
        <v/>
      </c>
      <c r="H528" s="33" t="str">
        <f>IFERROR(IF(Calc!J528&lt;=$D$4,"Nice",""),"")</f>
        <v/>
      </c>
      <c r="J528" s="7" t="str">
        <f>CONCATENATE("[",TEXT(Show!A528,"#.0#"),":",TEXT(Show!B528,"#.0#"),"][",TEXT(Show!E528,"#.0#"),":",TEXT(Show!F528,"#.0#"),"]")</f>
        <v>[:][:]</v>
      </c>
    </row>
    <row r="529" spans="1:10" hidden="1" x14ac:dyDescent="0.25">
      <c r="A529" s="40" t="str">
        <f>IFERROR(IF(Calc!E529&lt;=$C$4,Calc!D529,""),"")</f>
        <v/>
      </c>
      <c r="B529" s="40" t="str">
        <f>IFERROR(IF(Calc!E529&lt;=$C$4,CONCATENATE(TEXT(Calc!C529,"#0.000#")," || ",TEXT(INDEX(Calc!L529:P529,$B$4),"#0.000#")),""),"")</f>
        <v/>
      </c>
      <c r="C529" s="41" t="str">
        <f>IFERROR(IF(Calc!E529&lt;=$C$4,Calc!E529,""),"")</f>
        <v/>
      </c>
      <c r="D529" s="33" t="str">
        <f>IFERROR(IF(Calc!E529&lt;=$D$4,"Nice",""),"")</f>
        <v/>
      </c>
      <c r="E529" s="40" t="str">
        <f>IFERROR(IF(Calc!J529&lt;=$C$4,Calc!I529,""),"")</f>
        <v/>
      </c>
      <c r="F529" s="40" t="str">
        <f>IFERROR(IF(Calc!J529&lt;=$C$4,CONCATENATE(TEXT(Calc!H529,"#0.000#")," + ",TEXT(INDEX(Calc!L529:P529,$B$4),"#0.000#")),""),"")</f>
        <v/>
      </c>
      <c r="G529" s="41" t="str">
        <f>IFERROR(IF(Calc!J529&lt;=$C$4,Calc!J529,""),"")</f>
        <v/>
      </c>
      <c r="H529" s="33" t="str">
        <f>IFERROR(IF(Calc!J529&lt;=$D$4,"Nice",""),"")</f>
        <v/>
      </c>
      <c r="J529" s="7" t="str">
        <f>CONCATENATE("[",TEXT(Show!A529,"#.0#"),":",TEXT(Show!B529,"#.0#"),"][",TEXT(Show!E529,"#.0#"),":",TEXT(Show!F529,"#.0#"),"]")</f>
        <v>[:][:]</v>
      </c>
    </row>
    <row r="530" spans="1:10" hidden="1" x14ac:dyDescent="0.25">
      <c r="A530" s="40" t="str">
        <f>IFERROR(IF(Calc!E530&lt;=$C$4,Calc!D530,""),"")</f>
        <v/>
      </c>
      <c r="B530" s="40" t="str">
        <f>IFERROR(IF(Calc!E530&lt;=$C$4,CONCATENATE(TEXT(Calc!C530,"#0.000#")," || ",TEXT(INDEX(Calc!L530:P530,$B$4),"#0.000#")),""),"")</f>
        <v/>
      </c>
      <c r="C530" s="41" t="str">
        <f>IFERROR(IF(Calc!E530&lt;=$C$4,Calc!E530,""),"")</f>
        <v/>
      </c>
      <c r="D530" s="33" t="str">
        <f>IFERROR(IF(Calc!E530&lt;=$D$4,"Nice",""),"")</f>
        <v/>
      </c>
      <c r="E530" s="40" t="str">
        <f>IFERROR(IF(Calc!J530&lt;=$C$4,Calc!I530,""),"")</f>
        <v/>
      </c>
      <c r="F530" s="40" t="str">
        <f>IFERROR(IF(Calc!J530&lt;=$C$4,CONCATENATE(TEXT(Calc!H530,"#0.000#")," + ",TEXT(INDEX(Calc!L530:P530,$B$4),"#0.000#")),""),"")</f>
        <v/>
      </c>
      <c r="G530" s="41" t="str">
        <f>IFERROR(IF(Calc!J530&lt;=$C$4,Calc!J530,""),"")</f>
        <v/>
      </c>
      <c r="H530" s="33" t="str">
        <f>IFERROR(IF(Calc!J530&lt;=$D$4,"Nice",""),"")</f>
        <v/>
      </c>
      <c r="J530" s="7" t="str">
        <f>CONCATENATE("[",TEXT(Show!A530,"#.0#"),":",TEXT(Show!B530,"#.0#"),"][",TEXT(Show!E530,"#.0#"),":",TEXT(Show!F530,"#.0#"),"]")</f>
        <v>[:][:]</v>
      </c>
    </row>
    <row r="531" spans="1:10" hidden="1" x14ac:dyDescent="0.25">
      <c r="A531" s="40" t="str">
        <f>IFERROR(IF(Calc!E531&lt;=$C$4,Calc!D531,""),"")</f>
        <v/>
      </c>
      <c r="B531" s="40" t="str">
        <f>IFERROR(IF(Calc!E531&lt;=$C$4,CONCATENATE(TEXT(Calc!C531,"#0.000#")," || ",TEXT(INDEX(Calc!L531:P531,$B$4),"#0.000#")),""),"")</f>
        <v/>
      </c>
      <c r="C531" s="41" t="str">
        <f>IFERROR(IF(Calc!E531&lt;=$C$4,Calc!E531,""),"")</f>
        <v/>
      </c>
      <c r="D531" s="33" t="str">
        <f>IFERROR(IF(Calc!E531&lt;=$D$4,"Nice",""),"")</f>
        <v/>
      </c>
      <c r="E531" s="40" t="str">
        <f>IFERROR(IF(Calc!J531&lt;=$C$4,Calc!I531,""),"")</f>
        <v/>
      </c>
      <c r="F531" s="40" t="str">
        <f>IFERROR(IF(Calc!J531&lt;=$C$4,CONCATENATE(TEXT(Calc!H531,"#0.000#")," + ",TEXT(INDEX(Calc!L531:P531,$B$4),"#0.000#")),""),"")</f>
        <v/>
      </c>
      <c r="G531" s="41" t="str">
        <f>IFERROR(IF(Calc!J531&lt;=$C$4,Calc!J531,""),"")</f>
        <v/>
      </c>
      <c r="H531" s="33" t="str">
        <f>IFERROR(IF(Calc!J531&lt;=$D$4,"Nice",""),"")</f>
        <v/>
      </c>
      <c r="J531" s="7" t="str">
        <f>CONCATENATE("[",TEXT(Show!A531,"#.0#"),":",TEXT(Show!B531,"#.0#"),"][",TEXT(Show!E531,"#.0#"),":",TEXT(Show!F531,"#.0#"),"]")</f>
        <v>[:][:]</v>
      </c>
    </row>
    <row r="532" spans="1:10" hidden="1" x14ac:dyDescent="0.25">
      <c r="A532" s="40" t="str">
        <f>IFERROR(IF(Calc!E532&lt;=$C$4,Calc!D532,""),"")</f>
        <v/>
      </c>
      <c r="B532" s="40" t="str">
        <f>IFERROR(IF(Calc!E532&lt;=$C$4,CONCATENATE(TEXT(Calc!C532,"#0.000#")," || ",TEXT(INDEX(Calc!L532:P532,$B$4),"#0.000#")),""),"")</f>
        <v/>
      </c>
      <c r="C532" s="41" t="str">
        <f>IFERROR(IF(Calc!E532&lt;=$C$4,Calc!E532,""),"")</f>
        <v/>
      </c>
      <c r="D532" s="33" t="str">
        <f>IFERROR(IF(Calc!E532&lt;=$D$4,"Nice",""),"")</f>
        <v/>
      </c>
      <c r="E532" s="40" t="str">
        <f>IFERROR(IF(Calc!J532&lt;=$C$4,Calc!I532,""),"")</f>
        <v/>
      </c>
      <c r="F532" s="40" t="str">
        <f>IFERROR(IF(Calc!J532&lt;=$C$4,CONCATENATE(TEXT(Calc!H532,"#0.000#")," + ",TEXT(INDEX(Calc!L532:P532,$B$4),"#0.000#")),""),"")</f>
        <v/>
      </c>
      <c r="G532" s="41" t="str">
        <f>IFERROR(IF(Calc!J532&lt;=$C$4,Calc!J532,""),"")</f>
        <v/>
      </c>
      <c r="H532" s="33" t="str">
        <f>IFERROR(IF(Calc!J532&lt;=$D$4,"Nice",""),"")</f>
        <v/>
      </c>
      <c r="J532" s="7" t="str">
        <f>CONCATENATE("[",TEXT(Show!A532,"#.0#"),":",TEXT(Show!B532,"#.0#"),"][",TEXT(Show!E532,"#.0#"),":",TEXT(Show!F532,"#.0#"),"]")</f>
        <v>[:][:]</v>
      </c>
    </row>
    <row r="533" spans="1:10" hidden="1" x14ac:dyDescent="0.25">
      <c r="A533" s="40" t="str">
        <f>IFERROR(IF(Calc!E533&lt;=$C$4,Calc!D533,""),"")</f>
        <v/>
      </c>
      <c r="B533" s="40" t="str">
        <f>IFERROR(IF(Calc!E533&lt;=$C$4,CONCATENATE(TEXT(Calc!C533,"#0.000#")," || ",TEXT(INDEX(Calc!L533:P533,$B$4),"#0.000#")),""),"")</f>
        <v/>
      </c>
      <c r="C533" s="41" t="str">
        <f>IFERROR(IF(Calc!E533&lt;=$C$4,Calc!E533,""),"")</f>
        <v/>
      </c>
      <c r="D533" s="33" t="str">
        <f>IFERROR(IF(Calc!E533&lt;=$D$4,"Nice",""),"")</f>
        <v/>
      </c>
      <c r="E533" s="40" t="str">
        <f>IFERROR(IF(Calc!J533&lt;=$C$4,Calc!I533,""),"")</f>
        <v/>
      </c>
      <c r="F533" s="40" t="str">
        <f>IFERROR(IF(Calc!J533&lt;=$C$4,CONCATENATE(TEXT(Calc!H533,"#0.000#")," + ",TEXT(INDEX(Calc!L533:P533,$B$4),"#0.000#")),""),"")</f>
        <v/>
      </c>
      <c r="G533" s="41" t="str">
        <f>IFERROR(IF(Calc!J533&lt;=$C$4,Calc!J533,""),"")</f>
        <v/>
      </c>
      <c r="H533" s="33" t="str">
        <f>IFERROR(IF(Calc!J533&lt;=$D$4,"Nice",""),"")</f>
        <v/>
      </c>
      <c r="J533" s="7" t="str">
        <f>CONCATENATE("[",TEXT(Show!A533,"#.0#"),":",TEXT(Show!B533,"#.0#"),"][",TEXT(Show!E533,"#.0#"),":",TEXT(Show!F533,"#.0#"),"]")</f>
        <v>[:][:]</v>
      </c>
    </row>
    <row r="534" spans="1:10" hidden="1" x14ac:dyDescent="0.25">
      <c r="A534" s="40" t="str">
        <f>IFERROR(IF(Calc!E534&lt;=$C$4,Calc!D534,""),"")</f>
        <v/>
      </c>
      <c r="B534" s="40" t="str">
        <f>IFERROR(IF(Calc!E534&lt;=$C$4,CONCATENATE(TEXT(Calc!C534,"#0.000#")," || ",TEXT(INDEX(Calc!L534:P534,$B$4),"#0.000#")),""),"")</f>
        <v/>
      </c>
      <c r="C534" s="41" t="str">
        <f>IFERROR(IF(Calc!E534&lt;=$C$4,Calc!E534,""),"")</f>
        <v/>
      </c>
      <c r="D534" s="33" t="str">
        <f>IFERROR(IF(Calc!E534&lt;=$D$4,"Nice",""),"")</f>
        <v/>
      </c>
      <c r="E534" s="40" t="str">
        <f>IFERROR(IF(Calc!J534&lt;=$C$4,Calc!I534,""),"")</f>
        <v/>
      </c>
      <c r="F534" s="40" t="str">
        <f>IFERROR(IF(Calc!J534&lt;=$C$4,CONCATENATE(TEXT(Calc!H534,"#0.000#")," + ",TEXT(INDEX(Calc!L534:P534,$B$4),"#0.000#")),""),"")</f>
        <v/>
      </c>
      <c r="G534" s="41" t="str">
        <f>IFERROR(IF(Calc!J534&lt;=$C$4,Calc!J534,""),"")</f>
        <v/>
      </c>
      <c r="H534" s="33" t="str">
        <f>IFERROR(IF(Calc!J534&lt;=$D$4,"Nice",""),"")</f>
        <v/>
      </c>
      <c r="J534" s="7" t="str">
        <f>CONCATENATE("[",TEXT(Show!A534,"#.0#"),":",TEXT(Show!B534,"#.0#"),"][",TEXT(Show!E534,"#.0#"),":",TEXT(Show!F534,"#.0#"),"]")</f>
        <v>[:][:]</v>
      </c>
    </row>
    <row r="535" spans="1:10" hidden="1" x14ac:dyDescent="0.25">
      <c r="A535" s="40" t="str">
        <f>IFERROR(IF(Calc!E535&lt;=$C$4,Calc!D535,""),"")</f>
        <v/>
      </c>
      <c r="B535" s="40" t="str">
        <f>IFERROR(IF(Calc!E535&lt;=$C$4,CONCATENATE(TEXT(Calc!C535,"#0.000#")," || ",TEXT(INDEX(Calc!L535:P535,$B$4),"#0.000#")),""),"")</f>
        <v/>
      </c>
      <c r="C535" s="41" t="str">
        <f>IFERROR(IF(Calc!E535&lt;=$C$4,Calc!E535,""),"")</f>
        <v/>
      </c>
      <c r="D535" s="33" t="str">
        <f>IFERROR(IF(Calc!E535&lt;=$D$4,"Nice",""),"")</f>
        <v/>
      </c>
      <c r="E535" s="40" t="str">
        <f>IFERROR(IF(Calc!J535&lt;=$C$4,Calc!I535,""),"")</f>
        <v/>
      </c>
      <c r="F535" s="40" t="str">
        <f>IFERROR(IF(Calc!J535&lt;=$C$4,CONCATENATE(TEXT(Calc!H535,"#0.000#")," + ",TEXT(INDEX(Calc!L535:P535,$B$4),"#0.000#")),""),"")</f>
        <v/>
      </c>
      <c r="G535" s="41" t="str">
        <f>IFERROR(IF(Calc!J535&lt;=$C$4,Calc!J535,""),"")</f>
        <v/>
      </c>
      <c r="H535" s="33" t="str">
        <f>IFERROR(IF(Calc!J535&lt;=$D$4,"Nice",""),"")</f>
        <v/>
      </c>
      <c r="J535" s="7" t="str">
        <f>CONCATENATE("[",TEXT(Show!A535,"#.0#"),":",TEXT(Show!B535,"#.0#"),"][",TEXT(Show!E535,"#.0#"),":",TEXT(Show!F535,"#.0#"),"]")</f>
        <v>[:][:]</v>
      </c>
    </row>
    <row r="536" spans="1:10" hidden="1" x14ac:dyDescent="0.25">
      <c r="A536" s="40" t="str">
        <f>IFERROR(IF(Calc!E536&lt;=$C$4,Calc!D536,""),"")</f>
        <v/>
      </c>
      <c r="B536" s="40" t="str">
        <f>IFERROR(IF(Calc!E536&lt;=$C$4,CONCATENATE(TEXT(Calc!C536,"#0.000#")," || ",TEXT(INDEX(Calc!L536:P536,$B$4),"#0.000#")),""),"")</f>
        <v/>
      </c>
      <c r="C536" s="41" t="str">
        <f>IFERROR(IF(Calc!E536&lt;=$C$4,Calc!E536,""),"")</f>
        <v/>
      </c>
      <c r="D536" s="33" t="str">
        <f>IFERROR(IF(Calc!E536&lt;=$D$4,"Nice",""),"")</f>
        <v/>
      </c>
      <c r="E536" s="40" t="str">
        <f>IFERROR(IF(Calc!J536&lt;=$C$4,Calc!I536,""),"")</f>
        <v/>
      </c>
      <c r="F536" s="40" t="str">
        <f>IFERROR(IF(Calc!J536&lt;=$C$4,CONCATENATE(TEXT(Calc!H536,"#0.000#")," + ",TEXT(INDEX(Calc!L536:P536,$B$4),"#0.000#")),""),"")</f>
        <v/>
      </c>
      <c r="G536" s="41" t="str">
        <f>IFERROR(IF(Calc!J536&lt;=$C$4,Calc!J536,""),"")</f>
        <v/>
      </c>
      <c r="H536" s="33" t="str">
        <f>IFERROR(IF(Calc!J536&lt;=$D$4,"Nice",""),"")</f>
        <v/>
      </c>
      <c r="J536" s="7" t="str">
        <f>CONCATENATE("[",TEXT(Show!A536,"#.0#"),":",TEXT(Show!B536,"#.0#"),"][",TEXT(Show!E536,"#.0#"),":",TEXT(Show!F536,"#.0#"),"]")</f>
        <v>[:][:]</v>
      </c>
    </row>
    <row r="537" spans="1:10" hidden="1" x14ac:dyDescent="0.25">
      <c r="A537" s="40" t="str">
        <f>IFERROR(IF(Calc!E537&lt;=$C$4,Calc!D537,""),"")</f>
        <v/>
      </c>
      <c r="B537" s="40" t="str">
        <f>IFERROR(IF(Calc!E537&lt;=$C$4,CONCATENATE(TEXT(Calc!C537,"#0.000#")," || ",TEXT(INDEX(Calc!L537:P537,$B$4),"#0.000#")),""),"")</f>
        <v/>
      </c>
      <c r="C537" s="41" t="str">
        <f>IFERROR(IF(Calc!E537&lt;=$C$4,Calc!E537,""),"")</f>
        <v/>
      </c>
      <c r="D537" s="33" t="str">
        <f>IFERROR(IF(Calc!E537&lt;=$D$4,"Nice",""),"")</f>
        <v/>
      </c>
      <c r="E537" s="40" t="str">
        <f>IFERROR(IF(Calc!J537&lt;=$C$4,Calc!I537,""),"")</f>
        <v/>
      </c>
      <c r="F537" s="40" t="str">
        <f>IFERROR(IF(Calc!J537&lt;=$C$4,CONCATENATE(TEXT(Calc!H537,"#0.000#")," + ",TEXT(INDEX(Calc!L537:P537,$B$4),"#0.000#")),""),"")</f>
        <v/>
      </c>
      <c r="G537" s="41" t="str">
        <f>IFERROR(IF(Calc!J537&lt;=$C$4,Calc!J537,""),"")</f>
        <v/>
      </c>
      <c r="H537" s="33" t="str">
        <f>IFERROR(IF(Calc!J537&lt;=$D$4,"Nice",""),"")</f>
        <v/>
      </c>
      <c r="J537" s="7" t="str">
        <f>CONCATENATE("[",TEXT(Show!A537,"#.0#"),":",TEXT(Show!B537,"#.0#"),"][",TEXT(Show!E537,"#.0#"),":",TEXT(Show!F537,"#.0#"),"]")</f>
        <v>[:][:]</v>
      </c>
    </row>
    <row r="538" spans="1:10" hidden="1" x14ac:dyDescent="0.25">
      <c r="A538" s="40" t="str">
        <f>IFERROR(IF(Calc!E538&lt;=$C$4,Calc!D538,""),"")</f>
        <v/>
      </c>
      <c r="B538" s="40" t="str">
        <f>IFERROR(IF(Calc!E538&lt;=$C$4,CONCATENATE(TEXT(Calc!C538,"#0.000#")," || ",TEXT(INDEX(Calc!L538:P538,$B$4),"#0.000#")),""),"")</f>
        <v/>
      </c>
      <c r="C538" s="41" t="str">
        <f>IFERROR(IF(Calc!E538&lt;=$C$4,Calc!E538,""),"")</f>
        <v/>
      </c>
      <c r="D538" s="33" t="str">
        <f>IFERROR(IF(Calc!E538&lt;=$D$4,"Nice",""),"")</f>
        <v/>
      </c>
      <c r="E538" s="40" t="str">
        <f>IFERROR(IF(Calc!J538&lt;=$C$4,Calc!I538,""),"")</f>
        <v/>
      </c>
      <c r="F538" s="40" t="str">
        <f>IFERROR(IF(Calc!J538&lt;=$C$4,CONCATENATE(TEXT(Calc!H538,"#0.000#")," + ",TEXT(INDEX(Calc!L538:P538,$B$4),"#0.000#")),""),"")</f>
        <v/>
      </c>
      <c r="G538" s="41" t="str">
        <f>IFERROR(IF(Calc!J538&lt;=$C$4,Calc!J538,""),"")</f>
        <v/>
      </c>
      <c r="H538" s="33" t="str">
        <f>IFERROR(IF(Calc!J538&lt;=$D$4,"Nice",""),"")</f>
        <v/>
      </c>
      <c r="J538" s="7" t="str">
        <f>CONCATENATE("[",TEXT(Show!A538,"#.0#"),":",TEXT(Show!B538,"#.0#"),"][",TEXT(Show!E538,"#.0#"),":",TEXT(Show!F538,"#.0#"),"]")</f>
        <v>[:][:]</v>
      </c>
    </row>
    <row r="539" spans="1:10" hidden="1" x14ac:dyDescent="0.25">
      <c r="A539" s="40" t="str">
        <f>IFERROR(IF(Calc!E539&lt;=$C$4,Calc!D539,""),"")</f>
        <v/>
      </c>
      <c r="B539" s="40" t="str">
        <f>IFERROR(IF(Calc!E539&lt;=$C$4,CONCATENATE(TEXT(Calc!C539,"#0.000#")," || ",TEXT(INDEX(Calc!L539:P539,$B$4),"#0.000#")),""),"")</f>
        <v/>
      </c>
      <c r="C539" s="41" t="str">
        <f>IFERROR(IF(Calc!E539&lt;=$C$4,Calc!E539,""),"")</f>
        <v/>
      </c>
      <c r="D539" s="33" t="str">
        <f>IFERROR(IF(Calc!E539&lt;=$D$4,"Nice",""),"")</f>
        <v/>
      </c>
      <c r="E539" s="40" t="str">
        <f>IFERROR(IF(Calc!J539&lt;=$C$4,Calc!I539,""),"")</f>
        <v/>
      </c>
      <c r="F539" s="40" t="str">
        <f>IFERROR(IF(Calc!J539&lt;=$C$4,CONCATENATE(TEXT(Calc!H539,"#0.000#")," + ",TEXT(INDEX(Calc!L539:P539,$B$4),"#0.000#")),""),"")</f>
        <v/>
      </c>
      <c r="G539" s="41" t="str">
        <f>IFERROR(IF(Calc!J539&lt;=$C$4,Calc!J539,""),"")</f>
        <v/>
      </c>
      <c r="H539" s="33" t="str">
        <f>IFERROR(IF(Calc!J539&lt;=$D$4,"Nice",""),"")</f>
        <v/>
      </c>
      <c r="J539" s="7" t="str">
        <f>CONCATENATE("[",TEXT(Show!A539,"#.0#"),":",TEXT(Show!B539,"#.0#"),"][",TEXT(Show!E539,"#.0#"),":",TEXT(Show!F539,"#.0#"),"]")</f>
        <v>[:][:]</v>
      </c>
    </row>
    <row r="540" spans="1:10" hidden="1" x14ac:dyDescent="0.25">
      <c r="A540" s="40" t="str">
        <f>IFERROR(IF(Calc!E540&lt;=$C$4,Calc!D540,""),"")</f>
        <v/>
      </c>
      <c r="B540" s="40" t="str">
        <f>IFERROR(IF(Calc!E540&lt;=$C$4,CONCATENATE(TEXT(Calc!C540,"#0.000#")," || ",TEXT(INDEX(Calc!L540:P540,$B$4),"#0.000#")),""),"")</f>
        <v/>
      </c>
      <c r="C540" s="41" t="str">
        <f>IFERROR(IF(Calc!E540&lt;=$C$4,Calc!E540,""),"")</f>
        <v/>
      </c>
      <c r="D540" s="33" t="str">
        <f>IFERROR(IF(Calc!E540&lt;=$D$4,"Nice",""),"")</f>
        <v/>
      </c>
      <c r="E540" s="40" t="str">
        <f>IFERROR(IF(Calc!J540&lt;=$C$4,Calc!I540,""),"")</f>
        <v/>
      </c>
      <c r="F540" s="40" t="str">
        <f>IFERROR(IF(Calc!J540&lt;=$C$4,CONCATENATE(TEXT(Calc!H540,"#0.000#")," + ",TEXT(INDEX(Calc!L540:P540,$B$4),"#0.000#")),""),"")</f>
        <v/>
      </c>
      <c r="G540" s="41" t="str">
        <f>IFERROR(IF(Calc!J540&lt;=$C$4,Calc!J540,""),"")</f>
        <v/>
      </c>
      <c r="H540" s="33" t="str">
        <f>IFERROR(IF(Calc!J540&lt;=$D$4,"Nice",""),"")</f>
        <v/>
      </c>
      <c r="J540" s="7" t="str">
        <f>CONCATENATE("[",TEXT(Show!A540,"#.0#"),":",TEXT(Show!B540,"#.0#"),"][",TEXT(Show!E540,"#.0#"),":",TEXT(Show!F540,"#.0#"),"]")</f>
        <v>[:][:]</v>
      </c>
    </row>
    <row r="541" spans="1:10" hidden="1" x14ac:dyDescent="0.25">
      <c r="A541" s="40" t="str">
        <f>IFERROR(IF(Calc!E541&lt;=$C$4,Calc!D541,""),"")</f>
        <v/>
      </c>
      <c r="B541" s="40" t="str">
        <f>IFERROR(IF(Calc!E541&lt;=$C$4,CONCATENATE(TEXT(Calc!C541,"#0.000#")," || ",TEXT(INDEX(Calc!L541:P541,$B$4),"#0.000#")),""),"")</f>
        <v/>
      </c>
      <c r="C541" s="41" t="str">
        <f>IFERROR(IF(Calc!E541&lt;=$C$4,Calc!E541,""),"")</f>
        <v/>
      </c>
      <c r="D541" s="33" t="str">
        <f>IFERROR(IF(Calc!E541&lt;=$D$4,"Nice",""),"")</f>
        <v/>
      </c>
      <c r="E541" s="40" t="str">
        <f>IFERROR(IF(Calc!J541&lt;=$C$4,Calc!I541,""),"")</f>
        <v/>
      </c>
      <c r="F541" s="40" t="str">
        <f>IFERROR(IF(Calc!J541&lt;=$C$4,CONCATENATE(TEXT(Calc!H541,"#0.000#")," + ",TEXT(INDEX(Calc!L541:P541,$B$4),"#0.000#")),""),"")</f>
        <v/>
      </c>
      <c r="G541" s="41" t="str">
        <f>IFERROR(IF(Calc!J541&lt;=$C$4,Calc!J541,""),"")</f>
        <v/>
      </c>
      <c r="H541" s="33" t="str">
        <f>IFERROR(IF(Calc!J541&lt;=$D$4,"Nice",""),"")</f>
        <v/>
      </c>
      <c r="J541" s="7" t="str">
        <f>CONCATENATE("[",TEXT(Show!A541,"#.0#"),":",TEXT(Show!B541,"#.0#"),"][",TEXT(Show!E541,"#.0#"),":",TEXT(Show!F541,"#.0#"),"]")</f>
        <v>[:][:]</v>
      </c>
    </row>
    <row r="542" spans="1:10" hidden="1" x14ac:dyDescent="0.25">
      <c r="A542" s="40" t="str">
        <f>IFERROR(IF(Calc!E542&lt;=$C$4,Calc!D542,""),"")</f>
        <v/>
      </c>
      <c r="B542" s="40" t="str">
        <f>IFERROR(IF(Calc!E542&lt;=$C$4,CONCATENATE(TEXT(Calc!C542,"#0.000#")," || ",TEXT(INDEX(Calc!L542:P542,$B$4),"#0.000#")),""),"")</f>
        <v/>
      </c>
      <c r="C542" s="41" t="str">
        <f>IFERROR(IF(Calc!E542&lt;=$C$4,Calc!E542,""),"")</f>
        <v/>
      </c>
      <c r="D542" s="33" t="str">
        <f>IFERROR(IF(Calc!E542&lt;=$D$4,"Nice",""),"")</f>
        <v/>
      </c>
      <c r="E542" s="40" t="str">
        <f>IFERROR(IF(Calc!J542&lt;=$C$4,Calc!I542,""),"")</f>
        <v/>
      </c>
      <c r="F542" s="40" t="str">
        <f>IFERROR(IF(Calc!J542&lt;=$C$4,CONCATENATE(TEXT(Calc!H542,"#0.000#")," + ",TEXT(INDEX(Calc!L542:P542,$B$4),"#0.000#")),""),"")</f>
        <v/>
      </c>
      <c r="G542" s="41" t="str">
        <f>IFERROR(IF(Calc!J542&lt;=$C$4,Calc!J542,""),"")</f>
        <v/>
      </c>
      <c r="H542" s="33" t="str">
        <f>IFERROR(IF(Calc!J542&lt;=$D$4,"Nice",""),"")</f>
        <v/>
      </c>
      <c r="J542" s="7" t="str">
        <f>CONCATENATE("[",TEXT(Show!A542,"#.0#"),":",TEXT(Show!B542,"#.0#"),"][",TEXT(Show!E542,"#.0#"),":",TEXT(Show!F542,"#.0#"),"]")</f>
        <v>[:][:]</v>
      </c>
    </row>
    <row r="543" spans="1:10" hidden="1" x14ac:dyDescent="0.25">
      <c r="A543" s="40" t="str">
        <f>IFERROR(IF(Calc!E543&lt;=$C$4,Calc!D543,""),"")</f>
        <v/>
      </c>
      <c r="B543" s="40" t="str">
        <f>IFERROR(IF(Calc!E543&lt;=$C$4,CONCATENATE(TEXT(Calc!C543,"#0.000#")," || ",TEXT(INDEX(Calc!L543:P543,$B$4),"#0.000#")),""),"")</f>
        <v/>
      </c>
      <c r="C543" s="41" t="str">
        <f>IFERROR(IF(Calc!E543&lt;=$C$4,Calc!E543,""),"")</f>
        <v/>
      </c>
      <c r="D543" s="33" t="str">
        <f>IFERROR(IF(Calc!E543&lt;=$D$4,"Nice",""),"")</f>
        <v/>
      </c>
      <c r="E543" s="40" t="str">
        <f>IFERROR(IF(Calc!J543&lt;=$C$4,Calc!I543,""),"")</f>
        <v/>
      </c>
      <c r="F543" s="40" t="str">
        <f>IFERROR(IF(Calc!J543&lt;=$C$4,CONCATENATE(TEXT(Calc!H543,"#0.000#")," + ",TEXT(INDEX(Calc!L543:P543,$B$4),"#0.000#")),""),"")</f>
        <v/>
      </c>
      <c r="G543" s="41" t="str">
        <f>IFERROR(IF(Calc!J543&lt;=$C$4,Calc!J543,""),"")</f>
        <v/>
      </c>
      <c r="H543" s="33" t="str">
        <f>IFERROR(IF(Calc!J543&lt;=$D$4,"Nice",""),"")</f>
        <v/>
      </c>
      <c r="J543" s="7" t="str">
        <f>CONCATENATE("[",TEXT(Show!A543,"#.0#"),":",TEXT(Show!B543,"#.0#"),"][",TEXT(Show!E543,"#.0#"),":",TEXT(Show!F543,"#.0#"),"]")</f>
        <v>[:][:]</v>
      </c>
    </row>
    <row r="544" spans="1:10" hidden="1" x14ac:dyDescent="0.25">
      <c r="A544" s="40" t="str">
        <f>IFERROR(IF(Calc!E544&lt;=$C$4,Calc!D544,""),"")</f>
        <v/>
      </c>
      <c r="B544" s="40" t="str">
        <f>IFERROR(IF(Calc!E544&lt;=$C$4,CONCATENATE(TEXT(Calc!C544,"#0.000#")," || ",TEXT(INDEX(Calc!L544:P544,$B$4),"#0.000#")),""),"")</f>
        <v/>
      </c>
      <c r="C544" s="41" t="str">
        <f>IFERROR(IF(Calc!E544&lt;=$C$4,Calc!E544,""),"")</f>
        <v/>
      </c>
      <c r="D544" s="33" t="str">
        <f>IFERROR(IF(Calc!E544&lt;=$D$4,"Nice",""),"")</f>
        <v/>
      </c>
      <c r="E544" s="40" t="str">
        <f>IFERROR(IF(Calc!J544&lt;=$C$4,Calc!I544,""),"")</f>
        <v/>
      </c>
      <c r="F544" s="40" t="str">
        <f>IFERROR(IF(Calc!J544&lt;=$C$4,CONCATENATE(TEXT(Calc!H544,"#0.000#")," + ",TEXT(INDEX(Calc!L544:P544,$B$4),"#0.000#")),""),"")</f>
        <v/>
      </c>
      <c r="G544" s="41" t="str">
        <f>IFERROR(IF(Calc!J544&lt;=$C$4,Calc!J544,""),"")</f>
        <v/>
      </c>
      <c r="H544" s="33" t="str">
        <f>IFERROR(IF(Calc!J544&lt;=$D$4,"Nice",""),"")</f>
        <v/>
      </c>
      <c r="J544" s="7" t="str">
        <f>CONCATENATE("[",TEXT(Show!A544,"#.0#"),":",TEXT(Show!B544,"#.0#"),"][",TEXT(Show!E544,"#.0#"),":",TEXT(Show!F544,"#.0#"),"]")</f>
        <v>[:][:]</v>
      </c>
    </row>
    <row r="545" spans="1:10" hidden="1" x14ac:dyDescent="0.25">
      <c r="A545" s="40" t="str">
        <f>IFERROR(IF(Calc!E545&lt;=$C$4,Calc!D545,""),"")</f>
        <v/>
      </c>
      <c r="B545" s="40" t="str">
        <f>IFERROR(IF(Calc!E545&lt;=$C$4,CONCATENATE(TEXT(Calc!C545,"#0.000#")," || ",TEXT(INDEX(Calc!L545:P545,$B$4),"#0.000#")),""),"")</f>
        <v/>
      </c>
      <c r="C545" s="41" t="str">
        <f>IFERROR(IF(Calc!E545&lt;=$C$4,Calc!E545,""),"")</f>
        <v/>
      </c>
      <c r="D545" s="33" t="str">
        <f>IFERROR(IF(Calc!E545&lt;=$D$4,"Nice",""),"")</f>
        <v/>
      </c>
      <c r="E545" s="40" t="str">
        <f>IFERROR(IF(Calc!J545&lt;=$C$4,Calc!I545,""),"")</f>
        <v/>
      </c>
      <c r="F545" s="40" t="str">
        <f>IFERROR(IF(Calc!J545&lt;=$C$4,CONCATENATE(TEXT(Calc!H545,"#0.000#")," + ",TEXT(INDEX(Calc!L545:P545,$B$4),"#0.000#")),""),"")</f>
        <v/>
      </c>
      <c r="G545" s="41" t="str">
        <f>IFERROR(IF(Calc!J545&lt;=$C$4,Calc!J545,""),"")</f>
        <v/>
      </c>
      <c r="H545" s="33" t="str">
        <f>IFERROR(IF(Calc!J545&lt;=$D$4,"Nice",""),"")</f>
        <v/>
      </c>
      <c r="J545" s="7" t="str">
        <f>CONCATENATE("[",TEXT(Show!A545,"#.0#"),":",TEXT(Show!B545,"#.0#"),"][",TEXT(Show!E545,"#.0#"),":",TEXT(Show!F545,"#.0#"),"]")</f>
        <v>[:][:]</v>
      </c>
    </row>
    <row r="546" spans="1:10" hidden="1" x14ac:dyDescent="0.25">
      <c r="A546" s="40" t="str">
        <f>IFERROR(IF(Calc!E546&lt;=$C$4,Calc!D546,""),"")</f>
        <v/>
      </c>
      <c r="B546" s="40" t="str">
        <f>IFERROR(IF(Calc!E546&lt;=$C$4,CONCATENATE(TEXT(Calc!C546,"#0.000#")," || ",TEXT(INDEX(Calc!L546:P546,$B$4),"#0.000#")),""),"")</f>
        <v/>
      </c>
      <c r="C546" s="41" t="str">
        <f>IFERROR(IF(Calc!E546&lt;=$C$4,Calc!E546,""),"")</f>
        <v/>
      </c>
      <c r="D546" s="33" t="str">
        <f>IFERROR(IF(Calc!E546&lt;=$D$4,"Nice",""),"")</f>
        <v/>
      </c>
      <c r="E546" s="40" t="str">
        <f>IFERROR(IF(Calc!J546&lt;=$C$4,Calc!I546,""),"")</f>
        <v/>
      </c>
      <c r="F546" s="40" t="str">
        <f>IFERROR(IF(Calc!J546&lt;=$C$4,CONCATENATE(TEXT(Calc!H546,"#0.000#")," + ",TEXT(INDEX(Calc!L546:P546,$B$4),"#0.000#")),""),"")</f>
        <v/>
      </c>
      <c r="G546" s="41" t="str">
        <f>IFERROR(IF(Calc!J546&lt;=$C$4,Calc!J546,""),"")</f>
        <v/>
      </c>
      <c r="H546" s="33" t="str">
        <f>IFERROR(IF(Calc!J546&lt;=$D$4,"Nice",""),"")</f>
        <v/>
      </c>
      <c r="J546" s="7" t="str">
        <f>CONCATENATE("[",TEXT(Show!A546,"#.0#"),":",TEXT(Show!B546,"#.0#"),"][",TEXT(Show!E546,"#.0#"),":",TEXT(Show!F546,"#.0#"),"]")</f>
        <v>[:][:]</v>
      </c>
    </row>
    <row r="547" spans="1:10" hidden="1" x14ac:dyDescent="0.25">
      <c r="A547" s="40" t="str">
        <f>IFERROR(IF(Calc!E547&lt;=$C$4,Calc!D547,""),"")</f>
        <v/>
      </c>
      <c r="B547" s="40" t="str">
        <f>IFERROR(IF(Calc!E547&lt;=$C$4,CONCATENATE(TEXT(Calc!C547,"#0.000#")," || ",TEXT(INDEX(Calc!L547:P547,$B$4),"#0.000#")),""),"")</f>
        <v/>
      </c>
      <c r="C547" s="41" t="str">
        <f>IFERROR(IF(Calc!E547&lt;=$C$4,Calc!E547,""),"")</f>
        <v/>
      </c>
      <c r="D547" s="33" t="str">
        <f>IFERROR(IF(Calc!E547&lt;=$D$4,"Nice",""),"")</f>
        <v/>
      </c>
      <c r="E547" s="40" t="str">
        <f>IFERROR(IF(Calc!J547&lt;=$C$4,Calc!I547,""),"")</f>
        <v/>
      </c>
      <c r="F547" s="40" t="str">
        <f>IFERROR(IF(Calc!J547&lt;=$C$4,CONCATENATE(TEXT(Calc!H547,"#0.000#")," + ",TEXT(INDEX(Calc!L547:P547,$B$4),"#0.000#")),""),"")</f>
        <v/>
      </c>
      <c r="G547" s="41" t="str">
        <f>IFERROR(IF(Calc!J547&lt;=$C$4,Calc!J547,""),"")</f>
        <v/>
      </c>
      <c r="H547" s="33" t="str">
        <f>IFERROR(IF(Calc!J547&lt;=$D$4,"Nice",""),"")</f>
        <v/>
      </c>
      <c r="J547" s="7" t="str">
        <f>CONCATENATE("[",TEXT(Show!A547,"#.0#"),":",TEXT(Show!B547,"#.0#"),"][",TEXT(Show!E547,"#.0#"),":",TEXT(Show!F547,"#.0#"),"]")</f>
        <v>[:][:]</v>
      </c>
    </row>
    <row r="548" spans="1:10" hidden="1" x14ac:dyDescent="0.25">
      <c r="A548" s="40" t="str">
        <f>IFERROR(IF(Calc!E548&lt;=$C$4,Calc!D548,""),"")</f>
        <v/>
      </c>
      <c r="B548" s="40" t="str">
        <f>IFERROR(IF(Calc!E548&lt;=$C$4,CONCATENATE(TEXT(Calc!C548,"#0.000#")," || ",TEXT(INDEX(Calc!L548:P548,$B$4),"#0.000#")),""),"")</f>
        <v/>
      </c>
      <c r="C548" s="41" t="str">
        <f>IFERROR(IF(Calc!E548&lt;=$C$4,Calc!E548,""),"")</f>
        <v/>
      </c>
      <c r="D548" s="33" t="str">
        <f>IFERROR(IF(Calc!E548&lt;=$D$4,"Nice",""),"")</f>
        <v/>
      </c>
      <c r="E548" s="40" t="str">
        <f>IFERROR(IF(Calc!J548&lt;=$C$4,Calc!I548,""),"")</f>
        <v/>
      </c>
      <c r="F548" s="40" t="str">
        <f>IFERROR(IF(Calc!J548&lt;=$C$4,CONCATENATE(TEXT(Calc!H548,"#0.000#")," + ",TEXT(INDEX(Calc!L548:P548,$B$4),"#0.000#")),""),"")</f>
        <v/>
      </c>
      <c r="G548" s="41" t="str">
        <f>IFERROR(IF(Calc!J548&lt;=$C$4,Calc!J548,""),"")</f>
        <v/>
      </c>
      <c r="H548" s="33" t="str">
        <f>IFERROR(IF(Calc!J548&lt;=$D$4,"Nice",""),"")</f>
        <v/>
      </c>
      <c r="J548" s="7" t="str">
        <f>CONCATENATE("[",TEXT(Show!A548,"#.0#"),":",TEXT(Show!B548,"#.0#"),"][",TEXT(Show!E548,"#.0#"),":",TEXT(Show!F548,"#.0#"),"]")</f>
        <v>[:][:]</v>
      </c>
    </row>
    <row r="549" spans="1:10" hidden="1" x14ac:dyDescent="0.25">
      <c r="A549" s="40" t="str">
        <f>IFERROR(IF(Calc!E549&lt;=$C$4,Calc!D549,""),"")</f>
        <v/>
      </c>
      <c r="B549" s="40" t="str">
        <f>IFERROR(IF(Calc!E549&lt;=$C$4,CONCATENATE(TEXT(Calc!C549,"#0.000#")," || ",TEXT(INDEX(Calc!L549:P549,$B$4),"#0.000#")),""),"")</f>
        <v/>
      </c>
      <c r="C549" s="41" t="str">
        <f>IFERROR(IF(Calc!E549&lt;=$C$4,Calc!E549,""),"")</f>
        <v/>
      </c>
      <c r="D549" s="33" t="str">
        <f>IFERROR(IF(Calc!E549&lt;=$D$4,"Nice",""),"")</f>
        <v/>
      </c>
      <c r="E549" s="40" t="str">
        <f>IFERROR(IF(Calc!J549&lt;=$C$4,Calc!I549,""),"")</f>
        <v/>
      </c>
      <c r="F549" s="40" t="str">
        <f>IFERROR(IF(Calc!J549&lt;=$C$4,CONCATENATE(TEXT(Calc!H549,"#0.000#")," + ",TEXT(INDEX(Calc!L549:P549,$B$4),"#0.000#")),""),"")</f>
        <v/>
      </c>
      <c r="G549" s="41" t="str">
        <f>IFERROR(IF(Calc!J549&lt;=$C$4,Calc!J549,""),"")</f>
        <v/>
      </c>
      <c r="H549" s="33" t="str">
        <f>IFERROR(IF(Calc!J549&lt;=$D$4,"Nice",""),"")</f>
        <v/>
      </c>
      <c r="J549" s="7" t="str">
        <f>CONCATENATE("[",TEXT(Show!A549,"#.0#"),":",TEXT(Show!B549,"#.0#"),"][",TEXT(Show!E549,"#.0#"),":",TEXT(Show!F549,"#.0#"),"]")</f>
        <v>[:][:]</v>
      </c>
    </row>
    <row r="550" spans="1:10" hidden="1" x14ac:dyDescent="0.25">
      <c r="A550" s="40" t="str">
        <f>IFERROR(IF(Calc!E550&lt;=$C$4,Calc!D550,""),"")</f>
        <v/>
      </c>
      <c r="B550" s="40" t="str">
        <f>IFERROR(IF(Calc!E550&lt;=$C$4,CONCATENATE(TEXT(Calc!C550,"#0.000#")," || ",TEXT(INDEX(Calc!L550:P550,$B$4),"#0.000#")),""),"")</f>
        <v/>
      </c>
      <c r="C550" s="41" t="str">
        <f>IFERROR(IF(Calc!E550&lt;=$C$4,Calc!E550,""),"")</f>
        <v/>
      </c>
      <c r="D550" s="33" t="str">
        <f>IFERROR(IF(Calc!E550&lt;=$D$4,"Nice",""),"")</f>
        <v/>
      </c>
      <c r="E550" s="40" t="str">
        <f>IFERROR(IF(Calc!J550&lt;=$C$4,Calc!I550,""),"")</f>
        <v/>
      </c>
      <c r="F550" s="40" t="str">
        <f>IFERROR(IF(Calc!J550&lt;=$C$4,CONCATENATE(TEXT(Calc!H550,"#0.000#")," + ",TEXT(INDEX(Calc!L550:P550,$B$4),"#0.000#")),""),"")</f>
        <v/>
      </c>
      <c r="G550" s="41" t="str">
        <f>IFERROR(IF(Calc!J550&lt;=$C$4,Calc!J550,""),"")</f>
        <v/>
      </c>
      <c r="H550" s="33" t="str">
        <f>IFERROR(IF(Calc!J550&lt;=$D$4,"Nice",""),"")</f>
        <v/>
      </c>
      <c r="J550" s="7" t="str">
        <f>CONCATENATE("[",TEXT(Show!A550,"#.0#"),":",TEXT(Show!B550,"#.0#"),"][",TEXT(Show!E550,"#.0#"),":",TEXT(Show!F550,"#.0#"),"]")</f>
        <v>[:][:]</v>
      </c>
    </row>
    <row r="551" spans="1:10" hidden="1" x14ac:dyDescent="0.25">
      <c r="A551" s="40" t="str">
        <f>IFERROR(IF(Calc!E551&lt;=$C$4,Calc!D551,""),"")</f>
        <v/>
      </c>
      <c r="B551" s="40" t="str">
        <f>IFERROR(IF(Calc!E551&lt;=$C$4,CONCATENATE(TEXT(Calc!C551,"#0.000#")," || ",TEXT(INDEX(Calc!L551:P551,$B$4),"#0.000#")),""),"")</f>
        <v/>
      </c>
      <c r="C551" s="41" t="str">
        <f>IFERROR(IF(Calc!E551&lt;=$C$4,Calc!E551,""),"")</f>
        <v/>
      </c>
      <c r="D551" s="33" t="str">
        <f>IFERROR(IF(Calc!E551&lt;=$D$4,"Nice",""),"")</f>
        <v/>
      </c>
      <c r="E551" s="40" t="str">
        <f>IFERROR(IF(Calc!J551&lt;=$C$4,Calc!I551,""),"")</f>
        <v/>
      </c>
      <c r="F551" s="40" t="str">
        <f>IFERROR(IF(Calc!J551&lt;=$C$4,CONCATENATE(TEXT(Calc!H551,"#0.000#")," + ",TEXT(INDEX(Calc!L551:P551,$B$4),"#0.000#")),""),"")</f>
        <v/>
      </c>
      <c r="G551" s="41" t="str">
        <f>IFERROR(IF(Calc!J551&lt;=$C$4,Calc!J551,""),"")</f>
        <v/>
      </c>
      <c r="H551" s="33" t="str">
        <f>IFERROR(IF(Calc!J551&lt;=$D$4,"Nice",""),"")</f>
        <v/>
      </c>
      <c r="J551" s="7" t="str">
        <f>CONCATENATE("[",TEXT(Show!A551,"#.0#"),":",TEXT(Show!B551,"#.0#"),"][",TEXT(Show!E551,"#.0#"),":",TEXT(Show!F551,"#.0#"),"]")</f>
        <v>[:][:]</v>
      </c>
    </row>
    <row r="552" spans="1:10" hidden="1" x14ac:dyDescent="0.25">
      <c r="A552" s="40" t="str">
        <f>IFERROR(IF(Calc!E552&lt;=$C$4,Calc!D552,""),"")</f>
        <v/>
      </c>
      <c r="B552" s="40" t="str">
        <f>IFERROR(IF(Calc!E552&lt;=$C$4,CONCATENATE(TEXT(Calc!C552,"#0.000#")," || ",TEXT(INDEX(Calc!L552:P552,$B$4),"#0.000#")),""),"")</f>
        <v/>
      </c>
      <c r="C552" s="41" t="str">
        <f>IFERROR(IF(Calc!E552&lt;=$C$4,Calc!E552,""),"")</f>
        <v/>
      </c>
      <c r="D552" s="33" t="str">
        <f>IFERROR(IF(Calc!E552&lt;=$D$4,"Nice",""),"")</f>
        <v/>
      </c>
      <c r="E552" s="40" t="str">
        <f>IFERROR(IF(Calc!J552&lt;=$C$4,Calc!I552,""),"")</f>
        <v/>
      </c>
      <c r="F552" s="40" t="str">
        <f>IFERROR(IF(Calc!J552&lt;=$C$4,CONCATENATE(TEXT(Calc!H552,"#0.000#")," + ",TEXT(INDEX(Calc!L552:P552,$B$4),"#0.000#")),""),"")</f>
        <v/>
      </c>
      <c r="G552" s="41" t="str">
        <f>IFERROR(IF(Calc!J552&lt;=$C$4,Calc!J552,""),"")</f>
        <v/>
      </c>
      <c r="H552" s="33" t="str">
        <f>IFERROR(IF(Calc!J552&lt;=$D$4,"Nice",""),"")</f>
        <v/>
      </c>
      <c r="J552" s="7" t="str">
        <f>CONCATENATE("[",TEXT(Show!A552,"#.0#"),":",TEXT(Show!B552,"#.0#"),"][",TEXT(Show!E552,"#.0#"),":",TEXT(Show!F552,"#.0#"),"]")</f>
        <v>[:][:]</v>
      </c>
    </row>
    <row r="553" spans="1:10" hidden="1" x14ac:dyDescent="0.25">
      <c r="A553" s="40" t="str">
        <f>IFERROR(IF(Calc!E553&lt;=$C$4,Calc!D553,""),"")</f>
        <v/>
      </c>
      <c r="B553" s="40" t="str">
        <f>IFERROR(IF(Calc!E553&lt;=$C$4,CONCATENATE(TEXT(Calc!C553,"#0.000#")," || ",TEXT(INDEX(Calc!L553:P553,$B$4),"#0.000#")),""),"")</f>
        <v/>
      </c>
      <c r="C553" s="41" t="str">
        <f>IFERROR(IF(Calc!E553&lt;=$C$4,Calc!E553,""),"")</f>
        <v/>
      </c>
      <c r="D553" s="33" t="str">
        <f>IFERROR(IF(Calc!E553&lt;=$D$4,"Nice",""),"")</f>
        <v/>
      </c>
      <c r="E553" s="40" t="str">
        <f>IFERROR(IF(Calc!J553&lt;=$C$4,Calc!I553,""),"")</f>
        <v/>
      </c>
      <c r="F553" s="40" t="str">
        <f>IFERROR(IF(Calc!J553&lt;=$C$4,CONCATENATE(TEXT(Calc!H553,"#0.000#")," + ",TEXT(INDEX(Calc!L553:P553,$B$4),"#0.000#")),""),"")</f>
        <v/>
      </c>
      <c r="G553" s="41" t="str">
        <f>IFERROR(IF(Calc!J553&lt;=$C$4,Calc!J553,""),"")</f>
        <v/>
      </c>
      <c r="H553" s="33" t="str">
        <f>IFERROR(IF(Calc!J553&lt;=$D$4,"Nice",""),"")</f>
        <v/>
      </c>
      <c r="J553" s="7" t="str">
        <f>CONCATENATE("[",TEXT(Show!A553,"#.0#"),":",TEXT(Show!B553,"#.0#"),"][",TEXT(Show!E553,"#.0#"),":",TEXT(Show!F553,"#.0#"),"]")</f>
        <v>[:][:]</v>
      </c>
    </row>
    <row r="554" spans="1:10" hidden="1" x14ac:dyDescent="0.25">
      <c r="A554" s="40" t="str">
        <f>IFERROR(IF(Calc!E554&lt;=$C$4,Calc!D554,""),"")</f>
        <v/>
      </c>
      <c r="B554" s="40" t="str">
        <f>IFERROR(IF(Calc!E554&lt;=$C$4,CONCATENATE(TEXT(Calc!C554,"#0.000#")," || ",TEXT(INDEX(Calc!L554:P554,$B$4),"#0.000#")),""),"")</f>
        <v/>
      </c>
      <c r="C554" s="41" t="str">
        <f>IFERROR(IF(Calc!E554&lt;=$C$4,Calc!E554,""),"")</f>
        <v/>
      </c>
      <c r="D554" s="33" t="str">
        <f>IFERROR(IF(Calc!E554&lt;=$D$4,"Nice",""),"")</f>
        <v/>
      </c>
      <c r="E554" s="40" t="str">
        <f>IFERROR(IF(Calc!J554&lt;=$C$4,Calc!I554,""),"")</f>
        <v/>
      </c>
      <c r="F554" s="40" t="str">
        <f>IFERROR(IF(Calc!J554&lt;=$C$4,CONCATENATE(TEXT(Calc!H554,"#0.000#")," + ",TEXT(INDEX(Calc!L554:P554,$B$4),"#0.000#")),""),"")</f>
        <v/>
      </c>
      <c r="G554" s="41" t="str">
        <f>IFERROR(IF(Calc!J554&lt;=$C$4,Calc!J554,""),"")</f>
        <v/>
      </c>
      <c r="H554" s="33" t="str">
        <f>IFERROR(IF(Calc!J554&lt;=$D$4,"Nice",""),"")</f>
        <v/>
      </c>
      <c r="J554" s="7" t="str">
        <f>CONCATENATE("[",TEXT(Show!A554,"#.0#"),":",TEXT(Show!B554,"#.0#"),"][",TEXT(Show!E554,"#.0#"),":",TEXT(Show!F554,"#.0#"),"]")</f>
        <v>[:][:]</v>
      </c>
    </row>
    <row r="555" spans="1:10" hidden="1" x14ac:dyDescent="0.25">
      <c r="A555" s="40" t="str">
        <f>IFERROR(IF(Calc!E555&lt;=$C$4,Calc!D555,""),"")</f>
        <v/>
      </c>
      <c r="B555" s="40" t="str">
        <f>IFERROR(IF(Calc!E555&lt;=$C$4,CONCATENATE(TEXT(Calc!C555,"#0.000#")," || ",TEXT(INDEX(Calc!L555:P555,$B$4),"#0.000#")),""),"")</f>
        <v/>
      </c>
      <c r="C555" s="41" t="str">
        <f>IFERROR(IF(Calc!E555&lt;=$C$4,Calc!E555,""),"")</f>
        <v/>
      </c>
      <c r="D555" s="33" t="str">
        <f>IFERROR(IF(Calc!E555&lt;=$D$4,"Nice",""),"")</f>
        <v/>
      </c>
      <c r="E555" s="40" t="str">
        <f>IFERROR(IF(Calc!J555&lt;=$C$4,Calc!I555,""),"")</f>
        <v/>
      </c>
      <c r="F555" s="40" t="str">
        <f>IFERROR(IF(Calc!J555&lt;=$C$4,CONCATENATE(TEXT(Calc!H555,"#0.000#")," + ",TEXT(INDEX(Calc!L555:P555,$B$4),"#0.000#")),""),"")</f>
        <v/>
      </c>
      <c r="G555" s="41" t="str">
        <f>IFERROR(IF(Calc!J555&lt;=$C$4,Calc!J555,""),"")</f>
        <v/>
      </c>
      <c r="H555" s="33" t="str">
        <f>IFERROR(IF(Calc!J555&lt;=$D$4,"Nice",""),"")</f>
        <v/>
      </c>
      <c r="J555" s="7" t="str">
        <f>CONCATENATE("[",TEXT(Show!A555,"#.0#"),":",TEXT(Show!B555,"#.0#"),"][",TEXT(Show!E555,"#.0#"),":",TEXT(Show!F555,"#.0#"),"]")</f>
        <v>[:][:]</v>
      </c>
    </row>
    <row r="556" spans="1:10" hidden="1" x14ac:dyDescent="0.25">
      <c r="A556" s="40" t="str">
        <f>IFERROR(IF(Calc!E556&lt;=$C$4,Calc!D556,""),"")</f>
        <v/>
      </c>
      <c r="B556" s="40" t="str">
        <f>IFERROR(IF(Calc!E556&lt;=$C$4,CONCATENATE(TEXT(Calc!C556,"#0.000#")," || ",TEXT(INDEX(Calc!L556:P556,$B$4),"#0.000#")),""),"")</f>
        <v/>
      </c>
      <c r="C556" s="41" t="str">
        <f>IFERROR(IF(Calc!E556&lt;=$C$4,Calc!E556,""),"")</f>
        <v/>
      </c>
      <c r="D556" s="33" t="str">
        <f>IFERROR(IF(Calc!E556&lt;=$D$4,"Nice",""),"")</f>
        <v/>
      </c>
      <c r="E556" s="40" t="str">
        <f>IFERROR(IF(Calc!J556&lt;=$C$4,Calc!I556,""),"")</f>
        <v/>
      </c>
      <c r="F556" s="40" t="str">
        <f>IFERROR(IF(Calc!J556&lt;=$C$4,CONCATENATE(TEXT(Calc!H556,"#0.000#")," + ",TEXT(INDEX(Calc!L556:P556,$B$4),"#0.000#")),""),"")</f>
        <v/>
      </c>
      <c r="G556" s="41" t="str">
        <f>IFERROR(IF(Calc!J556&lt;=$C$4,Calc!J556,""),"")</f>
        <v/>
      </c>
      <c r="H556" s="33" t="str">
        <f>IFERROR(IF(Calc!J556&lt;=$D$4,"Nice",""),"")</f>
        <v/>
      </c>
      <c r="J556" s="7" t="str">
        <f>CONCATENATE("[",TEXT(Show!A556,"#.0#"),":",TEXT(Show!B556,"#.0#"),"][",TEXT(Show!E556,"#.0#"),":",TEXT(Show!F556,"#.0#"),"]")</f>
        <v>[:][:]</v>
      </c>
    </row>
    <row r="557" spans="1:10" hidden="1" x14ac:dyDescent="0.25">
      <c r="A557" s="40" t="str">
        <f>IFERROR(IF(Calc!E557&lt;=$C$4,Calc!D557,""),"")</f>
        <v/>
      </c>
      <c r="B557" s="40" t="str">
        <f>IFERROR(IF(Calc!E557&lt;=$C$4,CONCATENATE(TEXT(Calc!C557,"#0.000#")," || ",TEXT(INDEX(Calc!L557:P557,$B$4),"#0.000#")),""),"")</f>
        <v/>
      </c>
      <c r="C557" s="41" t="str">
        <f>IFERROR(IF(Calc!E557&lt;=$C$4,Calc!E557,""),"")</f>
        <v/>
      </c>
      <c r="D557" s="33" t="str">
        <f>IFERROR(IF(Calc!E557&lt;=$D$4,"Nice",""),"")</f>
        <v/>
      </c>
      <c r="E557" s="40" t="str">
        <f>IFERROR(IF(Calc!J557&lt;=$C$4,Calc!I557,""),"")</f>
        <v/>
      </c>
      <c r="F557" s="40" t="str">
        <f>IFERROR(IF(Calc!J557&lt;=$C$4,CONCATENATE(TEXT(Calc!H557,"#0.000#")," + ",TEXT(INDEX(Calc!L557:P557,$B$4),"#0.000#")),""),"")</f>
        <v/>
      </c>
      <c r="G557" s="41" t="str">
        <f>IFERROR(IF(Calc!J557&lt;=$C$4,Calc!J557,""),"")</f>
        <v/>
      </c>
      <c r="H557" s="33" t="str">
        <f>IFERROR(IF(Calc!J557&lt;=$D$4,"Nice",""),"")</f>
        <v/>
      </c>
      <c r="J557" s="7" t="str">
        <f>CONCATENATE("[",TEXT(Show!A557,"#.0#"),":",TEXT(Show!B557,"#.0#"),"][",TEXT(Show!E557,"#.0#"),":",TEXT(Show!F557,"#.0#"),"]")</f>
        <v>[:][:]</v>
      </c>
    </row>
    <row r="558" spans="1:10" hidden="1" x14ac:dyDescent="0.25">
      <c r="A558" s="40" t="str">
        <f>IFERROR(IF(Calc!E558&lt;=$C$4,Calc!D558,""),"")</f>
        <v/>
      </c>
      <c r="B558" s="40" t="str">
        <f>IFERROR(IF(Calc!E558&lt;=$C$4,CONCATENATE(TEXT(Calc!C558,"#0.000#")," || ",TEXT(INDEX(Calc!L558:P558,$B$4),"#0.000#")),""),"")</f>
        <v/>
      </c>
      <c r="C558" s="41" t="str">
        <f>IFERROR(IF(Calc!E558&lt;=$C$4,Calc!E558,""),"")</f>
        <v/>
      </c>
      <c r="D558" s="33" t="str">
        <f>IFERROR(IF(Calc!E558&lt;=$D$4,"Nice",""),"")</f>
        <v/>
      </c>
      <c r="E558" s="40" t="str">
        <f>IFERROR(IF(Calc!J558&lt;=$C$4,Calc!I558,""),"")</f>
        <v/>
      </c>
      <c r="F558" s="40" t="str">
        <f>IFERROR(IF(Calc!J558&lt;=$C$4,CONCATENATE(TEXT(Calc!H558,"#0.000#")," + ",TEXT(INDEX(Calc!L558:P558,$B$4),"#0.000#")),""),"")</f>
        <v/>
      </c>
      <c r="G558" s="41" t="str">
        <f>IFERROR(IF(Calc!J558&lt;=$C$4,Calc!J558,""),"")</f>
        <v/>
      </c>
      <c r="H558" s="33" t="str">
        <f>IFERROR(IF(Calc!J558&lt;=$D$4,"Nice",""),"")</f>
        <v/>
      </c>
      <c r="J558" s="7" t="str">
        <f>CONCATENATE("[",TEXT(Show!A558,"#.0#"),":",TEXT(Show!B558,"#.0#"),"][",TEXT(Show!E558,"#.0#"),":",TEXT(Show!F558,"#.0#"),"]")</f>
        <v>[:][:]</v>
      </c>
    </row>
    <row r="559" spans="1:10" hidden="1" x14ac:dyDescent="0.25">
      <c r="A559" s="40" t="str">
        <f>IFERROR(IF(Calc!E559&lt;=$C$4,Calc!D559,""),"")</f>
        <v/>
      </c>
      <c r="B559" s="40" t="str">
        <f>IFERROR(IF(Calc!E559&lt;=$C$4,CONCATENATE(TEXT(Calc!C559,"#0.000#")," || ",TEXT(INDEX(Calc!L559:P559,$B$4),"#0.000#")),""),"")</f>
        <v/>
      </c>
      <c r="C559" s="41" t="str">
        <f>IFERROR(IF(Calc!E559&lt;=$C$4,Calc!E559,""),"")</f>
        <v/>
      </c>
      <c r="D559" s="33" t="str">
        <f>IFERROR(IF(Calc!E559&lt;=$D$4,"Nice",""),"")</f>
        <v/>
      </c>
      <c r="E559" s="40" t="str">
        <f>IFERROR(IF(Calc!J559&lt;=$C$4,Calc!I559,""),"")</f>
        <v/>
      </c>
      <c r="F559" s="40" t="str">
        <f>IFERROR(IF(Calc!J559&lt;=$C$4,CONCATENATE(TEXT(Calc!H559,"#0.000#")," + ",TEXT(INDEX(Calc!L559:P559,$B$4),"#0.000#")),""),"")</f>
        <v/>
      </c>
      <c r="G559" s="41" t="str">
        <f>IFERROR(IF(Calc!J559&lt;=$C$4,Calc!J559,""),"")</f>
        <v/>
      </c>
      <c r="H559" s="33" t="str">
        <f>IFERROR(IF(Calc!J559&lt;=$D$4,"Nice",""),"")</f>
        <v/>
      </c>
      <c r="J559" s="7" t="str">
        <f>CONCATENATE("[",TEXT(Show!A559,"#.0#"),":",TEXT(Show!B559,"#.0#"),"][",TEXT(Show!E559,"#.0#"),":",TEXT(Show!F559,"#.0#"),"]")</f>
        <v>[:][:]</v>
      </c>
    </row>
    <row r="560" spans="1:10" hidden="1" x14ac:dyDescent="0.25">
      <c r="A560" s="40" t="str">
        <f>IFERROR(IF(Calc!E560&lt;=$C$4,Calc!D560,""),"")</f>
        <v/>
      </c>
      <c r="B560" s="40" t="str">
        <f>IFERROR(IF(Calc!E560&lt;=$C$4,CONCATENATE(TEXT(Calc!C560,"#0.000#")," || ",TEXT(INDEX(Calc!L560:P560,$B$4),"#0.000#")),""),"")</f>
        <v/>
      </c>
      <c r="C560" s="41" t="str">
        <f>IFERROR(IF(Calc!E560&lt;=$C$4,Calc!E560,""),"")</f>
        <v/>
      </c>
      <c r="D560" s="33" t="str">
        <f>IFERROR(IF(Calc!E560&lt;=$D$4,"Nice",""),"")</f>
        <v/>
      </c>
      <c r="E560" s="40" t="str">
        <f>IFERROR(IF(Calc!J560&lt;=$C$4,Calc!I560,""),"")</f>
        <v/>
      </c>
      <c r="F560" s="40" t="str">
        <f>IFERROR(IF(Calc!J560&lt;=$C$4,CONCATENATE(TEXT(Calc!H560,"#0.000#")," + ",TEXT(INDEX(Calc!L560:P560,$B$4),"#0.000#")),""),"")</f>
        <v/>
      </c>
      <c r="G560" s="41" t="str">
        <f>IFERROR(IF(Calc!J560&lt;=$C$4,Calc!J560,""),"")</f>
        <v/>
      </c>
      <c r="H560" s="33" t="str">
        <f>IFERROR(IF(Calc!J560&lt;=$D$4,"Nice",""),"")</f>
        <v/>
      </c>
      <c r="J560" s="7" t="str">
        <f>CONCATENATE("[",TEXT(Show!A560,"#.0#"),":",TEXT(Show!B560,"#.0#"),"][",TEXT(Show!E560,"#.0#"),":",TEXT(Show!F560,"#.0#"),"]")</f>
        <v>[:][:]</v>
      </c>
    </row>
    <row r="561" spans="1:10" hidden="1" x14ac:dyDescent="0.25">
      <c r="A561" s="40" t="str">
        <f>IFERROR(IF(Calc!E561&lt;=$C$4,Calc!D561,""),"")</f>
        <v/>
      </c>
      <c r="B561" s="40" t="str">
        <f>IFERROR(IF(Calc!E561&lt;=$C$4,CONCATENATE(TEXT(Calc!C561,"#0.000#")," || ",TEXT(INDEX(Calc!L561:P561,$B$4),"#0.000#")),""),"")</f>
        <v/>
      </c>
      <c r="C561" s="41" t="str">
        <f>IFERROR(IF(Calc!E561&lt;=$C$4,Calc!E561,""),"")</f>
        <v/>
      </c>
      <c r="D561" s="33" t="str">
        <f>IFERROR(IF(Calc!E561&lt;=$D$4,"Nice",""),"")</f>
        <v/>
      </c>
      <c r="E561" s="40" t="str">
        <f>IFERROR(IF(Calc!J561&lt;=$C$4,Calc!I561,""),"")</f>
        <v/>
      </c>
      <c r="F561" s="40" t="str">
        <f>IFERROR(IF(Calc!J561&lt;=$C$4,CONCATENATE(TEXT(Calc!H561,"#0.000#")," + ",TEXT(INDEX(Calc!L561:P561,$B$4),"#0.000#")),""),"")</f>
        <v/>
      </c>
      <c r="G561" s="41" t="str">
        <f>IFERROR(IF(Calc!J561&lt;=$C$4,Calc!J561,""),"")</f>
        <v/>
      </c>
      <c r="H561" s="33" t="str">
        <f>IFERROR(IF(Calc!J561&lt;=$D$4,"Nice",""),"")</f>
        <v/>
      </c>
      <c r="J561" s="7" t="str">
        <f>CONCATENATE("[",TEXT(Show!A561,"#.0#"),":",TEXT(Show!B561,"#.0#"),"][",TEXT(Show!E561,"#.0#"),":",TEXT(Show!F561,"#.0#"),"]")</f>
        <v>[:][:]</v>
      </c>
    </row>
    <row r="562" spans="1:10" hidden="1" x14ac:dyDescent="0.25">
      <c r="A562" s="40" t="str">
        <f>IFERROR(IF(Calc!E562&lt;=$C$4,Calc!D562,""),"")</f>
        <v/>
      </c>
      <c r="B562" s="40" t="str">
        <f>IFERROR(IF(Calc!E562&lt;=$C$4,CONCATENATE(TEXT(Calc!C562,"#0.000#")," || ",TEXT(INDEX(Calc!L562:P562,$B$4),"#0.000#")),""),"")</f>
        <v/>
      </c>
      <c r="C562" s="41" t="str">
        <f>IFERROR(IF(Calc!E562&lt;=$C$4,Calc!E562,""),"")</f>
        <v/>
      </c>
      <c r="D562" s="33" t="str">
        <f>IFERROR(IF(Calc!E562&lt;=$D$4,"Nice",""),"")</f>
        <v/>
      </c>
      <c r="E562" s="40" t="str">
        <f>IFERROR(IF(Calc!J562&lt;=$C$4,Calc!I562,""),"")</f>
        <v/>
      </c>
      <c r="F562" s="40" t="str">
        <f>IFERROR(IF(Calc!J562&lt;=$C$4,CONCATENATE(TEXT(Calc!H562,"#0.000#")," + ",TEXT(INDEX(Calc!L562:P562,$B$4),"#0.000#")),""),"")</f>
        <v/>
      </c>
      <c r="G562" s="41" t="str">
        <f>IFERROR(IF(Calc!J562&lt;=$C$4,Calc!J562,""),"")</f>
        <v/>
      </c>
      <c r="H562" s="33" t="str">
        <f>IFERROR(IF(Calc!J562&lt;=$D$4,"Nice",""),"")</f>
        <v/>
      </c>
      <c r="J562" s="7" t="str">
        <f>CONCATENATE("[",TEXT(Show!A562,"#.0#"),":",TEXT(Show!B562,"#.0#"),"][",TEXT(Show!E562,"#.0#"),":",TEXT(Show!F562,"#.0#"),"]")</f>
        <v>[:][:]</v>
      </c>
    </row>
    <row r="563" spans="1:10" hidden="1" x14ac:dyDescent="0.25">
      <c r="A563" s="40" t="str">
        <f>IFERROR(IF(Calc!E563&lt;=$C$4,Calc!D563,""),"")</f>
        <v/>
      </c>
      <c r="B563" s="40" t="str">
        <f>IFERROR(IF(Calc!E563&lt;=$C$4,CONCATENATE(TEXT(Calc!C563,"#0.000#")," || ",TEXT(INDEX(Calc!L563:P563,$B$4),"#0.000#")),""),"")</f>
        <v/>
      </c>
      <c r="C563" s="41" t="str">
        <f>IFERROR(IF(Calc!E563&lt;=$C$4,Calc!E563,""),"")</f>
        <v/>
      </c>
      <c r="D563" s="33" t="str">
        <f>IFERROR(IF(Calc!E563&lt;=$D$4,"Nice",""),"")</f>
        <v/>
      </c>
      <c r="E563" s="40" t="str">
        <f>IFERROR(IF(Calc!J563&lt;=$C$4,Calc!I563,""),"")</f>
        <v/>
      </c>
      <c r="F563" s="40" t="str">
        <f>IFERROR(IF(Calc!J563&lt;=$C$4,CONCATENATE(TEXT(Calc!H563,"#0.000#")," + ",TEXT(INDEX(Calc!L563:P563,$B$4),"#0.000#")),""),"")</f>
        <v/>
      </c>
      <c r="G563" s="41" t="str">
        <f>IFERROR(IF(Calc!J563&lt;=$C$4,Calc!J563,""),"")</f>
        <v/>
      </c>
      <c r="H563" s="33" t="str">
        <f>IFERROR(IF(Calc!J563&lt;=$D$4,"Nice",""),"")</f>
        <v/>
      </c>
      <c r="J563" s="7" t="str">
        <f>CONCATENATE("[",TEXT(Show!A563,"#.0#"),":",TEXT(Show!B563,"#.0#"),"][",TEXT(Show!E563,"#.0#"),":",TEXT(Show!F563,"#.0#"),"]")</f>
        <v>[:][:]</v>
      </c>
    </row>
    <row r="564" spans="1:10" hidden="1" x14ac:dyDescent="0.25">
      <c r="A564" s="40" t="str">
        <f>IFERROR(IF(Calc!E564&lt;=$C$4,Calc!D564,""),"")</f>
        <v/>
      </c>
      <c r="B564" s="40" t="str">
        <f>IFERROR(IF(Calc!E564&lt;=$C$4,CONCATENATE(TEXT(Calc!C564,"#0.000#")," || ",TEXT(INDEX(Calc!L564:P564,$B$4),"#0.000#")),""),"")</f>
        <v/>
      </c>
      <c r="C564" s="41" t="str">
        <f>IFERROR(IF(Calc!E564&lt;=$C$4,Calc!E564,""),"")</f>
        <v/>
      </c>
      <c r="D564" s="33" t="str">
        <f>IFERROR(IF(Calc!E564&lt;=$D$4,"Nice",""),"")</f>
        <v/>
      </c>
      <c r="E564" s="40" t="str">
        <f>IFERROR(IF(Calc!J564&lt;=$C$4,Calc!I564,""),"")</f>
        <v/>
      </c>
      <c r="F564" s="40" t="str">
        <f>IFERROR(IF(Calc!J564&lt;=$C$4,CONCATENATE(TEXT(Calc!H564,"#0.000#")," + ",TEXT(INDEX(Calc!L564:P564,$B$4),"#0.000#")),""),"")</f>
        <v/>
      </c>
      <c r="G564" s="41" t="str">
        <f>IFERROR(IF(Calc!J564&lt;=$C$4,Calc!J564,""),"")</f>
        <v/>
      </c>
      <c r="H564" s="33" t="str">
        <f>IFERROR(IF(Calc!J564&lt;=$D$4,"Nice",""),"")</f>
        <v/>
      </c>
      <c r="J564" s="7" t="str">
        <f>CONCATENATE("[",TEXT(Show!A564,"#.0#"),":",TEXT(Show!B564,"#.0#"),"][",TEXT(Show!E564,"#.0#"),":",TEXT(Show!F564,"#.0#"),"]")</f>
        <v>[:][:]</v>
      </c>
    </row>
    <row r="565" spans="1:10" hidden="1" x14ac:dyDescent="0.25">
      <c r="A565" s="40" t="str">
        <f>IFERROR(IF(Calc!E565&lt;=$C$4,Calc!D565,""),"")</f>
        <v/>
      </c>
      <c r="B565" s="40" t="str">
        <f>IFERROR(IF(Calc!E565&lt;=$C$4,CONCATENATE(TEXT(Calc!C565,"#0.000#")," || ",TEXT(INDEX(Calc!L565:P565,$B$4),"#0.000#")),""),"")</f>
        <v/>
      </c>
      <c r="C565" s="41" t="str">
        <f>IFERROR(IF(Calc!E565&lt;=$C$4,Calc!E565,""),"")</f>
        <v/>
      </c>
      <c r="D565" s="33" t="str">
        <f>IFERROR(IF(Calc!E565&lt;=$D$4,"Nice",""),"")</f>
        <v/>
      </c>
      <c r="E565" s="40" t="str">
        <f>IFERROR(IF(Calc!J565&lt;=$C$4,Calc!I565,""),"")</f>
        <v/>
      </c>
      <c r="F565" s="40" t="str">
        <f>IFERROR(IF(Calc!J565&lt;=$C$4,CONCATENATE(TEXT(Calc!H565,"#0.000#")," + ",TEXT(INDEX(Calc!L565:P565,$B$4),"#0.000#")),""),"")</f>
        <v/>
      </c>
      <c r="G565" s="41" t="str">
        <f>IFERROR(IF(Calc!J565&lt;=$C$4,Calc!J565,""),"")</f>
        <v/>
      </c>
      <c r="H565" s="33" t="str">
        <f>IFERROR(IF(Calc!J565&lt;=$D$4,"Nice",""),"")</f>
        <v/>
      </c>
      <c r="J565" s="7" t="str">
        <f>CONCATENATE("[",TEXT(Show!A565,"#.0#"),":",TEXT(Show!B565,"#.0#"),"][",TEXT(Show!E565,"#.0#"),":",TEXT(Show!F565,"#.0#"),"]")</f>
        <v>[:][:]</v>
      </c>
    </row>
    <row r="566" spans="1:10" hidden="1" x14ac:dyDescent="0.25">
      <c r="A566" s="40" t="str">
        <f>IFERROR(IF(Calc!E566&lt;=$C$4,Calc!D566,""),"")</f>
        <v/>
      </c>
      <c r="B566" s="40" t="str">
        <f>IFERROR(IF(Calc!E566&lt;=$C$4,CONCATENATE(TEXT(Calc!C566,"#0.000#")," || ",TEXT(INDEX(Calc!L566:P566,$B$4),"#0.000#")),""),"")</f>
        <v/>
      </c>
      <c r="C566" s="41" t="str">
        <f>IFERROR(IF(Calc!E566&lt;=$C$4,Calc!E566,""),"")</f>
        <v/>
      </c>
      <c r="D566" s="33" t="str">
        <f>IFERROR(IF(Calc!E566&lt;=$D$4,"Nice",""),"")</f>
        <v/>
      </c>
      <c r="E566" s="40" t="str">
        <f>IFERROR(IF(Calc!J566&lt;=$C$4,Calc!I566,""),"")</f>
        <v/>
      </c>
      <c r="F566" s="40" t="str">
        <f>IFERROR(IF(Calc!J566&lt;=$C$4,CONCATENATE(TEXT(Calc!H566,"#0.000#")," + ",TEXT(INDEX(Calc!L566:P566,$B$4),"#0.000#")),""),"")</f>
        <v/>
      </c>
      <c r="G566" s="41" t="str">
        <f>IFERROR(IF(Calc!J566&lt;=$C$4,Calc!J566,""),"")</f>
        <v/>
      </c>
      <c r="H566" s="33" t="str">
        <f>IFERROR(IF(Calc!J566&lt;=$D$4,"Nice",""),"")</f>
        <v/>
      </c>
      <c r="J566" s="7" t="str">
        <f>CONCATENATE("[",TEXT(Show!A566,"#.0#"),":",TEXT(Show!B566,"#.0#"),"][",TEXT(Show!E566,"#.0#"),":",TEXT(Show!F566,"#.0#"),"]")</f>
        <v>[:][:]</v>
      </c>
    </row>
    <row r="567" spans="1:10" hidden="1" x14ac:dyDescent="0.25">
      <c r="A567" s="40" t="str">
        <f>IFERROR(IF(Calc!E567&lt;=$C$4,Calc!D567,""),"")</f>
        <v/>
      </c>
      <c r="B567" s="40" t="str">
        <f>IFERROR(IF(Calc!E567&lt;=$C$4,CONCATENATE(TEXT(Calc!C567,"#0.000#")," || ",TEXT(INDEX(Calc!L567:P567,$B$4),"#0.000#")),""),"")</f>
        <v/>
      </c>
      <c r="C567" s="41" t="str">
        <f>IFERROR(IF(Calc!E567&lt;=$C$4,Calc!E567,""),"")</f>
        <v/>
      </c>
      <c r="D567" s="33" t="str">
        <f>IFERROR(IF(Calc!E567&lt;=$D$4,"Nice",""),"")</f>
        <v/>
      </c>
      <c r="E567" s="40" t="str">
        <f>IFERROR(IF(Calc!J567&lt;=$C$4,Calc!I567,""),"")</f>
        <v/>
      </c>
      <c r="F567" s="40" t="str">
        <f>IFERROR(IF(Calc!J567&lt;=$C$4,CONCATENATE(TEXT(Calc!H567,"#0.000#")," + ",TEXT(INDEX(Calc!L567:P567,$B$4),"#0.000#")),""),"")</f>
        <v/>
      </c>
      <c r="G567" s="41" t="str">
        <f>IFERROR(IF(Calc!J567&lt;=$C$4,Calc!J567,""),"")</f>
        <v/>
      </c>
      <c r="H567" s="33" t="str">
        <f>IFERROR(IF(Calc!J567&lt;=$D$4,"Nice",""),"")</f>
        <v/>
      </c>
      <c r="J567" s="7" t="str">
        <f>CONCATENATE("[",TEXT(Show!A567,"#.0#"),":",TEXT(Show!B567,"#.0#"),"][",TEXT(Show!E567,"#.0#"),":",TEXT(Show!F567,"#.0#"),"]")</f>
        <v>[:][:]</v>
      </c>
    </row>
    <row r="568" spans="1:10" hidden="1" x14ac:dyDescent="0.25">
      <c r="A568" s="40" t="str">
        <f>IFERROR(IF(Calc!E568&lt;=$C$4,Calc!D568,""),"")</f>
        <v/>
      </c>
      <c r="B568" s="40" t="str">
        <f>IFERROR(IF(Calc!E568&lt;=$C$4,CONCATENATE(TEXT(Calc!C568,"#0.000#")," || ",TEXT(INDEX(Calc!L568:P568,$B$4),"#0.000#")),""),"")</f>
        <v/>
      </c>
      <c r="C568" s="41" t="str">
        <f>IFERROR(IF(Calc!E568&lt;=$C$4,Calc!E568,""),"")</f>
        <v/>
      </c>
      <c r="D568" s="33" t="str">
        <f>IFERROR(IF(Calc!E568&lt;=$D$4,"Nice",""),"")</f>
        <v/>
      </c>
      <c r="E568" s="40" t="str">
        <f>IFERROR(IF(Calc!J568&lt;=$C$4,Calc!I568,""),"")</f>
        <v/>
      </c>
      <c r="F568" s="40" t="str">
        <f>IFERROR(IF(Calc!J568&lt;=$C$4,CONCATENATE(TEXT(Calc!H568,"#0.000#")," + ",TEXT(INDEX(Calc!L568:P568,$B$4),"#0.000#")),""),"")</f>
        <v/>
      </c>
      <c r="G568" s="41" t="str">
        <f>IFERROR(IF(Calc!J568&lt;=$C$4,Calc!J568,""),"")</f>
        <v/>
      </c>
      <c r="H568" s="33" t="str">
        <f>IFERROR(IF(Calc!J568&lt;=$D$4,"Nice",""),"")</f>
        <v/>
      </c>
      <c r="J568" s="7" t="str">
        <f>CONCATENATE("[",TEXT(Show!A568,"#.0#"),":",TEXT(Show!B568,"#.0#"),"][",TEXT(Show!E568,"#.0#"),":",TEXT(Show!F568,"#.0#"),"]")</f>
        <v>[:][:]</v>
      </c>
    </row>
    <row r="569" spans="1:10" hidden="1" x14ac:dyDescent="0.25">
      <c r="A569" s="40" t="str">
        <f>IFERROR(IF(Calc!E569&lt;=$C$4,Calc!D569,""),"")</f>
        <v/>
      </c>
      <c r="B569" s="40" t="str">
        <f>IFERROR(IF(Calc!E569&lt;=$C$4,CONCATENATE(TEXT(Calc!C569,"#0.000#")," || ",TEXT(INDEX(Calc!L569:P569,$B$4),"#0.000#")),""),"")</f>
        <v/>
      </c>
      <c r="C569" s="41" t="str">
        <f>IFERROR(IF(Calc!E569&lt;=$C$4,Calc!E569,""),"")</f>
        <v/>
      </c>
      <c r="D569" s="33" t="str">
        <f>IFERROR(IF(Calc!E569&lt;=$D$4,"Nice",""),"")</f>
        <v/>
      </c>
      <c r="E569" s="40" t="str">
        <f>IFERROR(IF(Calc!J569&lt;=$C$4,Calc!I569,""),"")</f>
        <v/>
      </c>
      <c r="F569" s="40" t="str">
        <f>IFERROR(IF(Calc!J569&lt;=$C$4,CONCATENATE(TEXT(Calc!H569,"#0.000#")," + ",TEXT(INDEX(Calc!L569:P569,$B$4),"#0.000#")),""),"")</f>
        <v/>
      </c>
      <c r="G569" s="41" t="str">
        <f>IFERROR(IF(Calc!J569&lt;=$C$4,Calc!J569,""),"")</f>
        <v/>
      </c>
      <c r="H569" s="33" t="str">
        <f>IFERROR(IF(Calc!J569&lt;=$D$4,"Nice",""),"")</f>
        <v/>
      </c>
      <c r="J569" s="7" t="str">
        <f>CONCATENATE("[",TEXT(Show!A569,"#.0#"),":",TEXT(Show!B569,"#.0#"),"][",TEXT(Show!E569,"#.0#"),":",TEXT(Show!F569,"#.0#"),"]")</f>
        <v>[:][:]</v>
      </c>
    </row>
    <row r="570" spans="1:10" hidden="1" x14ac:dyDescent="0.25">
      <c r="A570" s="40" t="str">
        <f>IFERROR(IF(Calc!E570&lt;=$C$4,Calc!D570,""),"")</f>
        <v/>
      </c>
      <c r="B570" s="40" t="str">
        <f>IFERROR(IF(Calc!E570&lt;=$C$4,CONCATENATE(TEXT(Calc!C570,"#0.000#")," || ",TEXT(INDEX(Calc!L570:P570,$B$4),"#0.000#")),""),"")</f>
        <v/>
      </c>
      <c r="C570" s="41" t="str">
        <f>IFERROR(IF(Calc!E570&lt;=$C$4,Calc!E570,""),"")</f>
        <v/>
      </c>
      <c r="D570" s="33" t="str">
        <f>IFERROR(IF(Calc!E570&lt;=$D$4,"Nice",""),"")</f>
        <v/>
      </c>
      <c r="E570" s="40" t="str">
        <f>IFERROR(IF(Calc!J570&lt;=$C$4,Calc!I570,""),"")</f>
        <v/>
      </c>
      <c r="F570" s="40" t="str">
        <f>IFERROR(IF(Calc!J570&lt;=$C$4,CONCATENATE(TEXT(Calc!H570,"#0.000#")," + ",TEXT(INDEX(Calc!L570:P570,$B$4),"#0.000#")),""),"")</f>
        <v/>
      </c>
      <c r="G570" s="41" t="str">
        <f>IFERROR(IF(Calc!J570&lt;=$C$4,Calc!J570,""),"")</f>
        <v/>
      </c>
      <c r="H570" s="33" t="str">
        <f>IFERROR(IF(Calc!J570&lt;=$D$4,"Nice",""),"")</f>
        <v/>
      </c>
      <c r="J570" s="7" t="str">
        <f>CONCATENATE("[",TEXT(Show!A570,"#.0#"),":",TEXT(Show!B570,"#.0#"),"][",TEXT(Show!E570,"#.0#"),":",TEXT(Show!F570,"#.0#"),"]")</f>
        <v>[:][:]</v>
      </c>
    </row>
    <row r="571" spans="1:10" hidden="1" x14ac:dyDescent="0.25">
      <c r="A571" s="40" t="str">
        <f>IFERROR(IF(Calc!E571&lt;=$C$4,Calc!D571,""),"")</f>
        <v/>
      </c>
      <c r="B571" s="40" t="str">
        <f>IFERROR(IF(Calc!E571&lt;=$C$4,CONCATENATE(TEXT(Calc!C571,"#0.000#")," || ",TEXT(INDEX(Calc!L571:P571,$B$4),"#0.000#")),""),"")</f>
        <v/>
      </c>
      <c r="C571" s="41" t="str">
        <f>IFERROR(IF(Calc!E571&lt;=$C$4,Calc!E571,""),"")</f>
        <v/>
      </c>
      <c r="D571" s="33" t="str">
        <f>IFERROR(IF(Calc!E571&lt;=$D$4,"Nice",""),"")</f>
        <v/>
      </c>
      <c r="E571" s="40" t="str">
        <f>IFERROR(IF(Calc!J571&lt;=$C$4,Calc!I571,""),"")</f>
        <v/>
      </c>
      <c r="F571" s="40" t="str">
        <f>IFERROR(IF(Calc!J571&lt;=$C$4,CONCATENATE(TEXT(Calc!H571,"#0.000#")," + ",TEXT(INDEX(Calc!L571:P571,$B$4),"#0.000#")),""),"")</f>
        <v/>
      </c>
      <c r="G571" s="41" t="str">
        <f>IFERROR(IF(Calc!J571&lt;=$C$4,Calc!J571,""),"")</f>
        <v/>
      </c>
      <c r="H571" s="33" t="str">
        <f>IFERROR(IF(Calc!J571&lt;=$D$4,"Nice",""),"")</f>
        <v/>
      </c>
      <c r="J571" s="7" t="str">
        <f>CONCATENATE("[",TEXT(Show!A571,"#.0#"),":",TEXT(Show!B571,"#.0#"),"][",TEXT(Show!E571,"#.0#"),":",TEXT(Show!F571,"#.0#"),"]")</f>
        <v>[:][:]</v>
      </c>
    </row>
    <row r="572" spans="1:10" hidden="1" x14ac:dyDescent="0.25">
      <c r="A572" s="40" t="str">
        <f>IFERROR(IF(Calc!E572&lt;=$C$4,Calc!D572,""),"")</f>
        <v/>
      </c>
      <c r="B572" s="40" t="str">
        <f>IFERROR(IF(Calc!E572&lt;=$C$4,CONCATENATE(TEXT(Calc!C572,"#0.000#")," || ",TEXT(INDEX(Calc!L572:P572,$B$4),"#0.000#")),""),"")</f>
        <v/>
      </c>
      <c r="C572" s="41" t="str">
        <f>IFERROR(IF(Calc!E572&lt;=$C$4,Calc!E572,""),"")</f>
        <v/>
      </c>
      <c r="D572" s="33" t="str">
        <f>IFERROR(IF(Calc!E572&lt;=$D$4,"Nice",""),"")</f>
        <v/>
      </c>
      <c r="E572" s="40" t="str">
        <f>IFERROR(IF(Calc!J572&lt;=$C$4,Calc!I572,""),"")</f>
        <v/>
      </c>
      <c r="F572" s="40" t="str">
        <f>IFERROR(IF(Calc!J572&lt;=$C$4,CONCATENATE(TEXT(Calc!H572,"#0.000#")," + ",TEXT(INDEX(Calc!L572:P572,$B$4),"#0.000#")),""),"")</f>
        <v/>
      </c>
      <c r="G572" s="41" t="str">
        <f>IFERROR(IF(Calc!J572&lt;=$C$4,Calc!J572,""),"")</f>
        <v/>
      </c>
      <c r="H572" s="33" t="str">
        <f>IFERROR(IF(Calc!J572&lt;=$D$4,"Nice",""),"")</f>
        <v/>
      </c>
      <c r="J572" s="7" t="str">
        <f>CONCATENATE("[",TEXT(Show!A572,"#.0#"),":",TEXT(Show!B572,"#.0#"),"][",TEXT(Show!E572,"#.0#"),":",TEXT(Show!F572,"#.0#"),"]")</f>
        <v>[:][:]</v>
      </c>
    </row>
    <row r="573" spans="1:10" hidden="1" x14ac:dyDescent="0.25">
      <c r="A573" s="40" t="str">
        <f>IFERROR(IF(Calc!E573&lt;=$C$4,Calc!D573,""),"")</f>
        <v/>
      </c>
      <c r="B573" s="40" t="str">
        <f>IFERROR(IF(Calc!E573&lt;=$C$4,CONCATENATE(TEXT(Calc!C573,"#0.000#")," || ",TEXT(INDEX(Calc!L573:P573,$B$4),"#0.000#")),""),"")</f>
        <v/>
      </c>
      <c r="C573" s="41" t="str">
        <f>IFERROR(IF(Calc!E573&lt;=$C$4,Calc!E573,""),"")</f>
        <v/>
      </c>
      <c r="D573" s="33" t="str">
        <f>IFERROR(IF(Calc!E573&lt;=$D$4,"Nice",""),"")</f>
        <v/>
      </c>
      <c r="E573" s="40" t="str">
        <f>IFERROR(IF(Calc!J573&lt;=$C$4,Calc!I573,""),"")</f>
        <v/>
      </c>
      <c r="F573" s="40" t="str">
        <f>IFERROR(IF(Calc!J573&lt;=$C$4,CONCATENATE(TEXT(Calc!H573,"#0.000#")," + ",TEXT(INDEX(Calc!L573:P573,$B$4),"#0.000#")),""),"")</f>
        <v/>
      </c>
      <c r="G573" s="41" t="str">
        <f>IFERROR(IF(Calc!J573&lt;=$C$4,Calc!J573,""),"")</f>
        <v/>
      </c>
      <c r="H573" s="33" t="str">
        <f>IFERROR(IF(Calc!J573&lt;=$D$4,"Nice",""),"")</f>
        <v/>
      </c>
      <c r="J573" s="7" t="str">
        <f>CONCATENATE("[",TEXT(Show!A573,"#.0#"),":",TEXT(Show!B573,"#.0#"),"][",TEXT(Show!E573,"#.0#"),":",TEXT(Show!F573,"#.0#"),"]")</f>
        <v>[:][:]</v>
      </c>
    </row>
    <row r="574" spans="1:10" hidden="1" x14ac:dyDescent="0.25">
      <c r="A574" s="40" t="str">
        <f>IFERROR(IF(Calc!E574&lt;=$C$4,Calc!D574,""),"")</f>
        <v/>
      </c>
      <c r="B574" s="40" t="str">
        <f>IFERROR(IF(Calc!E574&lt;=$C$4,CONCATENATE(TEXT(Calc!C574,"#0.000#")," || ",TEXT(INDEX(Calc!L574:P574,$B$4),"#0.000#")),""),"")</f>
        <v/>
      </c>
      <c r="C574" s="41" t="str">
        <f>IFERROR(IF(Calc!E574&lt;=$C$4,Calc!E574,""),"")</f>
        <v/>
      </c>
      <c r="D574" s="33" t="str">
        <f>IFERROR(IF(Calc!E574&lt;=$D$4,"Nice",""),"")</f>
        <v/>
      </c>
      <c r="E574" s="40" t="str">
        <f>IFERROR(IF(Calc!J574&lt;=$C$4,Calc!I574,""),"")</f>
        <v/>
      </c>
      <c r="F574" s="40" t="str">
        <f>IFERROR(IF(Calc!J574&lt;=$C$4,CONCATENATE(TEXT(Calc!H574,"#0.000#")," + ",TEXT(INDEX(Calc!L574:P574,$B$4),"#0.000#")),""),"")</f>
        <v/>
      </c>
      <c r="G574" s="41" t="str">
        <f>IFERROR(IF(Calc!J574&lt;=$C$4,Calc!J574,""),"")</f>
        <v/>
      </c>
      <c r="H574" s="33" t="str">
        <f>IFERROR(IF(Calc!J574&lt;=$D$4,"Nice",""),"")</f>
        <v/>
      </c>
      <c r="J574" s="7" t="str">
        <f>CONCATENATE("[",TEXT(Show!A574,"#.0#"),":",TEXT(Show!B574,"#.0#"),"][",TEXT(Show!E574,"#.0#"),":",TEXT(Show!F574,"#.0#"),"]")</f>
        <v>[:][:]</v>
      </c>
    </row>
    <row r="575" spans="1:10" hidden="1" x14ac:dyDescent="0.25">
      <c r="A575" s="40" t="str">
        <f>IFERROR(IF(Calc!E575&lt;=$C$4,Calc!D575,""),"")</f>
        <v/>
      </c>
      <c r="B575" s="40" t="str">
        <f>IFERROR(IF(Calc!E575&lt;=$C$4,CONCATENATE(TEXT(Calc!C575,"#0.000#")," || ",TEXT(INDEX(Calc!L575:P575,$B$4),"#0.000#")),""),"")</f>
        <v/>
      </c>
      <c r="C575" s="41" t="str">
        <f>IFERROR(IF(Calc!E575&lt;=$C$4,Calc!E575,""),"")</f>
        <v/>
      </c>
      <c r="D575" s="33" t="str">
        <f>IFERROR(IF(Calc!E575&lt;=$D$4,"Nice",""),"")</f>
        <v/>
      </c>
      <c r="E575" s="40" t="str">
        <f>IFERROR(IF(Calc!J575&lt;=$C$4,Calc!I575,""),"")</f>
        <v/>
      </c>
      <c r="F575" s="40" t="str">
        <f>IFERROR(IF(Calc!J575&lt;=$C$4,CONCATENATE(TEXT(Calc!H575,"#0.000#")," + ",TEXT(INDEX(Calc!L575:P575,$B$4),"#0.000#")),""),"")</f>
        <v/>
      </c>
      <c r="G575" s="41" t="str">
        <f>IFERROR(IF(Calc!J575&lt;=$C$4,Calc!J575,""),"")</f>
        <v/>
      </c>
      <c r="H575" s="33" t="str">
        <f>IFERROR(IF(Calc!J575&lt;=$D$4,"Nice",""),"")</f>
        <v/>
      </c>
      <c r="J575" s="7" t="str">
        <f>CONCATENATE("[",TEXT(Show!A575,"#.0#"),":",TEXT(Show!B575,"#.0#"),"][",TEXT(Show!E575,"#.0#"),":",TEXT(Show!F575,"#.0#"),"]")</f>
        <v>[:][:]</v>
      </c>
    </row>
    <row r="576" spans="1:10" hidden="1" x14ac:dyDescent="0.25">
      <c r="A576" s="40" t="str">
        <f>IFERROR(IF(Calc!E576&lt;=$C$4,Calc!D576,""),"")</f>
        <v/>
      </c>
      <c r="B576" s="40" t="str">
        <f>IFERROR(IF(Calc!E576&lt;=$C$4,CONCATENATE(TEXT(Calc!C576,"#0.000#")," || ",TEXT(INDEX(Calc!L576:P576,$B$4),"#0.000#")),""),"")</f>
        <v/>
      </c>
      <c r="C576" s="41" t="str">
        <f>IFERROR(IF(Calc!E576&lt;=$C$4,Calc!E576,""),"")</f>
        <v/>
      </c>
      <c r="D576" s="33" t="str">
        <f>IFERROR(IF(Calc!E576&lt;=$D$4,"Nice",""),"")</f>
        <v/>
      </c>
      <c r="E576" s="40" t="str">
        <f>IFERROR(IF(Calc!J576&lt;=$C$4,Calc!I576,""),"")</f>
        <v/>
      </c>
      <c r="F576" s="40" t="str">
        <f>IFERROR(IF(Calc!J576&lt;=$C$4,CONCATENATE(TEXT(Calc!H576,"#0.000#")," + ",TEXT(INDEX(Calc!L576:P576,$B$4),"#0.000#")),""),"")</f>
        <v/>
      </c>
      <c r="G576" s="41" t="str">
        <f>IFERROR(IF(Calc!J576&lt;=$C$4,Calc!J576,""),"")</f>
        <v/>
      </c>
      <c r="H576" s="33" t="str">
        <f>IFERROR(IF(Calc!J576&lt;=$D$4,"Nice",""),"")</f>
        <v/>
      </c>
      <c r="J576" s="7" t="str">
        <f>CONCATENATE("[",TEXT(Show!A576,"#.0#"),":",TEXT(Show!B576,"#.0#"),"][",TEXT(Show!E576,"#.0#"),":",TEXT(Show!F576,"#.0#"),"]")</f>
        <v>[:][:]</v>
      </c>
    </row>
    <row r="577" spans="1:10" hidden="1" x14ac:dyDescent="0.25">
      <c r="A577" s="40" t="str">
        <f>IFERROR(IF(Calc!E577&lt;=$C$4,Calc!D577,""),"")</f>
        <v/>
      </c>
      <c r="B577" s="40" t="str">
        <f>IFERROR(IF(Calc!E577&lt;=$C$4,CONCATENATE(TEXT(Calc!C577,"#0.000#")," || ",TEXT(INDEX(Calc!L577:P577,$B$4),"#0.000#")),""),"")</f>
        <v/>
      </c>
      <c r="C577" s="41" t="str">
        <f>IFERROR(IF(Calc!E577&lt;=$C$4,Calc!E577,""),"")</f>
        <v/>
      </c>
      <c r="D577" s="33" t="str">
        <f>IFERROR(IF(Calc!E577&lt;=$D$4,"Nice",""),"")</f>
        <v/>
      </c>
      <c r="E577" s="40" t="str">
        <f>IFERROR(IF(Calc!J577&lt;=$C$4,Calc!I577,""),"")</f>
        <v/>
      </c>
      <c r="F577" s="40" t="str">
        <f>IFERROR(IF(Calc!J577&lt;=$C$4,CONCATENATE(TEXT(Calc!H577,"#0.000#")," + ",TEXT(INDEX(Calc!L577:P577,$B$4),"#0.000#")),""),"")</f>
        <v/>
      </c>
      <c r="G577" s="41" t="str">
        <f>IFERROR(IF(Calc!J577&lt;=$C$4,Calc!J577,""),"")</f>
        <v/>
      </c>
      <c r="H577" s="33" t="str">
        <f>IFERROR(IF(Calc!J577&lt;=$D$4,"Nice",""),"")</f>
        <v/>
      </c>
      <c r="J577" s="7" t="str">
        <f>CONCATENATE("[",TEXT(Show!A577,"#.0#"),":",TEXT(Show!B577,"#.0#"),"][",TEXT(Show!E577,"#.0#"),":",TEXT(Show!F577,"#.0#"),"]")</f>
        <v>[:][:]</v>
      </c>
    </row>
    <row r="578" spans="1:10" hidden="1" x14ac:dyDescent="0.25">
      <c r="A578" s="40" t="str">
        <f>IFERROR(IF(Calc!E578&lt;=$C$4,Calc!D578,""),"")</f>
        <v/>
      </c>
      <c r="B578" s="40" t="str">
        <f>IFERROR(IF(Calc!E578&lt;=$C$4,CONCATENATE(TEXT(Calc!C578,"#0.000#")," || ",TEXT(INDEX(Calc!L578:P578,$B$4),"#0.000#")),""),"")</f>
        <v/>
      </c>
      <c r="C578" s="41" t="str">
        <f>IFERROR(IF(Calc!E578&lt;=$C$4,Calc!E578,""),"")</f>
        <v/>
      </c>
      <c r="D578" s="33" t="str">
        <f>IFERROR(IF(Calc!E578&lt;=$D$4,"Nice",""),"")</f>
        <v/>
      </c>
      <c r="E578" s="40" t="str">
        <f>IFERROR(IF(Calc!J578&lt;=$C$4,Calc!I578,""),"")</f>
        <v/>
      </c>
      <c r="F578" s="40" t="str">
        <f>IFERROR(IF(Calc!J578&lt;=$C$4,CONCATENATE(TEXT(Calc!H578,"#0.000#")," + ",TEXT(INDEX(Calc!L578:P578,$B$4),"#0.000#")),""),"")</f>
        <v/>
      </c>
      <c r="G578" s="41" t="str">
        <f>IFERROR(IF(Calc!J578&lt;=$C$4,Calc!J578,""),"")</f>
        <v/>
      </c>
      <c r="H578" s="33" t="str">
        <f>IFERROR(IF(Calc!J578&lt;=$D$4,"Nice",""),"")</f>
        <v/>
      </c>
      <c r="J578" s="7" t="str">
        <f>CONCATENATE("[",TEXT(Show!A578,"#.0#"),":",TEXT(Show!B578,"#.0#"),"][",TEXT(Show!E578,"#.0#"),":",TEXT(Show!F578,"#.0#"),"]")</f>
        <v>[:][:]</v>
      </c>
    </row>
    <row r="579" spans="1:10" hidden="1" x14ac:dyDescent="0.25">
      <c r="A579" s="40" t="str">
        <f>IFERROR(IF(Calc!E579&lt;=$C$4,Calc!D579,""),"")</f>
        <v/>
      </c>
      <c r="B579" s="40" t="str">
        <f>IFERROR(IF(Calc!E579&lt;=$C$4,CONCATENATE(TEXT(Calc!C579,"#0.000#")," || ",TEXT(INDEX(Calc!L579:P579,$B$4),"#0.000#")),""),"")</f>
        <v/>
      </c>
      <c r="C579" s="41" t="str">
        <f>IFERROR(IF(Calc!E579&lt;=$C$4,Calc!E579,""),"")</f>
        <v/>
      </c>
      <c r="D579" s="33" t="str">
        <f>IFERROR(IF(Calc!E579&lt;=$D$4,"Nice",""),"")</f>
        <v/>
      </c>
      <c r="E579" s="40" t="str">
        <f>IFERROR(IF(Calc!J579&lt;=$C$4,Calc!I579,""),"")</f>
        <v/>
      </c>
      <c r="F579" s="40" t="str">
        <f>IFERROR(IF(Calc!J579&lt;=$C$4,CONCATENATE(TEXT(Calc!H579,"#0.000#")," + ",TEXT(INDEX(Calc!L579:P579,$B$4),"#0.000#")),""),"")</f>
        <v/>
      </c>
      <c r="G579" s="41" t="str">
        <f>IFERROR(IF(Calc!J579&lt;=$C$4,Calc!J579,""),"")</f>
        <v/>
      </c>
      <c r="H579" s="33" t="str">
        <f>IFERROR(IF(Calc!J579&lt;=$D$4,"Nice",""),"")</f>
        <v/>
      </c>
      <c r="J579" s="7" t="str">
        <f>CONCATENATE("[",TEXT(Show!A579,"#.0#"),":",TEXT(Show!B579,"#.0#"),"][",TEXT(Show!E579,"#.0#"),":",TEXT(Show!F579,"#.0#"),"]")</f>
        <v>[:][:]</v>
      </c>
    </row>
    <row r="580" spans="1:10" hidden="1" x14ac:dyDescent="0.25">
      <c r="A580" s="40" t="str">
        <f>IFERROR(IF(Calc!E580&lt;=$C$4,Calc!D580,""),"")</f>
        <v/>
      </c>
      <c r="B580" s="40" t="str">
        <f>IFERROR(IF(Calc!E580&lt;=$C$4,CONCATENATE(TEXT(Calc!C580,"#0.000#")," || ",TEXT(INDEX(Calc!L580:P580,$B$4),"#0.000#")),""),"")</f>
        <v/>
      </c>
      <c r="C580" s="41" t="str">
        <f>IFERROR(IF(Calc!E580&lt;=$C$4,Calc!E580,""),"")</f>
        <v/>
      </c>
      <c r="D580" s="33" t="str">
        <f>IFERROR(IF(Calc!E580&lt;=$D$4,"Nice",""),"")</f>
        <v/>
      </c>
      <c r="E580" s="40" t="str">
        <f>IFERROR(IF(Calc!J580&lt;=$C$4,Calc!I580,""),"")</f>
        <v/>
      </c>
      <c r="F580" s="40" t="str">
        <f>IFERROR(IF(Calc!J580&lt;=$C$4,CONCATENATE(TEXT(Calc!H580,"#0.000#")," + ",TEXT(INDEX(Calc!L580:P580,$B$4),"#0.000#")),""),"")</f>
        <v/>
      </c>
      <c r="G580" s="41" t="str">
        <f>IFERROR(IF(Calc!J580&lt;=$C$4,Calc!J580,""),"")</f>
        <v/>
      </c>
      <c r="H580" s="33" t="str">
        <f>IFERROR(IF(Calc!J580&lt;=$D$4,"Nice",""),"")</f>
        <v/>
      </c>
      <c r="J580" s="7" t="str">
        <f>CONCATENATE("[",TEXT(Show!A580,"#.0#"),":",TEXT(Show!B580,"#.0#"),"][",TEXT(Show!E580,"#.0#"),":",TEXT(Show!F580,"#.0#"),"]")</f>
        <v>[:][:]</v>
      </c>
    </row>
    <row r="581" spans="1:10" hidden="1" x14ac:dyDescent="0.25">
      <c r="A581" s="40" t="str">
        <f>IFERROR(IF(Calc!E581&lt;=$C$4,Calc!D581,""),"")</f>
        <v/>
      </c>
      <c r="B581" s="40" t="str">
        <f>IFERROR(IF(Calc!E581&lt;=$C$4,CONCATENATE(TEXT(Calc!C581,"#0.000#")," || ",TEXT(INDEX(Calc!L581:P581,$B$4),"#0.000#")),""),"")</f>
        <v/>
      </c>
      <c r="C581" s="41" t="str">
        <f>IFERROR(IF(Calc!E581&lt;=$C$4,Calc!E581,""),"")</f>
        <v/>
      </c>
      <c r="D581" s="33" t="str">
        <f>IFERROR(IF(Calc!E581&lt;=$D$4,"Nice",""),"")</f>
        <v/>
      </c>
      <c r="E581" s="40" t="str">
        <f>IFERROR(IF(Calc!J581&lt;=$C$4,Calc!I581,""),"")</f>
        <v/>
      </c>
      <c r="F581" s="40" t="str">
        <f>IFERROR(IF(Calc!J581&lt;=$C$4,CONCATENATE(TEXT(Calc!H581,"#0.000#")," + ",TEXT(INDEX(Calc!L581:P581,$B$4),"#0.000#")),""),"")</f>
        <v/>
      </c>
      <c r="G581" s="41" t="str">
        <f>IFERROR(IF(Calc!J581&lt;=$C$4,Calc!J581,""),"")</f>
        <v/>
      </c>
      <c r="H581" s="33" t="str">
        <f>IFERROR(IF(Calc!J581&lt;=$D$4,"Nice",""),"")</f>
        <v/>
      </c>
      <c r="J581" s="7" t="str">
        <f>CONCATENATE("[",TEXT(Show!A581,"#.0#"),":",TEXT(Show!B581,"#.0#"),"][",TEXT(Show!E581,"#.0#"),":",TEXT(Show!F581,"#.0#"),"]")</f>
        <v>[:][:]</v>
      </c>
    </row>
    <row r="582" spans="1:10" hidden="1" x14ac:dyDescent="0.25">
      <c r="A582" s="40" t="str">
        <f>IFERROR(IF(Calc!E582&lt;=$C$4,Calc!D582,""),"")</f>
        <v/>
      </c>
      <c r="B582" s="40" t="str">
        <f>IFERROR(IF(Calc!E582&lt;=$C$4,CONCATENATE(TEXT(Calc!C582,"#0.000#")," || ",TEXT(INDEX(Calc!L582:P582,$B$4),"#0.000#")),""),"")</f>
        <v/>
      </c>
      <c r="C582" s="41" t="str">
        <f>IFERROR(IF(Calc!E582&lt;=$C$4,Calc!E582,""),"")</f>
        <v/>
      </c>
      <c r="D582" s="33" t="str">
        <f>IFERROR(IF(Calc!E582&lt;=$D$4,"Nice",""),"")</f>
        <v/>
      </c>
      <c r="E582" s="40" t="str">
        <f>IFERROR(IF(Calc!J582&lt;=$C$4,Calc!I582,""),"")</f>
        <v/>
      </c>
      <c r="F582" s="40" t="str">
        <f>IFERROR(IF(Calc!J582&lt;=$C$4,CONCATENATE(TEXT(Calc!H582,"#0.000#")," + ",TEXT(INDEX(Calc!L582:P582,$B$4),"#0.000#")),""),"")</f>
        <v/>
      </c>
      <c r="G582" s="41" t="str">
        <f>IFERROR(IF(Calc!J582&lt;=$C$4,Calc!J582,""),"")</f>
        <v/>
      </c>
      <c r="H582" s="33" t="str">
        <f>IFERROR(IF(Calc!J582&lt;=$D$4,"Nice",""),"")</f>
        <v/>
      </c>
      <c r="J582" s="7" t="str">
        <f>CONCATENATE("[",TEXT(Show!A582,"#.0#"),":",TEXT(Show!B582,"#.0#"),"][",TEXT(Show!E582,"#.0#"),":",TEXT(Show!F582,"#.0#"),"]")</f>
        <v>[:][:]</v>
      </c>
    </row>
    <row r="583" spans="1:10" hidden="1" x14ac:dyDescent="0.25">
      <c r="A583" s="40" t="str">
        <f>IFERROR(IF(Calc!E583&lt;=$C$4,Calc!D583,""),"")</f>
        <v/>
      </c>
      <c r="B583" s="40" t="str">
        <f>IFERROR(IF(Calc!E583&lt;=$C$4,CONCATENATE(TEXT(Calc!C583,"#0.000#")," || ",TEXT(INDEX(Calc!L583:P583,$B$4),"#0.000#")),""),"")</f>
        <v/>
      </c>
      <c r="C583" s="41" t="str">
        <f>IFERROR(IF(Calc!E583&lt;=$C$4,Calc!E583,""),"")</f>
        <v/>
      </c>
      <c r="D583" s="33" t="str">
        <f>IFERROR(IF(Calc!E583&lt;=$D$4,"Nice",""),"")</f>
        <v/>
      </c>
      <c r="E583" s="40" t="str">
        <f>IFERROR(IF(Calc!J583&lt;=$C$4,Calc!I583,""),"")</f>
        <v/>
      </c>
      <c r="F583" s="40" t="str">
        <f>IFERROR(IF(Calc!J583&lt;=$C$4,CONCATENATE(TEXT(Calc!H583,"#0.000#")," + ",TEXT(INDEX(Calc!L583:P583,$B$4),"#0.000#")),""),"")</f>
        <v/>
      </c>
      <c r="G583" s="41" t="str">
        <f>IFERROR(IF(Calc!J583&lt;=$C$4,Calc!J583,""),"")</f>
        <v/>
      </c>
      <c r="H583" s="33" t="str">
        <f>IFERROR(IF(Calc!J583&lt;=$D$4,"Nice",""),"")</f>
        <v/>
      </c>
      <c r="J583" s="7" t="str">
        <f>CONCATENATE("[",TEXT(Show!A583,"#.0#"),":",TEXT(Show!B583,"#.0#"),"][",TEXT(Show!E583,"#.0#"),":",TEXT(Show!F583,"#.0#"),"]")</f>
        <v>[:][:]</v>
      </c>
    </row>
    <row r="584" spans="1:10" hidden="1" x14ac:dyDescent="0.25">
      <c r="A584" s="40" t="str">
        <f>IFERROR(IF(Calc!E584&lt;=$C$4,Calc!D584,""),"")</f>
        <v/>
      </c>
      <c r="B584" s="40" t="str">
        <f>IFERROR(IF(Calc!E584&lt;=$C$4,CONCATENATE(TEXT(Calc!C584,"#0.000#")," || ",TEXT(INDEX(Calc!L584:P584,$B$4),"#0.000#")),""),"")</f>
        <v/>
      </c>
      <c r="C584" s="41" t="str">
        <f>IFERROR(IF(Calc!E584&lt;=$C$4,Calc!E584,""),"")</f>
        <v/>
      </c>
      <c r="D584" s="33" t="str">
        <f>IFERROR(IF(Calc!E584&lt;=$D$4,"Nice",""),"")</f>
        <v/>
      </c>
      <c r="E584" s="40" t="str">
        <f>IFERROR(IF(Calc!J584&lt;=$C$4,Calc!I584,""),"")</f>
        <v/>
      </c>
      <c r="F584" s="40" t="str">
        <f>IFERROR(IF(Calc!J584&lt;=$C$4,CONCATENATE(TEXT(Calc!H584,"#0.000#")," + ",TEXT(INDEX(Calc!L584:P584,$B$4),"#0.000#")),""),"")</f>
        <v/>
      </c>
      <c r="G584" s="41" t="str">
        <f>IFERROR(IF(Calc!J584&lt;=$C$4,Calc!J584,""),"")</f>
        <v/>
      </c>
      <c r="H584" s="33" t="str">
        <f>IFERROR(IF(Calc!J584&lt;=$D$4,"Nice",""),"")</f>
        <v/>
      </c>
      <c r="J584" s="7" t="str">
        <f>CONCATENATE("[",TEXT(Show!A584,"#.0#"),":",TEXT(Show!B584,"#.0#"),"][",TEXT(Show!E584,"#.0#"),":",TEXT(Show!F584,"#.0#"),"]")</f>
        <v>[:][:]</v>
      </c>
    </row>
    <row r="585" spans="1:10" hidden="1" x14ac:dyDescent="0.25">
      <c r="A585" s="40" t="str">
        <f>IFERROR(IF(Calc!E585&lt;=$C$4,Calc!D585,""),"")</f>
        <v/>
      </c>
      <c r="B585" s="40" t="str">
        <f>IFERROR(IF(Calc!E585&lt;=$C$4,CONCATENATE(TEXT(Calc!C585,"#0.000#")," || ",TEXT(INDEX(Calc!L585:P585,$B$4),"#0.000#")),""),"")</f>
        <v/>
      </c>
      <c r="C585" s="41" t="str">
        <f>IFERROR(IF(Calc!E585&lt;=$C$4,Calc!E585,""),"")</f>
        <v/>
      </c>
      <c r="D585" s="33" t="str">
        <f>IFERROR(IF(Calc!E585&lt;=$D$4,"Nice",""),"")</f>
        <v/>
      </c>
      <c r="E585" s="40" t="str">
        <f>IFERROR(IF(Calc!J585&lt;=$C$4,Calc!I585,""),"")</f>
        <v/>
      </c>
      <c r="F585" s="40" t="str">
        <f>IFERROR(IF(Calc!J585&lt;=$C$4,CONCATENATE(TEXT(Calc!H585,"#0.000#")," + ",TEXT(INDEX(Calc!L585:P585,$B$4),"#0.000#")),""),"")</f>
        <v/>
      </c>
      <c r="G585" s="41" t="str">
        <f>IFERROR(IF(Calc!J585&lt;=$C$4,Calc!J585,""),"")</f>
        <v/>
      </c>
      <c r="H585" s="33" t="str">
        <f>IFERROR(IF(Calc!J585&lt;=$D$4,"Nice",""),"")</f>
        <v/>
      </c>
      <c r="J585" s="7" t="str">
        <f>CONCATENATE("[",TEXT(Show!A585,"#.0#"),":",TEXT(Show!B585,"#.0#"),"][",TEXT(Show!E585,"#.0#"),":",TEXT(Show!F585,"#.0#"),"]")</f>
        <v>[:][:]</v>
      </c>
    </row>
    <row r="586" spans="1:10" hidden="1" x14ac:dyDescent="0.25">
      <c r="A586" s="40" t="str">
        <f>IFERROR(IF(Calc!E586&lt;=$C$4,Calc!D586,""),"")</f>
        <v/>
      </c>
      <c r="B586" s="40" t="str">
        <f>IFERROR(IF(Calc!E586&lt;=$C$4,CONCATENATE(TEXT(Calc!C586,"#0.000#")," || ",TEXT(INDEX(Calc!L586:P586,$B$4),"#0.000#")),""),"")</f>
        <v/>
      </c>
      <c r="C586" s="41" t="str">
        <f>IFERROR(IF(Calc!E586&lt;=$C$4,Calc!E586,""),"")</f>
        <v/>
      </c>
      <c r="D586" s="33" t="str">
        <f>IFERROR(IF(Calc!E586&lt;=$D$4,"Nice",""),"")</f>
        <v/>
      </c>
      <c r="E586" s="40" t="str">
        <f>IFERROR(IF(Calc!J586&lt;=$C$4,Calc!I586,""),"")</f>
        <v/>
      </c>
      <c r="F586" s="40" t="str">
        <f>IFERROR(IF(Calc!J586&lt;=$C$4,CONCATENATE(TEXT(Calc!H586,"#0.000#")," + ",TEXT(INDEX(Calc!L586:P586,$B$4),"#0.000#")),""),"")</f>
        <v/>
      </c>
      <c r="G586" s="41" t="str">
        <f>IFERROR(IF(Calc!J586&lt;=$C$4,Calc!J586,""),"")</f>
        <v/>
      </c>
      <c r="H586" s="33" t="str">
        <f>IFERROR(IF(Calc!J586&lt;=$D$4,"Nice",""),"")</f>
        <v/>
      </c>
      <c r="J586" s="7" t="str">
        <f>CONCATENATE("[",TEXT(Show!A586,"#.0#"),":",TEXT(Show!B586,"#.0#"),"][",TEXT(Show!E586,"#.0#"),":",TEXT(Show!F586,"#.0#"),"]")</f>
        <v>[:][:]</v>
      </c>
    </row>
    <row r="587" spans="1:10" hidden="1" x14ac:dyDescent="0.25">
      <c r="A587" s="40" t="str">
        <f>IFERROR(IF(Calc!E587&lt;=$C$4,Calc!D587,""),"")</f>
        <v/>
      </c>
      <c r="B587" s="40" t="str">
        <f>IFERROR(IF(Calc!E587&lt;=$C$4,CONCATENATE(TEXT(Calc!C587,"#0.000#")," || ",TEXT(INDEX(Calc!L587:P587,$B$4),"#0.000#")),""),"")</f>
        <v/>
      </c>
      <c r="C587" s="41" t="str">
        <f>IFERROR(IF(Calc!E587&lt;=$C$4,Calc!E587,""),"")</f>
        <v/>
      </c>
      <c r="D587" s="33" t="str">
        <f>IFERROR(IF(Calc!E587&lt;=$D$4,"Nice",""),"")</f>
        <v/>
      </c>
      <c r="E587" s="40" t="str">
        <f>IFERROR(IF(Calc!J587&lt;=$C$4,Calc!I587,""),"")</f>
        <v/>
      </c>
      <c r="F587" s="40" t="str">
        <f>IFERROR(IF(Calc!J587&lt;=$C$4,CONCATENATE(TEXT(Calc!H587,"#0.000#")," + ",TEXT(INDEX(Calc!L587:P587,$B$4),"#0.000#")),""),"")</f>
        <v/>
      </c>
      <c r="G587" s="41" t="str">
        <f>IFERROR(IF(Calc!J587&lt;=$C$4,Calc!J587,""),"")</f>
        <v/>
      </c>
      <c r="H587" s="33" t="str">
        <f>IFERROR(IF(Calc!J587&lt;=$D$4,"Nice",""),"")</f>
        <v/>
      </c>
      <c r="J587" s="7" t="str">
        <f>CONCATENATE("[",TEXT(Show!A587,"#.0#"),":",TEXT(Show!B587,"#.0#"),"][",TEXT(Show!E587,"#.0#"),":",TEXT(Show!F587,"#.0#"),"]")</f>
        <v>[:][:]</v>
      </c>
    </row>
    <row r="588" spans="1:10" hidden="1" x14ac:dyDescent="0.25">
      <c r="A588" s="40" t="str">
        <f>IFERROR(IF(Calc!E588&lt;=$C$4,Calc!D588,""),"")</f>
        <v/>
      </c>
      <c r="B588" s="40" t="str">
        <f>IFERROR(IF(Calc!E588&lt;=$C$4,CONCATENATE(TEXT(Calc!C588,"#0.000#")," || ",TEXT(INDEX(Calc!L588:P588,$B$4),"#0.000#")),""),"")</f>
        <v/>
      </c>
      <c r="C588" s="41" t="str">
        <f>IFERROR(IF(Calc!E588&lt;=$C$4,Calc!E588,""),"")</f>
        <v/>
      </c>
      <c r="D588" s="33" t="str">
        <f>IFERROR(IF(Calc!E588&lt;=$D$4,"Nice",""),"")</f>
        <v/>
      </c>
      <c r="E588" s="40" t="str">
        <f>IFERROR(IF(Calc!J588&lt;=$C$4,Calc!I588,""),"")</f>
        <v/>
      </c>
      <c r="F588" s="40" t="str">
        <f>IFERROR(IF(Calc!J588&lt;=$C$4,CONCATENATE(TEXT(Calc!H588,"#0.000#")," + ",TEXT(INDEX(Calc!L588:P588,$B$4),"#0.000#")),""),"")</f>
        <v/>
      </c>
      <c r="G588" s="41" t="str">
        <f>IFERROR(IF(Calc!J588&lt;=$C$4,Calc!J588,""),"")</f>
        <v/>
      </c>
      <c r="H588" s="33" t="str">
        <f>IFERROR(IF(Calc!J588&lt;=$D$4,"Nice",""),"")</f>
        <v/>
      </c>
      <c r="J588" s="7" t="str">
        <f>CONCATENATE("[",TEXT(Show!A588,"#.0#"),":",TEXT(Show!B588,"#.0#"),"][",TEXT(Show!E588,"#.0#"),":",TEXT(Show!F588,"#.0#"),"]")</f>
        <v>[:][:]</v>
      </c>
    </row>
    <row r="589" spans="1:10" hidden="1" x14ac:dyDescent="0.25">
      <c r="A589" s="40" t="str">
        <f>IFERROR(IF(Calc!E589&lt;=$C$4,Calc!D589,""),"")</f>
        <v/>
      </c>
      <c r="B589" s="40" t="str">
        <f>IFERROR(IF(Calc!E589&lt;=$C$4,CONCATENATE(TEXT(Calc!C589,"#0.000#")," || ",TEXT(INDEX(Calc!L589:P589,$B$4),"#0.000#")),""),"")</f>
        <v/>
      </c>
      <c r="C589" s="41" t="str">
        <f>IFERROR(IF(Calc!E589&lt;=$C$4,Calc!E589,""),"")</f>
        <v/>
      </c>
      <c r="D589" s="33" t="str">
        <f>IFERROR(IF(Calc!E589&lt;=$D$4,"Nice",""),"")</f>
        <v/>
      </c>
      <c r="E589" s="40" t="str">
        <f>IFERROR(IF(Calc!J589&lt;=$C$4,Calc!I589,""),"")</f>
        <v/>
      </c>
      <c r="F589" s="40" t="str">
        <f>IFERROR(IF(Calc!J589&lt;=$C$4,CONCATENATE(TEXT(Calc!H589,"#0.000#")," + ",TEXT(INDEX(Calc!L589:P589,$B$4),"#0.000#")),""),"")</f>
        <v/>
      </c>
      <c r="G589" s="41" t="str">
        <f>IFERROR(IF(Calc!J589&lt;=$C$4,Calc!J589,""),"")</f>
        <v/>
      </c>
      <c r="H589" s="33" t="str">
        <f>IFERROR(IF(Calc!J589&lt;=$D$4,"Nice",""),"")</f>
        <v/>
      </c>
      <c r="J589" s="7" t="str">
        <f>CONCATENATE("[",TEXT(Show!A589,"#.0#"),":",TEXT(Show!B589,"#.0#"),"][",TEXT(Show!E589,"#.0#"),":",TEXT(Show!F589,"#.0#"),"]")</f>
        <v>[:][:]</v>
      </c>
    </row>
    <row r="590" spans="1:10" hidden="1" x14ac:dyDescent="0.25">
      <c r="A590" s="40" t="str">
        <f>IFERROR(IF(Calc!E590&lt;=$C$4,Calc!D590,""),"")</f>
        <v/>
      </c>
      <c r="B590" s="40" t="str">
        <f>IFERROR(IF(Calc!E590&lt;=$C$4,CONCATENATE(TEXT(Calc!C590,"#0.000#")," || ",TEXT(INDEX(Calc!L590:P590,$B$4),"#0.000#")),""),"")</f>
        <v/>
      </c>
      <c r="C590" s="41" t="str">
        <f>IFERROR(IF(Calc!E590&lt;=$C$4,Calc!E590,""),"")</f>
        <v/>
      </c>
      <c r="D590" s="33" t="str">
        <f>IFERROR(IF(Calc!E590&lt;=$D$4,"Nice",""),"")</f>
        <v/>
      </c>
      <c r="E590" s="40" t="str">
        <f>IFERROR(IF(Calc!J590&lt;=$C$4,Calc!I590,""),"")</f>
        <v/>
      </c>
      <c r="F590" s="40" t="str">
        <f>IFERROR(IF(Calc!J590&lt;=$C$4,CONCATENATE(TEXT(Calc!H590,"#0.000#")," + ",TEXT(INDEX(Calc!L590:P590,$B$4),"#0.000#")),""),"")</f>
        <v/>
      </c>
      <c r="G590" s="41" t="str">
        <f>IFERROR(IF(Calc!J590&lt;=$C$4,Calc!J590,""),"")</f>
        <v/>
      </c>
      <c r="H590" s="33" t="str">
        <f>IFERROR(IF(Calc!J590&lt;=$D$4,"Nice",""),"")</f>
        <v/>
      </c>
      <c r="J590" s="7" t="str">
        <f>CONCATENATE("[",TEXT(Show!A590,"#.0#"),":",TEXT(Show!B590,"#.0#"),"][",TEXT(Show!E590,"#.0#"),":",TEXT(Show!F590,"#.0#"),"]")</f>
        <v>[:][:]</v>
      </c>
    </row>
    <row r="591" spans="1:10" hidden="1" x14ac:dyDescent="0.25">
      <c r="A591" s="40" t="str">
        <f>IFERROR(IF(Calc!E591&lt;=$C$4,Calc!D591,""),"")</f>
        <v/>
      </c>
      <c r="B591" s="40" t="str">
        <f>IFERROR(IF(Calc!E591&lt;=$C$4,CONCATENATE(TEXT(Calc!C591,"#0.000#")," || ",TEXT(INDEX(Calc!L591:P591,$B$4),"#0.000#")),""),"")</f>
        <v/>
      </c>
      <c r="C591" s="41" t="str">
        <f>IFERROR(IF(Calc!E591&lt;=$C$4,Calc!E591,""),"")</f>
        <v/>
      </c>
      <c r="D591" s="33" t="str">
        <f>IFERROR(IF(Calc!E591&lt;=$D$4,"Nice",""),"")</f>
        <v/>
      </c>
      <c r="E591" s="40" t="str">
        <f>IFERROR(IF(Calc!J591&lt;=$C$4,Calc!I591,""),"")</f>
        <v/>
      </c>
      <c r="F591" s="40" t="str">
        <f>IFERROR(IF(Calc!J591&lt;=$C$4,CONCATENATE(TEXT(Calc!H591,"#0.000#")," + ",TEXT(INDEX(Calc!L591:P591,$B$4),"#0.000#")),""),"")</f>
        <v/>
      </c>
      <c r="G591" s="41" t="str">
        <f>IFERROR(IF(Calc!J591&lt;=$C$4,Calc!J591,""),"")</f>
        <v/>
      </c>
      <c r="H591" s="33" t="str">
        <f>IFERROR(IF(Calc!J591&lt;=$D$4,"Nice",""),"")</f>
        <v/>
      </c>
      <c r="J591" s="7" t="str">
        <f>CONCATENATE("[",TEXT(Show!A591,"#.0#"),":",TEXT(Show!B591,"#.0#"),"][",TEXT(Show!E591,"#.0#"),":",TEXT(Show!F591,"#.0#"),"]")</f>
        <v>[:][:]</v>
      </c>
    </row>
    <row r="592" spans="1:10" hidden="1" x14ac:dyDescent="0.25">
      <c r="A592" s="40" t="str">
        <f>IFERROR(IF(Calc!E592&lt;=$C$4,Calc!D592,""),"")</f>
        <v/>
      </c>
      <c r="B592" s="40" t="str">
        <f>IFERROR(IF(Calc!E592&lt;=$C$4,CONCATENATE(TEXT(Calc!C592,"#0.000#")," || ",TEXT(INDEX(Calc!L592:P592,$B$4),"#0.000#")),""),"")</f>
        <v/>
      </c>
      <c r="C592" s="41" t="str">
        <f>IFERROR(IF(Calc!E592&lt;=$C$4,Calc!E592,""),"")</f>
        <v/>
      </c>
      <c r="D592" s="33" t="str">
        <f>IFERROR(IF(Calc!E592&lt;=$D$4,"Nice",""),"")</f>
        <v/>
      </c>
      <c r="E592" s="40" t="str">
        <f>IFERROR(IF(Calc!J592&lt;=$C$4,Calc!I592,""),"")</f>
        <v/>
      </c>
      <c r="F592" s="40" t="str">
        <f>IFERROR(IF(Calc!J592&lt;=$C$4,CONCATENATE(TEXT(Calc!H592,"#0.000#")," + ",TEXT(INDEX(Calc!L592:P592,$B$4),"#0.000#")),""),"")</f>
        <v/>
      </c>
      <c r="G592" s="41" t="str">
        <f>IFERROR(IF(Calc!J592&lt;=$C$4,Calc!J592,""),"")</f>
        <v/>
      </c>
      <c r="H592" s="33" t="str">
        <f>IFERROR(IF(Calc!J592&lt;=$D$4,"Nice",""),"")</f>
        <v/>
      </c>
      <c r="J592" s="7" t="str">
        <f>CONCATENATE("[",TEXT(Show!A592,"#.0#"),":",TEXT(Show!B592,"#.0#"),"][",TEXT(Show!E592,"#.0#"),":",TEXT(Show!F592,"#.0#"),"]")</f>
        <v>[:][:]</v>
      </c>
    </row>
    <row r="593" spans="1:10" hidden="1" x14ac:dyDescent="0.25">
      <c r="A593" s="40" t="str">
        <f>IFERROR(IF(Calc!E593&lt;=$C$4,Calc!D593,""),"")</f>
        <v/>
      </c>
      <c r="B593" s="40" t="str">
        <f>IFERROR(IF(Calc!E593&lt;=$C$4,CONCATENATE(TEXT(Calc!C593,"#0.000#")," || ",TEXT(INDEX(Calc!L593:P593,$B$4),"#0.000#")),""),"")</f>
        <v/>
      </c>
      <c r="C593" s="41" t="str">
        <f>IFERROR(IF(Calc!E593&lt;=$C$4,Calc!E593,""),"")</f>
        <v/>
      </c>
      <c r="D593" s="33" t="str">
        <f>IFERROR(IF(Calc!E593&lt;=$D$4,"Nice",""),"")</f>
        <v/>
      </c>
      <c r="E593" s="40" t="str">
        <f>IFERROR(IF(Calc!J593&lt;=$C$4,Calc!I593,""),"")</f>
        <v/>
      </c>
      <c r="F593" s="40" t="str">
        <f>IFERROR(IF(Calc!J593&lt;=$C$4,CONCATENATE(TEXT(Calc!H593,"#0.000#")," + ",TEXT(INDEX(Calc!L593:P593,$B$4),"#0.000#")),""),"")</f>
        <v/>
      </c>
      <c r="G593" s="41" t="str">
        <f>IFERROR(IF(Calc!J593&lt;=$C$4,Calc!J593,""),"")</f>
        <v/>
      </c>
      <c r="H593" s="33" t="str">
        <f>IFERROR(IF(Calc!J593&lt;=$D$4,"Nice",""),"")</f>
        <v/>
      </c>
      <c r="J593" s="7" t="str">
        <f>CONCATENATE("[",TEXT(Show!A593,"#.0#"),":",TEXT(Show!B593,"#.0#"),"][",TEXT(Show!E593,"#.0#"),":",TEXT(Show!F593,"#.0#"),"]")</f>
        <v>[:][:]</v>
      </c>
    </row>
    <row r="594" spans="1:10" hidden="1" x14ac:dyDescent="0.25">
      <c r="A594" s="40" t="str">
        <f>IFERROR(IF(Calc!E594&lt;=$C$4,Calc!D594,""),"")</f>
        <v/>
      </c>
      <c r="B594" s="40" t="str">
        <f>IFERROR(IF(Calc!E594&lt;=$C$4,CONCATENATE(TEXT(Calc!C594,"#0.000#")," || ",TEXT(INDEX(Calc!L594:P594,$B$4),"#0.000#")),""),"")</f>
        <v/>
      </c>
      <c r="C594" s="41" t="str">
        <f>IFERROR(IF(Calc!E594&lt;=$C$4,Calc!E594,""),"")</f>
        <v/>
      </c>
      <c r="D594" s="33" t="str">
        <f>IFERROR(IF(Calc!E594&lt;=$D$4,"Nice",""),"")</f>
        <v/>
      </c>
      <c r="E594" s="40" t="str">
        <f>IFERROR(IF(Calc!J594&lt;=$C$4,Calc!I594,""),"")</f>
        <v/>
      </c>
      <c r="F594" s="40" t="str">
        <f>IFERROR(IF(Calc!J594&lt;=$C$4,CONCATENATE(TEXT(Calc!H594,"#0.000#")," + ",TEXT(INDEX(Calc!L594:P594,$B$4),"#0.000#")),""),"")</f>
        <v/>
      </c>
      <c r="G594" s="41" t="str">
        <f>IFERROR(IF(Calc!J594&lt;=$C$4,Calc!J594,""),"")</f>
        <v/>
      </c>
      <c r="H594" s="33" t="str">
        <f>IFERROR(IF(Calc!J594&lt;=$D$4,"Nice",""),"")</f>
        <v/>
      </c>
      <c r="J594" s="7" t="str">
        <f>CONCATENATE("[",TEXT(Show!A594,"#.0#"),":",TEXT(Show!B594,"#.0#"),"][",TEXT(Show!E594,"#.0#"),":",TEXT(Show!F594,"#.0#"),"]")</f>
        <v>[:][:]</v>
      </c>
    </row>
    <row r="595" spans="1:10" hidden="1" x14ac:dyDescent="0.25">
      <c r="A595" s="40" t="str">
        <f>IFERROR(IF(Calc!E595&lt;=$C$4,Calc!D595,""),"")</f>
        <v/>
      </c>
      <c r="B595" s="40" t="str">
        <f>IFERROR(IF(Calc!E595&lt;=$C$4,CONCATENATE(TEXT(Calc!C595,"#0.000#")," || ",TEXT(INDEX(Calc!L595:P595,$B$4),"#0.000#")),""),"")</f>
        <v/>
      </c>
      <c r="C595" s="41" t="str">
        <f>IFERROR(IF(Calc!E595&lt;=$C$4,Calc!E595,""),"")</f>
        <v/>
      </c>
      <c r="D595" s="33" t="str">
        <f>IFERROR(IF(Calc!E595&lt;=$D$4,"Nice",""),"")</f>
        <v/>
      </c>
      <c r="E595" s="40" t="str">
        <f>IFERROR(IF(Calc!J595&lt;=$C$4,Calc!I595,""),"")</f>
        <v/>
      </c>
      <c r="F595" s="40" t="str">
        <f>IFERROR(IF(Calc!J595&lt;=$C$4,CONCATENATE(TEXT(Calc!H595,"#0.000#")," + ",TEXT(INDEX(Calc!L595:P595,$B$4),"#0.000#")),""),"")</f>
        <v/>
      </c>
      <c r="G595" s="41" t="str">
        <f>IFERROR(IF(Calc!J595&lt;=$C$4,Calc!J595,""),"")</f>
        <v/>
      </c>
      <c r="H595" s="33" t="str">
        <f>IFERROR(IF(Calc!J595&lt;=$D$4,"Nice",""),"")</f>
        <v/>
      </c>
      <c r="J595" s="7" t="str">
        <f>CONCATENATE("[",TEXT(Show!A595,"#.0#"),":",TEXT(Show!B595,"#.0#"),"][",TEXT(Show!E595,"#.0#"),":",TEXT(Show!F595,"#.0#"),"]")</f>
        <v>[:][:]</v>
      </c>
    </row>
    <row r="596" spans="1:10" hidden="1" x14ac:dyDescent="0.25">
      <c r="A596" s="40" t="str">
        <f>IFERROR(IF(Calc!E596&lt;=$C$4,Calc!D596,""),"")</f>
        <v/>
      </c>
      <c r="B596" s="40" t="str">
        <f>IFERROR(IF(Calc!E596&lt;=$C$4,CONCATENATE(TEXT(Calc!C596,"#0.000#")," || ",TEXT(INDEX(Calc!L596:P596,$B$4),"#0.000#")),""),"")</f>
        <v/>
      </c>
      <c r="C596" s="41" t="str">
        <f>IFERROR(IF(Calc!E596&lt;=$C$4,Calc!E596,""),"")</f>
        <v/>
      </c>
      <c r="D596" s="33" t="str">
        <f>IFERROR(IF(Calc!E596&lt;=$D$4,"Nice",""),"")</f>
        <v/>
      </c>
      <c r="E596" s="40" t="str">
        <f>IFERROR(IF(Calc!J596&lt;=$C$4,Calc!I596,""),"")</f>
        <v/>
      </c>
      <c r="F596" s="40" t="str">
        <f>IFERROR(IF(Calc!J596&lt;=$C$4,CONCATENATE(TEXT(Calc!H596,"#0.000#")," + ",TEXT(INDEX(Calc!L596:P596,$B$4),"#0.000#")),""),"")</f>
        <v/>
      </c>
      <c r="G596" s="41" t="str">
        <f>IFERROR(IF(Calc!J596&lt;=$C$4,Calc!J596,""),"")</f>
        <v/>
      </c>
      <c r="H596" s="33" t="str">
        <f>IFERROR(IF(Calc!J596&lt;=$D$4,"Nice",""),"")</f>
        <v/>
      </c>
      <c r="J596" s="7" t="str">
        <f>CONCATENATE("[",TEXT(Show!A596,"#.0#"),":",TEXT(Show!B596,"#.0#"),"][",TEXT(Show!E596,"#.0#"),":",TEXT(Show!F596,"#.0#"),"]")</f>
        <v>[:][:]</v>
      </c>
    </row>
    <row r="597" spans="1:10" hidden="1" x14ac:dyDescent="0.25">
      <c r="A597" s="40" t="str">
        <f>IFERROR(IF(Calc!E597&lt;=$C$4,Calc!D597,""),"")</f>
        <v/>
      </c>
      <c r="B597" s="40" t="str">
        <f>IFERROR(IF(Calc!E597&lt;=$C$4,CONCATENATE(TEXT(Calc!C597,"#0.000#")," || ",TEXT(INDEX(Calc!L597:P597,$B$4),"#0.000#")),""),"")</f>
        <v/>
      </c>
      <c r="C597" s="41" t="str">
        <f>IFERROR(IF(Calc!E597&lt;=$C$4,Calc!E597,""),"")</f>
        <v/>
      </c>
      <c r="D597" s="33" t="str">
        <f>IFERROR(IF(Calc!E597&lt;=$D$4,"Nice",""),"")</f>
        <v/>
      </c>
      <c r="E597" s="40" t="str">
        <f>IFERROR(IF(Calc!J597&lt;=$C$4,Calc!I597,""),"")</f>
        <v/>
      </c>
      <c r="F597" s="40" t="str">
        <f>IFERROR(IF(Calc!J597&lt;=$C$4,CONCATENATE(TEXT(Calc!H597,"#0.000#")," + ",TEXT(INDEX(Calc!L597:P597,$B$4),"#0.000#")),""),"")</f>
        <v/>
      </c>
      <c r="G597" s="41" t="str">
        <f>IFERROR(IF(Calc!J597&lt;=$C$4,Calc!J597,""),"")</f>
        <v/>
      </c>
      <c r="H597" s="33" t="str">
        <f>IFERROR(IF(Calc!J597&lt;=$D$4,"Nice",""),"")</f>
        <v/>
      </c>
      <c r="J597" s="7" t="str">
        <f>CONCATENATE("[",TEXT(Show!A597,"#.0#"),":",TEXT(Show!B597,"#.0#"),"][",TEXT(Show!E597,"#.0#"),":",TEXT(Show!F597,"#.0#"),"]")</f>
        <v>[:][:]</v>
      </c>
    </row>
    <row r="598" spans="1:10" hidden="1" x14ac:dyDescent="0.25">
      <c r="A598" s="40" t="str">
        <f>IFERROR(IF(Calc!E598&lt;=$C$4,Calc!D598,""),"")</f>
        <v/>
      </c>
      <c r="B598" s="40" t="str">
        <f>IFERROR(IF(Calc!E598&lt;=$C$4,CONCATENATE(TEXT(Calc!C598,"#0.000#")," || ",TEXT(INDEX(Calc!L598:P598,$B$4),"#0.000#")),""),"")</f>
        <v/>
      </c>
      <c r="C598" s="41" t="str">
        <f>IFERROR(IF(Calc!E598&lt;=$C$4,Calc!E598,""),"")</f>
        <v/>
      </c>
      <c r="D598" s="33" t="str">
        <f>IFERROR(IF(Calc!E598&lt;=$D$4,"Nice",""),"")</f>
        <v/>
      </c>
      <c r="E598" s="40" t="str">
        <f>IFERROR(IF(Calc!J598&lt;=$C$4,Calc!I598,""),"")</f>
        <v/>
      </c>
      <c r="F598" s="40" t="str">
        <f>IFERROR(IF(Calc!J598&lt;=$C$4,CONCATENATE(TEXT(Calc!H598,"#0.000#")," + ",TEXT(INDEX(Calc!L598:P598,$B$4),"#0.000#")),""),"")</f>
        <v/>
      </c>
      <c r="G598" s="41" t="str">
        <f>IFERROR(IF(Calc!J598&lt;=$C$4,Calc!J598,""),"")</f>
        <v/>
      </c>
      <c r="H598" s="33" t="str">
        <f>IFERROR(IF(Calc!J598&lt;=$D$4,"Nice",""),"")</f>
        <v/>
      </c>
      <c r="J598" s="7" t="str">
        <f>CONCATENATE("[",TEXT(Show!A598,"#.0#"),":",TEXT(Show!B598,"#.0#"),"][",TEXT(Show!E598,"#.0#"),":",TEXT(Show!F598,"#.0#"),"]")</f>
        <v>[:][:]</v>
      </c>
    </row>
    <row r="599" spans="1:10" hidden="1" x14ac:dyDescent="0.25">
      <c r="A599" s="40" t="str">
        <f>IFERROR(IF(Calc!E599&lt;=$C$4,Calc!D599,""),"")</f>
        <v/>
      </c>
      <c r="B599" s="40" t="str">
        <f>IFERROR(IF(Calc!E599&lt;=$C$4,CONCATENATE(TEXT(Calc!C599,"#0.000#")," || ",TEXT(INDEX(Calc!L599:P599,$B$4),"#0.000#")),""),"")</f>
        <v/>
      </c>
      <c r="C599" s="41" t="str">
        <f>IFERROR(IF(Calc!E599&lt;=$C$4,Calc!E599,""),"")</f>
        <v/>
      </c>
      <c r="D599" s="33" t="str">
        <f>IFERROR(IF(Calc!E599&lt;=$D$4,"Nice",""),"")</f>
        <v/>
      </c>
      <c r="E599" s="40" t="str">
        <f>IFERROR(IF(Calc!J599&lt;=$C$4,Calc!I599,""),"")</f>
        <v/>
      </c>
      <c r="F599" s="40" t="str">
        <f>IFERROR(IF(Calc!J599&lt;=$C$4,CONCATENATE(TEXT(Calc!H599,"#0.000#")," + ",TEXT(INDEX(Calc!L599:P599,$B$4),"#0.000#")),""),"")</f>
        <v/>
      </c>
      <c r="G599" s="41" t="str">
        <f>IFERROR(IF(Calc!J599&lt;=$C$4,Calc!J599,""),"")</f>
        <v/>
      </c>
      <c r="H599" s="33" t="str">
        <f>IFERROR(IF(Calc!J599&lt;=$D$4,"Nice",""),"")</f>
        <v/>
      </c>
      <c r="J599" s="7" t="str">
        <f>CONCATENATE("[",TEXT(Show!A599,"#.0#"),":",TEXT(Show!B599,"#.0#"),"][",TEXT(Show!E599,"#.0#"),":",TEXT(Show!F599,"#.0#"),"]")</f>
        <v>[:][:]</v>
      </c>
    </row>
    <row r="600" spans="1:10" hidden="1" x14ac:dyDescent="0.25">
      <c r="A600" s="40" t="str">
        <f>IFERROR(IF(Calc!E600&lt;=$C$4,Calc!D600,""),"")</f>
        <v/>
      </c>
      <c r="B600" s="40" t="str">
        <f>IFERROR(IF(Calc!E600&lt;=$C$4,CONCATENATE(TEXT(Calc!C600,"#0.000#")," || ",TEXT(INDEX(Calc!L600:P600,$B$4),"#0.000#")),""),"")</f>
        <v/>
      </c>
      <c r="C600" s="41" t="str">
        <f>IFERROR(IF(Calc!E600&lt;=$C$4,Calc!E600,""),"")</f>
        <v/>
      </c>
      <c r="D600" s="33" t="str">
        <f>IFERROR(IF(Calc!E600&lt;=$D$4,"Nice",""),"")</f>
        <v/>
      </c>
      <c r="E600" s="40" t="str">
        <f>IFERROR(IF(Calc!J600&lt;=$C$4,Calc!I600,""),"")</f>
        <v/>
      </c>
      <c r="F600" s="40" t="str">
        <f>IFERROR(IF(Calc!J600&lt;=$C$4,CONCATENATE(TEXT(Calc!H600,"#0.000#")," + ",TEXT(INDEX(Calc!L600:P600,$B$4),"#0.000#")),""),"")</f>
        <v/>
      </c>
      <c r="G600" s="41" t="str">
        <f>IFERROR(IF(Calc!J600&lt;=$C$4,Calc!J600,""),"")</f>
        <v/>
      </c>
      <c r="H600" s="33" t="str">
        <f>IFERROR(IF(Calc!J600&lt;=$D$4,"Nice",""),"")</f>
        <v/>
      </c>
      <c r="J600" s="7" t="str">
        <f>CONCATENATE("[",TEXT(Show!A600,"#.0#"),":",TEXT(Show!B600,"#.0#"),"][",TEXT(Show!E600,"#.0#"),":",TEXT(Show!F600,"#.0#"),"]")</f>
        <v>[:][:]</v>
      </c>
    </row>
    <row r="601" spans="1:10" hidden="1" x14ac:dyDescent="0.25">
      <c r="A601" s="40" t="str">
        <f>IFERROR(IF(Calc!E601&lt;=$C$4,Calc!D601,""),"")</f>
        <v/>
      </c>
      <c r="B601" s="40" t="str">
        <f>IFERROR(IF(Calc!E601&lt;=$C$4,CONCATENATE(TEXT(Calc!C601,"#0.000#")," || ",TEXT(INDEX(Calc!L601:P601,$B$4),"#0.000#")),""),"")</f>
        <v/>
      </c>
      <c r="C601" s="41" t="str">
        <f>IFERROR(IF(Calc!E601&lt;=$C$4,Calc!E601,""),"")</f>
        <v/>
      </c>
      <c r="D601" s="33" t="str">
        <f>IFERROR(IF(Calc!E601&lt;=$D$4,"Nice",""),"")</f>
        <v/>
      </c>
      <c r="E601" s="40" t="str">
        <f>IFERROR(IF(Calc!J601&lt;=$C$4,Calc!I601,""),"")</f>
        <v/>
      </c>
      <c r="F601" s="40" t="str">
        <f>IFERROR(IF(Calc!J601&lt;=$C$4,CONCATENATE(TEXT(Calc!H601,"#0.000#")," + ",TEXT(INDEX(Calc!L601:P601,$B$4),"#0.000#")),""),"")</f>
        <v/>
      </c>
      <c r="G601" s="41" t="str">
        <f>IFERROR(IF(Calc!J601&lt;=$C$4,Calc!J601,""),"")</f>
        <v/>
      </c>
      <c r="H601" s="33" t="str">
        <f>IFERROR(IF(Calc!J601&lt;=$D$4,"Nice",""),"")</f>
        <v/>
      </c>
      <c r="J601" s="7" t="str">
        <f>CONCATENATE("[",TEXT(Show!A601,"#.0#"),":",TEXT(Show!B601,"#.0#"),"][",TEXT(Show!E601,"#.0#"),":",TEXT(Show!F601,"#.0#"),"]")</f>
        <v>[:][:]</v>
      </c>
    </row>
    <row r="602" spans="1:10" hidden="1" x14ac:dyDescent="0.25">
      <c r="A602" s="40" t="str">
        <f>IFERROR(IF(Calc!E602&lt;=$C$4,Calc!D602,""),"")</f>
        <v/>
      </c>
      <c r="B602" s="40" t="str">
        <f>IFERROR(IF(Calc!E602&lt;=$C$4,CONCATENATE(TEXT(Calc!C602,"#0.000#")," || ",TEXT(INDEX(Calc!L602:P602,$B$4),"#0.000#")),""),"")</f>
        <v/>
      </c>
      <c r="C602" s="41" t="str">
        <f>IFERROR(IF(Calc!E602&lt;=$C$4,Calc!E602,""),"")</f>
        <v/>
      </c>
      <c r="D602" s="33" t="str">
        <f>IFERROR(IF(Calc!E602&lt;=$D$4,"Nice",""),"")</f>
        <v/>
      </c>
      <c r="E602" s="40" t="str">
        <f>IFERROR(IF(Calc!J602&lt;=$C$4,Calc!I602,""),"")</f>
        <v/>
      </c>
      <c r="F602" s="40" t="str">
        <f>IFERROR(IF(Calc!J602&lt;=$C$4,CONCATENATE(TEXT(Calc!H602,"#0.000#")," + ",TEXT(INDEX(Calc!L602:P602,$B$4),"#0.000#")),""),"")</f>
        <v/>
      </c>
      <c r="G602" s="41" t="str">
        <f>IFERROR(IF(Calc!J602&lt;=$C$4,Calc!J602,""),"")</f>
        <v/>
      </c>
      <c r="H602" s="33" t="str">
        <f>IFERROR(IF(Calc!J602&lt;=$D$4,"Nice",""),"")</f>
        <v/>
      </c>
      <c r="J602" s="7" t="str">
        <f>CONCATENATE("[",TEXT(Show!A602,"#.0#"),":",TEXT(Show!B602,"#.0#"),"][",TEXT(Show!E602,"#.0#"),":",TEXT(Show!F602,"#.0#"),"]")</f>
        <v>[:][:]</v>
      </c>
    </row>
    <row r="603" spans="1:10" hidden="1" x14ac:dyDescent="0.25">
      <c r="A603" s="40" t="str">
        <f>IFERROR(IF(Calc!E603&lt;=$C$4,Calc!D603,""),"")</f>
        <v/>
      </c>
      <c r="B603" s="40" t="str">
        <f>IFERROR(IF(Calc!E603&lt;=$C$4,CONCATENATE(TEXT(Calc!C603,"#0.000#")," || ",TEXT(INDEX(Calc!L603:P603,$B$4),"#0.000#")),""),"")</f>
        <v/>
      </c>
      <c r="C603" s="41" t="str">
        <f>IFERROR(IF(Calc!E603&lt;=$C$4,Calc!E603,""),"")</f>
        <v/>
      </c>
      <c r="D603" s="33" t="str">
        <f>IFERROR(IF(Calc!E603&lt;=$D$4,"Nice",""),"")</f>
        <v/>
      </c>
      <c r="E603" s="40" t="str">
        <f>IFERROR(IF(Calc!J603&lt;=$C$4,Calc!I603,""),"")</f>
        <v/>
      </c>
      <c r="F603" s="40" t="str">
        <f>IFERROR(IF(Calc!J603&lt;=$C$4,CONCATENATE(TEXT(Calc!H603,"#0.000#")," + ",TEXT(INDEX(Calc!L603:P603,$B$4),"#0.000#")),""),"")</f>
        <v/>
      </c>
      <c r="G603" s="41" t="str">
        <f>IFERROR(IF(Calc!J603&lt;=$C$4,Calc!J603,""),"")</f>
        <v/>
      </c>
      <c r="H603" s="33" t="str">
        <f>IFERROR(IF(Calc!J603&lt;=$D$4,"Nice",""),"")</f>
        <v/>
      </c>
      <c r="J603" s="7" t="str">
        <f>CONCATENATE("[",TEXT(Show!A603,"#.0#"),":",TEXT(Show!B603,"#.0#"),"][",TEXT(Show!E603,"#.0#"),":",TEXT(Show!F603,"#.0#"),"]")</f>
        <v>[:][:]</v>
      </c>
    </row>
    <row r="604" spans="1:10" hidden="1" x14ac:dyDescent="0.25">
      <c r="A604" s="40" t="str">
        <f>IFERROR(IF(Calc!E604&lt;=$C$4,Calc!D604,""),"")</f>
        <v/>
      </c>
      <c r="B604" s="40" t="str">
        <f>IFERROR(IF(Calc!E604&lt;=$C$4,CONCATENATE(TEXT(Calc!C604,"#0.000#")," || ",TEXT(INDEX(Calc!L604:P604,$B$4),"#0.000#")),""),"")</f>
        <v/>
      </c>
      <c r="C604" s="41" t="str">
        <f>IFERROR(IF(Calc!E604&lt;=$C$4,Calc!E604,""),"")</f>
        <v/>
      </c>
      <c r="D604" s="33" t="str">
        <f>IFERROR(IF(Calc!E604&lt;=$D$4,"Nice",""),"")</f>
        <v/>
      </c>
      <c r="E604" s="40" t="str">
        <f>IFERROR(IF(Calc!J604&lt;=$C$4,Calc!I604,""),"")</f>
        <v/>
      </c>
      <c r="F604" s="40" t="str">
        <f>IFERROR(IF(Calc!J604&lt;=$C$4,CONCATENATE(TEXT(Calc!H604,"#0.000#")," + ",TEXT(INDEX(Calc!L604:P604,$B$4),"#0.000#")),""),"")</f>
        <v/>
      </c>
      <c r="G604" s="41" t="str">
        <f>IFERROR(IF(Calc!J604&lt;=$C$4,Calc!J604,""),"")</f>
        <v/>
      </c>
      <c r="H604" s="33" t="str">
        <f>IFERROR(IF(Calc!J604&lt;=$D$4,"Nice",""),"")</f>
        <v/>
      </c>
      <c r="J604" s="7" t="str">
        <f>CONCATENATE("[",TEXT(Show!A604,"#.0#"),":",TEXT(Show!B604,"#.0#"),"][",TEXT(Show!E604,"#.0#"),":",TEXT(Show!F604,"#.0#"),"]")</f>
        <v>[:][:]</v>
      </c>
    </row>
    <row r="605" spans="1:10" hidden="1" x14ac:dyDescent="0.25">
      <c r="A605" s="40" t="str">
        <f>IFERROR(IF(Calc!E605&lt;=$C$4,Calc!D605,""),"")</f>
        <v/>
      </c>
      <c r="B605" s="40" t="str">
        <f>IFERROR(IF(Calc!E605&lt;=$C$4,CONCATENATE(TEXT(Calc!C605,"#0.000#")," || ",TEXT(INDEX(Calc!L605:P605,$B$4),"#0.000#")),""),"")</f>
        <v/>
      </c>
      <c r="C605" s="41" t="str">
        <f>IFERROR(IF(Calc!E605&lt;=$C$4,Calc!E605,""),"")</f>
        <v/>
      </c>
      <c r="D605" s="33" t="str">
        <f>IFERROR(IF(Calc!E605&lt;=$D$4,"Nice",""),"")</f>
        <v/>
      </c>
      <c r="E605" s="40" t="str">
        <f>IFERROR(IF(Calc!J605&lt;=$C$4,Calc!I605,""),"")</f>
        <v/>
      </c>
      <c r="F605" s="40" t="str">
        <f>IFERROR(IF(Calc!J605&lt;=$C$4,CONCATENATE(TEXT(Calc!H605,"#0.000#")," + ",TEXT(INDEX(Calc!L605:P605,$B$4),"#0.000#")),""),"")</f>
        <v/>
      </c>
      <c r="G605" s="41" t="str">
        <f>IFERROR(IF(Calc!J605&lt;=$C$4,Calc!J605,""),"")</f>
        <v/>
      </c>
      <c r="H605" s="33" t="str">
        <f>IFERROR(IF(Calc!J605&lt;=$D$4,"Nice",""),"")</f>
        <v/>
      </c>
      <c r="J605" s="7" t="str">
        <f>CONCATENATE("[",TEXT(Show!A605,"#.0#"),":",TEXT(Show!B605,"#.0#"),"][",TEXT(Show!E605,"#.0#"),":",TEXT(Show!F605,"#.0#"),"]")</f>
        <v>[:][:]</v>
      </c>
    </row>
    <row r="606" spans="1:10" hidden="1" x14ac:dyDescent="0.25">
      <c r="A606" s="40" t="str">
        <f>IFERROR(IF(Calc!E606&lt;=$C$4,Calc!D606,""),"")</f>
        <v/>
      </c>
      <c r="B606" s="40" t="str">
        <f>IFERROR(IF(Calc!E606&lt;=$C$4,CONCATENATE(TEXT(Calc!C606,"#0.000#")," || ",TEXT(INDEX(Calc!L606:P606,$B$4),"#0.000#")),""),"")</f>
        <v/>
      </c>
      <c r="C606" s="41" t="str">
        <f>IFERROR(IF(Calc!E606&lt;=$C$4,Calc!E606,""),"")</f>
        <v/>
      </c>
      <c r="D606" s="33" t="str">
        <f>IFERROR(IF(Calc!E606&lt;=$D$4,"Nice",""),"")</f>
        <v/>
      </c>
      <c r="E606" s="40" t="str">
        <f>IFERROR(IF(Calc!J606&lt;=$C$4,Calc!I606,""),"")</f>
        <v/>
      </c>
      <c r="F606" s="40" t="str">
        <f>IFERROR(IF(Calc!J606&lt;=$C$4,CONCATENATE(TEXT(Calc!H606,"#0.000#")," + ",TEXT(INDEX(Calc!L606:P606,$B$4),"#0.000#")),""),"")</f>
        <v/>
      </c>
      <c r="G606" s="41" t="str">
        <f>IFERROR(IF(Calc!J606&lt;=$C$4,Calc!J606,""),"")</f>
        <v/>
      </c>
      <c r="H606" s="33" t="str">
        <f>IFERROR(IF(Calc!J606&lt;=$D$4,"Nice",""),"")</f>
        <v/>
      </c>
      <c r="J606" s="7" t="str">
        <f>CONCATENATE("[",TEXT(Show!A606,"#.0#"),":",TEXT(Show!B606,"#.0#"),"][",TEXT(Show!E606,"#.0#"),":",TEXT(Show!F606,"#.0#"),"]")</f>
        <v>[:][:]</v>
      </c>
    </row>
    <row r="607" spans="1:10" hidden="1" x14ac:dyDescent="0.25">
      <c r="A607" s="40" t="str">
        <f>IFERROR(IF(Calc!E607&lt;=$C$4,Calc!D607,""),"")</f>
        <v/>
      </c>
      <c r="B607" s="40" t="str">
        <f>IFERROR(IF(Calc!E607&lt;=$C$4,CONCATENATE(TEXT(Calc!C607,"#0.000#")," || ",TEXT(INDEX(Calc!L607:P607,$B$4),"#0.000#")),""),"")</f>
        <v/>
      </c>
      <c r="C607" s="41" t="str">
        <f>IFERROR(IF(Calc!E607&lt;=$C$4,Calc!E607,""),"")</f>
        <v/>
      </c>
      <c r="D607" s="33" t="str">
        <f>IFERROR(IF(Calc!E607&lt;=$D$4,"Nice",""),"")</f>
        <v/>
      </c>
      <c r="E607" s="40" t="str">
        <f>IFERROR(IF(Calc!J607&lt;=$C$4,Calc!I607,""),"")</f>
        <v/>
      </c>
      <c r="F607" s="40" t="str">
        <f>IFERROR(IF(Calc!J607&lt;=$C$4,CONCATENATE(TEXT(Calc!H607,"#0.000#")," + ",TEXT(INDEX(Calc!L607:P607,$B$4),"#0.000#")),""),"")</f>
        <v/>
      </c>
      <c r="G607" s="41" t="str">
        <f>IFERROR(IF(Calc!J607&lt;=$C$4,Calc!J607,""),"")</f>
        <v/>
      </c>
      <c r="H607" s="33" t="str">
        <f>IFERROR(IF(Calc!J607&lt;=$D$4,"Nice",""),"")</f>
        <v/>
      </c>
      <c r="J607" s="7" t="str">
        <f>CONCATENATE("[",TEXT(Show!A607,"#.0#"),":",TEXT(Show!B607,"#.0#"),"][",TEXT(Show!E607,"#.0#"),":",TEXT(Show!F607,"#.0#"),"]")</f>
        <v>[:][:]</v>
      </c>
    </row>
    <row r="608" spans="1:10" hidden="1" x14ac:dyDescent="0.25">
      <c r="A608" s="40" t="str">
        <f>IFERROR(IF(Calc!E608&lt;=$C$4,Calc!D608,""),"")</f>
        <v/>
      </c>
      <c r="B608" s="40" t="str">
        <f>IFERROR(IF(Calc!E608&lt;=$C$4,CONCATENATE(TEXT(Calc!C608,"#0.000#")," || ",TEXT(INDEX(Calc!L608:P608,$B$4),"#0.000#")),""),"")</f>
        <v/>
      </c>
      <c r="C608" s="41" t="str">
        <f>IFERROR(IF(Calc!E608&lt;=$C$4,Calc!E608,""),"")</f>
        <v/>
      </c>
      <c r="D608" s="33" t="str">
        <f>IFERROR(IF(Calc!E608&lt;=$D$4,"Nice",""),"")</f>
        <v/>
      </c>
      <c r="E608" s="40" t="str">
        <f>IFERROR(IF(Calc!J608&lt;=$C$4,Calc!I608,""),"")</f>
        <v/>
      </c>
      <c r="F608" s="40" t="str">
        <f>IFERROR(IF(Calc!J608&lt;=$C$4,CONCATENATE(TEXT(Calc!H608,"#0.000#")," + ",TEXT(INDEX(Calc!L608:P608,$B$4),"#0.000#")),""),"")</f>
        <v/>
      </c>
      <c r="G608" s="41" t="str">
        <f>IFERROR(IF(Calc!J608&lt;=$C$4,Calc!J608,""),"")</f>
        <v/>
      </c>
      <c r="H608" s="33" t="str">
        <f>IFERROR(IF(Calc!J608&lt;=$D$4,"Nice",""),"")</f>
        <v/>
      </c>
      <c r="J608" s="7" t="str">
        <f>CONCATENATE("[",TEXT(Show!A608,"#.0#"),":",TEXT(Show!B608,"#.0#"),"][",TEXT(Show!E608,"#.0#"),":",TEXT(Show!F608,"#.0#"),"]")</f>
        <v>[:][:]</v>
      </c>
    </row>
    <row r="609" spans="1:10" hidden="1" x14ac:dyDescent="0.25">
      <c r="A609" s="40" t="str">
        <f>IFERROR(IF(Calc!E609&lt;=$C$4,Calc!D609,""),"")</f>
        <v/>
      </c>
      <c r="B609" s="40" t="str">
        <f>IFERROR(IF(Calc!E609&lt;=$C$4,CONCATENATE(TEXT(Calc!C609,"#0.000#")," || ",TEXT(INDEX(Calc!L609:P609,$B$4),"#0.000#")),""),"")</f>
        <v/>
      </c>
      <c r="C609" s="41" t="str">
        <f>IFERROR(IF(Calc!E609&lt;=$C$4,Calc!E609,""),"")</f>
        <v/>
      </c>
      <c r="D609" s="33" t="str">
        <f>IFERROR(IF(Calc!E609&lt;=$D$4,"Nice",""),"")</f>
        <v/>
      </c>
      <c r="E609" s="40" t="str">
        <f>IFERROR(IF(Calc!J609&lt;=$C$4,Calc!I609,""),"")</f>
        <v/>
      </c>
      <c r="F609" s="40" t="str">
        <f>IFERROR(IF(Calc!J609&lt;=$C$4,CONCATENATE(TEXT(Calc!H609,"#0.000#")," + ",TEXT(INDEX(Calc!L609:P609,$B$4),"#0.000#")),""),"")</f>
        <v/>
      </c>
      <c r="G609" s="41" t="str">
        <f>IFERROR(IF(Calc!J609&lt;=$C$4,Calc!J609,""),"")</f>
        <v/>
      </c>
      <c r="H609" s="33" t="str">
        <f>IFERROR(IF(Calc!J609&lt;=$D$4,"Nice",""),"")</f>
        <v/>
      </c>
      <c r="J609" s="7" t="str">
        <f>CONCATENATE("[",TEXT(Show!A609,"#.0#"),":",TEXT(Show!B609,"#.0#"),"][",TEXT(Show!E609,"#.0#"),":",TEXT(Show!F609,"#.0#"),"]")</f>
        <v>[:][:]</v>
      </c>
    </row>
    <row r="610" spans="1:10" hidden="1" x14ac:dyDescent="0.25">
      <c r="A610" s="40" t="str">
        <f>IFERROR(IF(Calc!E610&lt;=$C$4,Calc!D610,""),"")</f>
        <v/>
      </c>
      <c r="B610" s="40" t="str">
        <f>IFERROR(IF(Calc!E610&lt;=$C$4,CONCATENATE(TEXT(Calc!C610,"#0.000#")," || ",TEXT(INDEX(Calc!L610:P610,$B$4),"#0.000#")),""),"")</f>
        <v/>
      </c>
      <c r="C610" s="41" t="str">
        <f>IFERROR(IF(Calc!E610&lt;=$C$4,Calc!E610,""),"")</f>
        <v/>
      </c>
      <c r="D610" s="33" t="str">
        <f>IFERROR(IF(Calc!E610&lt;=$D$4,"Nice",""),"")</f>
        <v/>
      </c>
      <c r="E610" s="40" t="str">
        <f>IFERROR(IF(Calc!J610&lt;=$C$4,Calc!I610,""),"")</f>
        <v/>
      </c>
      <c r="F610" s="40" t="str">
        <f>IFERROR(IF(Calc!J610&lt;=$C$4,CONCATENATE(TEXT(Calc!H610,"#0.000#")," + ",TEXT(INDEX(Calc!L610:P610,$B$4),"#0.000#")),""),"")</f>
        <v/>
      </c>
      <c r="G610" s="41" t="str">
        <f>IFERROR(IF(Calc!J610&lt;=$C$4,Calc!J610,""),"")</f>
        <v/>
      </c>
      <c r="H610" s="33" t="str">
        <f>IFERROR(IF(Calc!J610&lt;=$D$4,"Nice",""),"")</f>
        <v/>
      </c>
      <c r="J610" s="7" t="str">
        <f>CONCATENATE("[",TEXT(Show!A610,"#.0#"),":",TEXT(Show!B610,"#.0#"),"][",TEXT(Show!E610,"#.0#"),":",TEXT(Show!F610,"#.0#"),"]")</f>
        <v>[:][:]</v>
      </c>
    </row>
    <row r="611" spans="1:10" hidden="1" x14ac:dyDescent="0.25">
      <c r="A611" s="40" t="str">
        <f>IFERROR(IF(Calc!E611&lt;=$C$4,Calc!D611,""),"")</f>
        <v/>
      </c>
      <c r="B611" s="40" t="str">
        <f>IFERROR(IF(Calc!E611&lt;=$C$4,CONCATENATE(TEXT(Calc!C611,"#0.000#")," || ",TEXT(INDEX(Calc!L611:P611,$B$4),"#0.000#")),""),"")</f>
        <v/>
      </c>
      <c r="C611" s="41" t="str">
        <f>IFERROR(IF(Calc!E611&lt;=$C$4,Calc!E611,""),"")</f>
        <v/>
      </c>
      <c r="D611" s="33" t="str">
        <f>IFERROR(IF(Calc!E611&lt;=$D$4,"Nice",""),"")</f>
        <v/>
      </c>
      <c r="E611" s="40" t="str">
        <f>IFERROR(IF(Calc!J611&lt;=$C$4,Calc!I611,""),"")</f>
        <v/>
      </c>
      <c r="F611" s="40" t="str">
        <f>IFERROR(IF(Calc!J611&lt;=$C$4,CONCATENATE(TEXT(Calc!H611,"#0.000#")," + ",TEXT(INDEX(Calc!L611:P611,$B$4),"#0.000#")),""),"")</f>
        <v/>
      </c>
      <c r="G611" s="41" t="str">
        <f>IFERROR(IF(Calc!J611&lt;=$C$4,Calc!J611,""),"")</f>
        <v/>
      </c>
      <c r="H611" s="33" t="str">
        <f>IFERROR(IF(Calc!J611&lt;=$D$4,"Nice",""),"")</f>
        <v/>
      </c>
      <c r="J611" s="7" t="str">
        <f>CONCATENATE("[",TEXT(Show!A611,"#.0#"),":",TEXT(Show!B611,"#.0#"),"][",TEXT(Show!E611,"#.0#"),":",TEXT(Show!F611,"#.0#"),"]")</f>
        <v>[:][:]</v>
      </c>
    </row>
    <row r="612" spans="1:10" hidden="1" x14ac:dyDescent="0.25">
      <c r="A612" s="40" t="str">
        <f>IFERROR(IF(Calc!E612&lt;=$C$4,Calc!D612,""),"")</f>
        <v/>
      </c>
      <c r="B612" s="40" t="str">
        <f>IFERROR(IF(Calc!E612&lt;=$C$4,CONCATENATE(TEXT(Calc!C612,"#0.000#")," || ",TEXT(INDEX(Calc!L612:P612,$B$4),"#0.000#")),""),"")</f>
        <v/>
      </c>
      <c r="C612" s="41" t="str">
        <f>IFERROR(IF(Calc!E612&lt;=$C$4,Calc!E612,""),"")</f>
        <v/>
      </c>
      <c r="D612" s="33" t="str">
        <f>IFERROR(IF(Calc!E612&lt;=$D$4,"Nice",""),"")</f>
        <v/>
      </c>
      <c r="E612" s="40" t="str">
        <f>IFERROR(IF(Calc!J612&lt;=$C$4,Calc!I612,""),"")</f>
        <v/>
      </c>
      <c r="F612" s="40" t="str">
        <f>IFERROR(IF(Calc!J612&lt;=$C$4,CONCATENATE(TEXT(Calc!H612,"#0.000#")," + ",TEXT(INDEX(Calc!L612:P612,$B$4),"#0.000#")),""),"")</f>
        <v/>
      </c>
      <c r="G612" s="41" t="str">
        <f>IFERROR(IF(Calc!J612&lt;=$C$4,Calc!J612,""),"")</f>
        <v/>
      </c>
      <c r="H612" s="33" t="str">
        <f>IFERROR(IF(Calc!J612&lt;=$D$4,"Nice",""),"")</f>
        <v/>
      </c>
      <c r="J612" s="7" t="str">
        <f>CONCATENATE("[",TEXT(Show!A612,"#.0#"),":",TEXT(Show!B612,"#.0#"),"][",TEXT(Show!E612,"#.0#"),":",TEXT(Show!F612,"#.0#"),"]")</f>
        <v>[:][:]</v>
      </c>
    </row>
    <row r="613" spans="1:10" hidden="1" x14ac:dyDescent="0.25">
      <c r="A613" s="40" t="str">
        <f>IFERROR(IF(Calc!E613&lt;=$C$4,Calc!D613,""),"")</f>
        <v/>
      </c>
      <c r="B613" s="40" t="str">
        <f>IFERROR(IF(Calc!E613&lt;=$C$4,CONCATENATE(TEXT(Calc!C613,"#0.000#")," || ",TEXT(INDEX(Calc!L613:P613,$B$4),"#0.000#")),""),"")</f>
        <v/>
      </c>
      <c r="C613" s="41" t="str">
        <f>IFERROR(IF(Calc!E613&lt;=$C$4,Calc!E613,""),"")</f>
        <v/>
      </c>
      <c r="D613" s="33" t="str">
        <f>IFERROR(IF(Calc!E613&lt;=$D$4,"Nice",""),"")</f>
        <v/>
      </c>
      <c r="E613" s="40" t="str">
        <f>IFERROR(IF(Calc!J613&lt;=$C$4,Calc!I613,""),"")</f>
        <v/>
      </c>
      <c r="F613" s="40" t="str">
        <f>IFERROR(IF(Calc!J613&lt;=$C$4,CONCATENATE(TEXT(Calc!H613,"#0.000#")," + ",TEXT(INDEX(Calc!L613:P613,$B$4),"#0.000#")),""),"")</f>
        <v/>
      </c>
      <c r="G613" s="41" t="str">
        <f>IFERROR(IF(Calc!J613&lt;=$C$4,Calc!J613,""),"")</f>
        <v/>
      </c>
      <c r="H613" s="33" t="str">
        <f>IFERROR(IF(Calc!J613&lt;=$D$4,"Nice",""),"")</f>
        <v/>
      </c>
      <c r="J613" s="7" t="str">
        <f>CONCATENATE("[",TEXT(Show!A613,"#.0#"),":",TEXT(Show!B613,"#.0#"),"][",TEXT(Show!E613,"#.0#"),":",TEXT(Show!F613,"#.0#"),"]")</f>
        <v>[:][:]</v>
      </c>
    </row>
    <row r="614" spans="1:10" hidden="1" x14ac:dyDescent="0.25">
      <c r="A614" s="40" t="str">
        <f>IFERROR(IF(Calc!E614&lt;=$C$4,Calc!D614,""),"")</f>
        <v/>
      </c>
      <c r="B614" s="40" t="str">
        <f>IFERROR(IF(Calc!E614&lt;=$C$4,CONCATENATE(TEXT(Calc!C614,"#0.000#")," || ",TEXT(INDEX(Calc!L614:P614,$B$4),"#0.000#")),""),"")</f>
        <v/>
      </c>
      <c r="C614" s="41" t="str">
        <f>IFERROR(IF(Calc!E614&lt;=$C$4,Calc!E614,""),"")</f>
        <v/>
      </c>
      <c r="D614" s="33" t="str">
        <f>IFERROR(IF(Calc!E614&lt;=$D$4,"Nice",""),"")</f>
        <v/>
      </c>
      <c r="E614" s="40" t="str">
        <f>IFERROR(IF(Calc!J614&lt;=$C$4,Calc!I614,""),"")</f>
        <v/>
      </c>
      <c r="F614" s="40" t="str">
        <f>IFERROR(IF(Calc!J614&lt;=$C$4,CONCATENATE(TEXT(Calc!H614,"#0.000#")," + ",TEXT(INDEX(Calc!L614:P614,$B$4),"#0.000#")),""),"")</f>
        <v/>
      </c>
      <c r="G614" s="41" t="str">
        <f>IFERROR(IF(Calc!J614&lt;=$C$4,Calc!J614,""),"")</f>
        <v/>
      </c>
      <c r="H614" s="33" t="str">
        <f>IFERROR(IF(Calc!J614&lt;=$D$4,"Nice",""),"")</f>
        <v/>
      </c>
      <c r="J614" s="7" t="str">
        <f>CONCATENATE("[",TEXT(Show!A614,"#.0#"),":",TEXT(Show!B614,"#.0#"),"][",TEXT(Show!E614,"#.0#"),":",TEXT(Show!F614,"#.0#"),"]")</f>
        <v>[:][:]</v>
      </c>
    </row>
    <row r="615" spans="1:10" hidden="1" x14ac:dyDescent="0.25">
      <c r="A615" s="40" t="str">
        <f>IFERROR(IF(Calc!E615&lt;=$C$4,Calc!D615,""),"")</f>
        <v/>
      </c>
      <c r="B615" s="40" t="str">
        <f>IFERROR(IF(Calc!E615&lt;=$C$4,CONCATENATE(TEXT(Calc!C615,"#0.000#")," || ",TEXT(INDEX(Calc!L615:P615,$B$4),"#0.000#")),""),"")</f>
        <v/>
      </c>
      <c r="C615" s="41" t="str">
        <f>IFERROR(IF(Calc!E615&lt;=$C$4,Calc!E615,""),"")</f>
        <v/>
      </c>
      <c r="D615" s="33" t="str">
        <f>IFERROR(IF(Calc!E615&lt;=$D$4,"Nice",""),"")</f>
        <v/>
      </c>
      <c r="E615" s="40" t="str">
        <f>IFERROR(IF(Calc!J615&lt;=$C$4,Calc!I615,""),"")</f>
        <v/>
      </c>
      <c r="F615" s="40" t="str">
        <f>IFERROR(IF(Calc!J615&lt;=$C$4,CONCATENATE(TEXT(Calc!H615,"#0.000#")," + ",TEXT(INDEX(Calc!L615:P615,$B$4),"#0.000#")),""),"")</f>
        <v/>
      </c>
      <c r="G615" s="41" t="str">
        <f>IFERROR(IF(Calc!J615&lt;=$C$4,Calc!J615,""),"")</f>
        <v/>
      </c>
      <c r="H615" s="33" t="str">
        <f>IFERROR(IF(Calc!J615&lt;=$D$4,"Nice",""),"")</f>
        <v/>
      </c>
      <c r="J615" s="7" t="str">
        <f>CONCATENATE("[",TEXT(Show!A615,"#.0#"),":",TEXT(Show!B615,"#.0#"),"][",TEXT(Show!E615,"#.0#"),":",TEXT(Show!F615,"#.0#"),"]")</f>
        <v>[:][:]</v>
      </c>
    </row>
    <row r="616" spans="1:10" hidden="1" x14ac:dyDescent="0.25">
      <c r="A616" s="40" t="str">
        <f>IFERROR(IF(Calc!E616&lt;=$C$4,Calc!D616,""),"")</f>
        <v/>
      </c>
      <c r="B616" s="40" t="str">
        <f>IFERROR(IF(Calc!E616&lt;=$C$4,CONCATENATE(TEXT(Calc!C616,"#0.000#")," || ",TEXT(INDEX(Calc!L616:P616,$B$4),"#0.000#")),""),"")</f>
        <v/>
      </c>
      <c r="C616" s="41" t="str">
        <f>IFERROR(IF(Calc!E616&lt;=$C$4,Calc!E616,""),"")</f>
        <v/>
      </c>
      <c r="D616" s="33" t="str">
        <f>IFERROR(IF(Calc!E616&lt;=$D$4,"Nice",""),"")</f>
        <v/>
      </c>
      <c r="E616" s="40" t="str">
        <f>IFERROR(IF(Calc!J616&lt;=$C$4,Calc!I616,""),"")</f>
        <v/>
      </c>
      <c r="F616" s="40" t="str">
        <f>IFERROR(IF(Calc!J616&lt;=$C$4,CONCATENATE(TEXT(Calc!H616,"#0.000#")," + ",TEXT(INDEX(Calc!L616:P616,$B$4),"#0.000#")),""),"")</f>
        <v/>
      </c>
      <c r="G616" s="41" t="str">
        <f>IFERROR(IF(Calc!J616&lt;=$C$4,Calc!J616,""),"")</f>
        <v/>
      </c>
      <c r="H616" s="33" t="str">
        <f>IFERROR(IF(Calc!J616&lt;=$D$4,"Nice",""),"")</f>
        <v/>
      </c>
      <c r="J616" s="7" t="str">
        <f>CONCATENATE("[",TEXT(Show!A616,"#.0#"),":",TEXT(Show!B616,"#.0#"),"][",TEXT(Show!E616,"#.0#"),":",TEXT(Show!F616,"#.0#"),"]")</f>
        <v>[:][:]</v>
      </c>
    </row>
    <row r="617" spans="1:10" hidden="1" x14ac:dyDescent="0.25">
      <c r="A617" s="40" t="str">
        <f>IFERROR(IF(Calc!E617&lt;=$C$4,Calc!D617,""),"")</f>
        <v/>
      </c>
      <c r="B617" s="40" t="str">
        <f>IFERROR(IF(Calc!E617&lt;=$C$4,CONCATENATE(TEXT(Calc!C617,"#0.000#")," || ",TEXT(INDEX(Calc!L617:P617,$B$4),"#0.000#")),""),"")</f>
        <v/>
      </c>
      <c r="C617" s="41" t="str">
        <f>IFERROR(IF(Calc!E617&lt;=$C$4,Calc!E617,""),"")</f>
        <v/>
      </c>
      <c r="D617" s="33" t="str">
        <f>IFERROR(IF(Calc!E617&lt;=$D$4,"Nice",""),"")</f>
        <v/>
      </c>
      <c r="E617" s="40" t="str">
        <f>IFERROR(IF(Calc!J617&lt;=$C$4,Calc!I617,""),"")</f>
        <v/>
      </c>
      <c r="F617" s="40" t="str">
        <f>IFERROR(IF(Calc!J617&lt;=$C$4,CONCATENATE(TEXT(Calc!H617,"#0.000#")," + ",TEXT(INDEX(Calc!L617:P617,$B$4),"#0.000#")),""),"")</f>
        <v/>
      </c>
      <c r="G617" s="41" t="str">
        <f>IFERROR(IF(Calc!J617&lt;=$C$4,Calc!J617,""),"")</f>
        <v/>
      </c>
      <c r="H617" s="33" t="str">
        <f>IFERROR(IF(Calc!J617&lt;=$D$4,"Nice",""),"")</f>
        <v/>
      </c>
      <c r="J617" s="7" t="str">
        <f>CONCATENATE("[",TEXT(Show!A617,"#.0#"),":",TEXT(Show!B617,"#.0#"),"][",TEXT(Show!E617,"#.0#"),":",TEXT(Show!F617,"#.0#"),"]")</f>
        <v>[:][:]</v>
      </c>
    </row>
    <row r="618" spans="1:10" hidden="1" x14ac:dyDescent="0.25">
      <c r="A618" s="40" t="str">
        <f>IFERROR(IF(Calc!E618&lt;=$C$4,Calc!D618,""),"")</f>
        <v/>
      </c>
      <c r="B618" s="40" t="str">
        <f>IFERROR(IF(Calc!E618&lt;=$C$4,CONCATENATE(TEXT(Calc!C618,"#0.000#")," || ",TEXT(INDEX(Calc!L618:P618,$B$4),"#0.000#")),""),"")</f>
        <v/>
      </c>
      <c r="C618" s="41" t="str">
        <f>IFERROR(IF(Calc!E618&lt;=$C$4,Calc!E618,""),"")</f>
        <v/>
      </c>
      <c r="D618" s="33" t="str">
        <f>IFERROR(IF(Calc!E618&lt;=$D$4,"Nice",""),"")</f>
        <v/>
      </c>
      <c r="E618" s="40" t="str">
        <f>IFERROR(IF(Calc!J618&lt;=$C$4,Calc!I618,""),"")</f>
        <v/>
      </c>
      <c r="F618" s="40" t="str">
        <f>IFERROR(IF(Calc!J618&lt;=$C$4,CONCATENATE(TEXT(Calc!H618,"#0.000#")," + ",TEXT(INDEX(Calc!L618:P618,$B$4),"#0.000#")),""),"")</f>
        <v/>
      </c>
      <c r="G618" s="41" t="str">
        <f>IFERROR(IF(Calc!J618&lt;=$C$4,Calc!J618,""),"")</f>
        <v/>
      </c>
      <c r="H618" s="33" t="str">
        <f>IFERROR(IF(Calc!J618&lt;=$D$4,"Nice",""),"")</f>
        <v/>
      </c>
      <c r="J618" s="7" t="str">
        <f>CONCATENATE("[",TEXT(Show!A618,"#.0#"),":",TEXT(Show!B618,"#.0#"),"][",TEXT(Show!E618,"#.0#"),":",TEXT(Show!F618,"#.0#"),"]")</f>
        <v>[:][:]</v>
      </c>
    </row>
    <row r="619" spans="1:10" hidden="1" x14ac:dyDescent="0.25">
      <c r="A619" s="40" t="str">
        <f>IFERROR(IF(Calc!E619&lt;=$C$4,Calc!D619,""),"")</f>
        <v/>
      </c>
      <c r="B619" s="40" t="str">
        <f>IFERROR(IF(Calc!E619&lt;=$C$4,CONCATENATE(TEXT(Calc!C619,"#0.000#")," || ",TEXT(INDEX(Calc!L619:P619,$B$4),"#0.000#")),""),"")</f>
        <v/>
      </c>
      <c r="C619" s="41" t="str">
        <f>IFERROR(IF(Calc!E619&lt;=$C$4,Calc!E619,""),"")</f>
        <v/>
      </c>
      <c r="D619" s="33" t="str">
        <f>IFERROR(IF(Calc!E619&lt;=$D$4,"Nice",""),"")</f>
        <v/>
      </c>
      <c r="E619" s="40" t="str">
        <f>IFERROR(IF(Calc!J619&lt;=$C$4,Calc!I619,""),"")</f>
        <v/>
      </c>
      <c r="F619" s="40" t="str">
        <f>IFERROR(IF(Calc!J619&lt;=$C$4,CONCATENATE(TEXT(Calc!H619,"#0.000#")," + ",TEXT(INDEX(Calc!L619:P619,$B$4),"#0.000#")),""),"")</f>
        <v/>
      </c>
      <c r="G619" s="41" t="str">
        <f>IFERROR(IF(Calc!J619&lt;=$C$4,Calc!J619,""),"")</f>
        <v/>
      </c>
      <c r="H619" s="33" t="str">
        <f>IFERROR(IF(Calc!J619&lt;=$D$4,"Nice",""),"")</f>
        <v/>
      </c>
      <c r="J619" s="7" t="str">
        <f>CONCATENATE("[",TEXT(Show!A619,"#.0#"),":",TEXT(Show!B619,"#.0#"),"][",TEXT(Show!E619,"#.0#"),":",TEXT(Show!F619,"#.0#"),"]")</f>
        <v>[:][:]</v>
      </c>
    </row>
    <row r="620" spans="1:10" hidden="1" x14ac:dyDescent="0.25">
      <c r="A620" s="40" t="str">
        <f>IFERROR(IF(Calc!E620&lt;=$C$4,Calc!D620,""),"")</f>
        <v/>
      </c>
      <c r="B620" s="40" t="str">
        <f>IFERROR(IF(Calc!E620&lt;=$C$4,CONCATENATE(TEXT(Calc!C620,"#0.000#")," || ",TEXT(INDEX(Calc!L620:P620,$B$4),"#0.000#")),""),"")</f>
        <v/>
      </c>
      <c r="C620" s="41" t="str">
        <f>IFERROR(IF(Calc!E620&lt;=$C$4,Calc!E620,""),"")</f>
        <v/>
      </c>
      <c r="D620" s="33" t="str">
        <f>IFERROR(IF(Calc!E620&lt;=$D$4,"Nice",""),"")</f>
        <v/>
      </c>
      <c r="E620" s="40" t="str">
        <f>IFERROR(IF(Calc!J620&lt;=$C$4,Calc!I620,""),"")</f>
        <v/>
      </c>
      <c r="F620" s="40" t="str">
        <f>IFERROR(IF(Calc!J620&lt;=$C$4,CONCATENATE(TEXT(Calc!H620,"#0.000#")," + ",TEXT(INDEX(Calc!L620:P620,$B$4),"#0.000#")),""),"")</f>
        <v/>
      </c>
      <c r="G620" s="41" t="str">
        <f>IFERROR(IF(Calc!J620&lt;=$C$4,Calc!J620,""),"")</f>
        <v/>
      </c>
      <c r="H620" s="33" t="str">
        <f>IFERROR(IF(Calc!J620&lt;=$D$4,"Nice",""),"")</f>
        <v/>
      </c>
      <c r="J620" s="7" t="str">
        <f>CONCATENATE("[",TEXT(Show!A620,"#.0#"),":",TEXT(Show!B620,"#.0#"),"][",TEXT(Show!E620,"#.0#"),":",TEXT(Show!F620,"#.0#"),"]")</f>
        <v>[:][:]</v>
      </c>
    </row>
    <row r="621" spans="1:10" hidden="1" x14ac:dyDescent="0.25">
      <c r="A621" s="40" t="str">
        <f>IFERROR(IF(Calc!E621&lt;=$C$4,Calc!D621,""),"")</f>
        <v/>
      </c>
      <c r="B621" s="40" t="str">
        <f>IFERROR(IF(Calc!E621&lt;=$C$4,CONCATENATE(TEXT(Calc!C621,"#0.000#")," || ",TEXT(INDEX(Calc!L621:P621,$B$4),"#0.000#")),""),"")</f>
        <v/>
      </c>
      <c r="C621" s="41" t="str">
        <f>IFERROR(IF(Calc!E621&lt;=$C$4,Calc!E621,""),"")</f>
        <v/>
      </c>
      <c r="D621" s="33" t="str">
        <f>IFERROR(IF(Calc!E621&lt;=$D$4,"Nice",""),"")</f>
        <v/>
      </c>
      <c r="E621" s="40" t="str">
        <f>IFERROR(IF(Calc!J621&lt;=$C$4,Calc!I621,""),"")</f>
        <v/>
      </c>
      <c r="F621" s="40" t="str">
        <f>IFERROR(IF(Calc!J621&lt;=$C$4,CONCATENATE(TEXT(Calc!H621,"#0.000#")," + ",TEXT(INDEX(Calc!L621:P621,$B$4),"#0.000#")),""),"")</f>
        <v/>
      </c>
      <c r="G621" s="41" t="str">
        <f>IFERROR(IF(Calc!J621&lt;=$C$4,Calc!J621,""),"")</f>
        <v/>
      </c>
      <c r="H621" s="33" t="str">
        <f>IFERROR(IF(Calc!J621&lt;=$D$4,"Nice",""),"")</f>
        <v/>
      </c>
      <c r="J621" s="7" t="str">
        <f>CONCATENATE("[",TEXT(Show!A621,"#.0#"),":",TEXT(Show!B621,"#.0#"),"][",TEXT(Show!E621,"#.0#"),":",TEXT(Show!F621,"#.0#"),"]")</f>
        <v>[:][:]</v>
      </c>
    </row>
    <row r="622" spans="1:10" hidden="1" x14ac:dyDescent="0.25">
      <c r="A622" s="40" t="str">
        <f>IFERROR(IF(Calc!E622&lt;=$C$4,Calc!D622,""),"")</f>
        <v/>
      </c>
      <c r="B622" s="40" t="str">
        <f>IFERROR(IF(Calc!E622&lt;=$C$4,CONCATENATE(TEXT(Calc!C622,"#0.000#")," || ",TEXT(INDEX(Calc!L622:P622,$B$4),"#0.000#")),""),"")</f>
        <v/>
      </c>
      <c r="C622" s="41" t="str">
        <f>IFERROR(IF(Calc!E622&lt;=$C$4,Calc!E622,""),"")</f>
        <v/>
      </c>
      <c r="D622" s="33" t="str">
        <f>IFERROR(IF(Calc!E622&lt;=$D$4,"Nice",""),"")</f>
        <v/>
      </c>
      <c r="E622" s="40" t="str">
        <f>IFERROR(IF(Calc!J622&lt;=$C$4,Calc!I622,""),"")</f>
        <v/>
      </c>
      <c r="F622" s="40" t="str">
        <f>IFERROR(IF(Calc!J622&lt;=$C$4,CONCATENATE(TEXT(Calc!H622,"#0.000#")," + ",TEXT(INDEX(Calc!L622:P622,$B$4),"#0.000#")),""),"")</f>
        <v/>
      </c>
      <c r="G622" s="41" t="str">
        <f>IFERROR(IF(Calc!J622&lt;=$C$4,Calc!J622,""),"")</f>
        <v/>
      </c>
      <c r="H622" s="33" t="str">
        <f>IFERROR(IF(Calc!J622&lt;=$D$4,"Nice",""),"")</f>
        <v/>
      </c>
      <c r="J622" s="7" t="str">
        <f>CONCATENATE("[",TEXT(Show!A622,"#.0#"),":",TEXT(Show!B622,"#.0#"),"][",TEXT(Show!E622,"#.0#"),":",TEXT(Show!F622,"#.0#"),"]")</f>
        <v>[:][:]</v>
      </c>
    </row>
    <row r="623" spans="1:10" hidden="1" x14ac:dyDescent="0.25">
      <c r="A623" s="40" t="str">
        <f>IFERROR(IF(Calc!E623&lt;=$C$4,Calc!D623,""),"")</f>
        <v/>
      </c>
      <c r="B623" s="40" t="str">
        <f>IFERROR(IF(Calc!E623&lt;=$C$4,CONCATENATE(TEXT(Calc!C623,"#0.000#")," || ",TEXT(INDEX(Calc!L623:P623,$B$4),"#0.000#")),""),"")</f>
        <v/>
      </c>
      <c r="C623" s="41" t="str">
        <f>IFERROR(IF(Calc!E623&lt;=$C$4,Calc!E623,""),"")</f>
        <v/>
      </c>
      <c r="D623" s="33" t="str">
        <f>IFERROR(IF(Calc!E623&lt;=$D$4,"Nice",""),"")</f>
        <v/>
      </c>
      <c r="E623" s="40" t="str">
        <f>IFERROR(IF(Calc!J623&lt;=$C$4,Calc!I623,""),"")</f>
        <v/>
      </c>
      <c r="F623" s="40" t="str">
        <f>IFERROR(IF(Calc!J623&lt;=$C$4,CONCATENATE(TEXT(Calc!H623,"#0.000#")," + ",TEXT(INDEX(Calc!L623:P623,$B$4),"#0.000#")),""),"")</f>
        <v/>
      </c>
      <c r="G623" s="41" t="str">
        <f>IFERROR(IF(Calc!J623&lt;=$C$4,Calc!J623,""),"")</f>
        <v/>
      </c>
      <c r="H623" s="33" t="str">
        <f>IFERROR(IF(Calc!J623&lt;=$D$4,"Nice",""),"")</f>
        <v/>
      </c>
      <c r="J623" s="7" t="str">
        <f>CONCATENATE("[",TEXT(Show!A623,"#.0#"),":",TEXT(Show!B623,"#.0#"),"][",TEXT(Show!E623,"#.0#"),":",TEXT(Show!F623,"#.0#"),"]")</f>
        <v>[:][:]</v>
      </c>
    </row>
    <row r="624" spans="1:10" hidden="1" x14ac:dyDescent="0.25">
      <c r="A624" s="40" t="str">
        <f>IFERROR(IF(Calc!E624&lt;=$C$4,Calc!D624,""),"")</f>
        <v/>
      </c>
      <c r="B624" s="40" t="str">
        <f>IFERROR(IF(Calc!E624&lt;=$C$4,CONCATENATE(TEXT(Calc!C624,"#0.000#")," || ",TEXT(INDEX(Calc!L624:P624,$B$4),"#0.000#")),""),"")</f>
        <v/>
      </c>
      <c r="C624" s="41" t="str">
        <f>IFERROR(IF(Calc!E624&lt;=$C$4,Calc!E624,""),"")</f>
        <v/>
      </c>
      <c r="D624" s="33" t="str">
        <f>IFERROR(IF(Calc!E624&lt;=$D$4,"Nice",""),"")</f>
        <v/>
      </c>
      <c r="E624" s="40" t="str">
        <f>IFERROR(IF(Calc!J624&lt;=$C$4,Calc!I624,""),"")</f>
        <v/>
      </c>
      <c r="F624" s="40" t="str">
        <f>IFERROR(IF(Calc!J624&lt;=$C$4,CONCATENATE(TEXT(Calc!H624,"#0.000#")," + ",TEXT(INDEX(Calc!L624:P624,$B$4),"#0.000#")),""),"")</f>
        <v/>
      </c>
      <c r="G624" s="41" t="str">
        <f>IFERROR(IF(Calc!J624&lt;=$C$4,Calc!J624,""),"")</f>
        <v/>
      </c>
      <c r="H624" s="33" t="str">
        <f>IFERROR(IF(Calc!J624&lt;=$D$4,"Nice",""),"")</f>
        <v/>
      </c>
      <c r="J624" s="7" t="str">
        <f>CONCATENATE("[",TEXT(Show!A624,"#.0#"),":",TEXT(Show!B624,"#.0#"),"][",TEXT(Show!E624,"#.0#"),":",TEXT(Show!F624,"#.0#"),"]")</f>
        <v>[:][:]</v>
      </c>
    </row>
    <row r="625" spans="1:10" hidden="1" x14ac:dyDescent="0.25">
      <c r="A625" s="40" t="str">
        <f>IFERROR(IF(Calc!E625&lt;=$C$4,Calc!D625,""),"")</f>
        <v/>
      </c>
      <c r="B625" s="40" t="str">
        <f>IFERROR(IF(Calc!E625&lt;=$C$4,CONCATENATE(TEXT(Calc!C625,"#0.000#")," || ",TEXT(INDEX(Calc!L625:P625,$B$4),"#0.000#")),""),"")</f>
        <v/>
      </c>
      <c r="C625" s="41" t="str">
        <f>IFERROR(IF(Calc!E625&lt;=$C$4,Calc!E625,""),"")</f>
        <v/>
      </c>
      <c r="D625" s="33" t="str">
        <f>IFERROR(IF(Calc!E625&lt;=$D$4,"Nice",""),"")</f>
        <v/>
      </c>
      <c r="E625" s="40" t="str">
        <f>IFERROR(IF(Calc!J625&lt;=$C$4,Calc!I625,""),"")</f>
        <v/>
      </c>
      <c r="F625" s="40" t="str">
        <f>IFERROR(IF(Calc!J625&lt;=$C$4,CONCATENATE(TEXT(Calc!H625,"#0.000#")," + ",TEXT(INDEX(Calc!L625:P625,$B$4),"#0.000#")),""),"")</f>
        <v/>
      </c>
      <c r="G625" s="41" t="str">
        <f>IFERROR(IF(Calc!J625&lt;=$C$4,Calc!J625,""),"")</f>
        <v/>
      </c>
      <c r="H625" s="33" t="str">
        <f>IFERROR(IF(Calc!J625&lt;=$D$4,"Nice",""),"")</f>
        <v/>
      </c>
      <c r="J625" s="7" t="str">
        <f>CONCATENATE("[",TEXT(Show!A625,"#.0#"),":",TEXT(Show!B625,"#.0#"),"][",TEXT(Show!E625,"#.0#"),":",TEXT(Show!F625,"#.0#"),"]")</f>
        <v>[:][:]</v>
      </c>
    </row>
    <row r="626" spans="1:10" hidden="1" x14ac:dyDescent="0.25">
      <c r="A626" s="40" t="str">
        <f>IFERROR(IF(Calc!E626&lt;=$C$4,Calc!D626,""),"")</f>
        <v/>
      </c>
      <c r="B626" s="40" t="str">
        <f>IFERROR(IF(Calc!E626&lt;=$C$4,CONCATENATE(TEXT(Calc!C626,"#0.000#")," || ",TEXT(INDEX(Calc!L626:P626,$B$4),"#0.000#")),""),"")</f>
        <v/>
      </c>
      <c r="C626" s="41" t="str">
        <f>IFERROR(IF(Calc!E626&lt;=$C$4,Calc!E626,""),"")</f>
        <v/>
      </c>
      <c r="D626" s="33" t="str">
        <f>IFERROR(IF(Calc!E626&lt;=$D$4,"Nice",""),"")</f>
        <v/>
      </c>
      <c r="E626" s="40" t="str">
        <f>IFERROR(IF(Calc!J626&lt;=$C$4,Calc!I626,""),"")</f>
        <v/>
      </c>
      <c r="F626" s="40" t="str">
        <f>IFERROR(IF(Calc!J626&lt;=$C$4,CONCATENATE(TEXT(Calc!H626,"#0.000#")," + ",TEXT(INDEX(Calc!L626:P626,$B$4),"#0.000#")),""),"")</f>
        <v/>
      </c>
      <c r="G626" s="41" t="str">
        <f>IFERROR(IF(Calc!J626&lt;=$C$4,Calc!J626,""),"")</f>
        <v/>
      </c>
      <c r="H626" s="33" t="str">
        <f>IFERROR(IF(Calc!J626&lt;=$D$4,"Nice",""),"")</f>
        <v/>
      </c>
      <c r="J626" s="7" t="str">
        <f>CONCATENATE("[",TEXT(Show!A626,"#.0#"),":",TEXT(Show!B626,"#.0#"),"][",TEXT(Show!E626,"#.0#"),":",TEXT(Show!F626,"#.0#"),"]")</f>
        <v>[:][:]</v>
      </c>
    </row>
    <row r="627" spans="1:10" hidden="1" x14ac:dyDescent="0.25">
      <c r="A627" s="40" t="str">
        <f>IFERROR(IF(Calc!E627&lt;=$C$4,Calc!D627,""),"")</f>
        <v/>
      </c>
      <c r="B627" s="40" t="str">
        <f>IFERROR(IF(Calc!E627&lt;=$C$4,CONCATENATE(TEXT(Calc!C627,"#0.000#")," || ",TEXT(INDEX(Calc!L627:P627,$B$4),"#0.000#")),""),"")</f>
        <v/>
      </c>
      <c r="C627" s="41" t="str">
        <f>IFERROR(IF(Calc!E627&lt;=$C$4,Calc!E627,""),"")</f>
        <v/>
      </c>
      <c r="D627" s="33" t="str">
        <f>IFERROR(IF(Calc!E627&lt;=$D$4,"Nice",""),"")</f>
        <v/>
      </c>
      <c r="E627" s="40" t="str">
        <f>IFERROR(IF(Calc!J627&lt;=$C$4,Calc!I627,""),"")</f>
        <v/>
      </c>
      <c r="F627" s="40" t="str">
        <f>IFERROR(IF(Calc!J627&lt;=$C$4,CONCATENATE(TEXT(Calc!H627,"#0.000#")," + ",TEXT(INDEX(Calc!L627:P627,$B$4),"#0.000#")),""),"")</f>
        <v/>
      </c>
      <c r="G627" s="41" t="str">
        <f>IFERROR(IF(Calc!J627&lt;=$C$4,Calc!J627,""),"")</f>
        <v/>
      </c>
      <c r="H627" s="33" t="str">
        <f>IFERROR(IF(Calc!J627&lt;=$D$4,"Nice",""),"")</f>
        <v/>
      </c>
      <c r="J627" s="7" t="str">
        <f>CONCATENATE("[",TEXT(Show!A627,"#.0#"),":",TEXT(Show!B627,"#.0#"),"][",TEXT(Show!E627,"#.0#"),":",TEXT(Show!F627,"#.0#"),"]")</f>
        <v>[:][:]</v>
      </c>
    </row>
    <row r="628" spans="1:10" hidden="1" x14ac:dyDescent="0.25">
      <c r="A628" s="40" t="str">
        <f>IFERROR(IF(Calc!E628&lt;=$C$4,Calc!D628,""),"")</f>
        <v/>
      </c>
      <c r="B628" s="40" t="str">
        <f>IFERROR(IF(Calc!E628&lt;=$C$4,CONCATENATE(TEXT(Calc!C628,"#0.000#")," || ",TEXT(INDEX(Calc!L628:P628,$B$4),"#0.000#")),""),"")</f>
        <v/>
      </c>
      <c r="C628" s="41" t="str">
        <f>IFERROR(IF(Calc!E628&lt;=$C$4,Calc!E628,""),"")</f>
        <v/>
      </c>
      <c r="D628" s="33" t="str">
        <f>IFERROR(IF(Calc!E628&lt;=$D$4,"Nice",""),"")</f>
        <v/>
      </c>
      <c r="E628" s="40" t="str">
        <f>IFERROR(IF(Calc!J628&lt;=$C$4,Calc!I628,""),"")</f>
        <v/>
      </c>
      <c r="F628" s="40" t="str">
        <f>IFERROR(IF(Calc!J628&lt;=$C$4,CONCATENATE(TEXT(Calc!H628,"#0.000#")," + ",TEXT(INDEX(Calc!L628:P628,$B$4),"#0.000#")),""),"")</f>
        <v/>
      </c>
      <c r="G628" s="41" t="str">
        <f>IFERROR(IF(Calc!J628&lt;=$C$4,Calc!J628,""),"")</f>
        <v/>
      </c>
      <c r="H628" s="33" t="str">
        <f>IFERROR(IF(Calc!J628&lt;=$D$4,"Nice",""),"")</f>
        <v/>
      </c>
      <c r="J628" s="7" t="str">
        <f>CONCATENATE("[",TEXT(Show!A628,"#.0#"),":",TEXT(Show!B628,"#.0#"),"][",TEXT(Show!E628,"#.0#"),":",TEXT(Show!F628,"#.0#"),"]")</f>
        <v>[:][:]</v>
      </c>
    </row>
    <row r="629" spans="1:10" hidden="1" x14ac:dyDescent="0.25">
      <c r="A629" s="40" t="str">
        <f>IFERROR(IF(Calc!E629&lt;=$C$4,Calc!D629,""),"")</f>
        <v/>
      </c>
      <c r="B629" s="40" t="str">
        <f>IFERROR(IF(Calc!E629&lt;=$C$4,CONCATENATE(TEXT(Calc!C629,"#0.000#")," || ",TEXT(INDEX(Calc!L629:P629,$B$4),"#0.000#")),""),"")</f>
        <v/>
      </c>
      <c r="C629" s="41" t="str">
        <f>IFERROR(IF(Calc!E629&lt;=$C$4,Calc!E629,""),"")</f>
        <v/>
      </c>
      <c r="D629" s="33" t="str">
        <f>IFERROR(IF(Calc!E629&lt;=$D$4,"Nice",""),"")</f>
        <v/>
      </c>
      <c r="E629" s="40" t="str">
        <f>IFERROR(IF(Calc!J629&lt;=$C$4,Calc!I629,""),"")</f>
        <v/>
      </c>
      <c r="F629" s="40" t="str">
        <f>IFERROR(IF(Calc!J629&lt;=$C$4,CONCATENATE(TEXT(Calc!H629,"#0.000#")," + ",TEXT(INDEX(Calc!L629:P629,$B$4),"#0.000#")),""),"")</f>
        <v/>
      </c>
      <c r="G629" s="41" t="str">
        <f>IFERROR(IF(Calc!J629&lt;=$C$4,Calc!J629,""),"")</f>
        <v/>
      </c>
      <c r="H629" s="33" t="str">
        <f>IFERROR(IF(Calc!J629&lt;=$D$4,"Nice",""),"")</f>
        <v/>
      </c>
      <c r="J629" s="7" t="str">
        <f>CONCATENATE("[",TEXT(Show!A629,"#.0#"),":",TEXT(Show!B629,"#.0#"),"][",TEXT(Show!E629,"#.0#"),":",TEXT(Show!F629,"#.0#"),"]")</f>
        <v>[:][:]</v>
      </c>
    </row>
    <row r="630" spans="1:10" hidden="1" x14ac:dyDescent="0.25">
      <c r="A630" s="40" t="str">
        <f>IFERROR(IF(Calc!E630&lt;=$C$4,Calc!D630,""),"")</f>
        <v/>
      </c>
      <c r="B630" s="40" t="str">
        <f>IFERROR(IF(Calc!E630&lt;=$C$4,CONCATENATE(TEXT(Calc!C630,"#0.000#")," || ",TEXT(INDEX(Calc!L630:P630,$B$4),"#0.000#")),""),"")</f>
        <v/>
      </c>
      <c r="C630" s="41" t="str">
        <f>IFERROR(IF(Calc!E630&lt;=$C$4,Calc!E630,""),"")</f>
        <v/>
      </c>
      <c r="D630" s="33" t="str">
        <f>IFERROR(IF(Calc!E630&lt;=$D$4,"Nice",""),"")</f>
        <v/>
      </c>
      <c r="E630" s="40" t="str">
        <f>IFERROR(IF(Calc!J630&lt;=$C$4,Calc!I630,""),"")</f>
        <v/>
      </c>
      <c r="F630" s="40" t="str">
        <f>IFERROR(IF(Calc!J630&lt;=$C$4,CONCATENATE(TEXT(Calc!H630,"#0.000#")," + ",TEXT(INDEX(Calc!L630:P630,$B$4),"#0.000#")),""),"")</f>
        <v/>
      </c>
      <c r="G630" s="41" t="str">
        <f>IFERROR(IF(Calc!J630&lt;=$C$4,Calc!J630,""),"")</f>
        <v/>
      </c>
      <c r="H630" s="33" t="str">
        <f>IFERROR(IF(Calc!J630&lt;=$D$4,"Nice",""),"")</f>
        <v/>
      </c>
      <c r="J630" s="7" t="str">
        <f>CONCATENATE("[",TEXT(Show!A630,"#.0#"),":",TEXT(Show!B630,"#.0#"),"][",TEXT(Show!E630,"#.0#"),":",TEXT(Show!F630,"#.0#"),"]")</f>
        <v>[:][:]</v>
      </c>
    </row>
    <row r="631" spans="1:10" hidden="1" x14ac:dyDescent="0.25">
      <c r="A631" s="40" t="str">
        <f>IFERROR(IF(Calc!E631&lt;=$C$4,Calc!D631,""),"")</f>
        <v/>
      </c>
      <c r="B631" s="40" t="str">
        <f>IFERROR(IF(Calc!E631&lt;=$C$4,CONCATENATE(TEXT(Calc!C631,"#0.000#")," || ",TEXT(INDEX(Calc!L631:P631,$B$4),"#0.000#")),""),"")</f>
        <v/>
      </c>
      <c r="C631" s="41" t="str">
        <f>IFERROR(IF(Calc!E631&lt;=$C$4,Calc!E631,""),"")</f>
        <v/>
      </c>
      <c r="D631" s="33" t="str">
        <f>IFERROR(IF(Calc!E631&lt;=$D$4,"Nice",""),"")</f>
        <v/>
      </c>
      <c r="E631" s="40" t="str">
        <f>IFERROR(IF(Calc!J631&lt;=$C$4,Calc!I631,""),"")</f>
        <v/>
      </c>
      <c r="F631" s="40" t="str">
        <f>IFERROR(IF(Calc!J631&lt;=$C$4,CONCATENATE(TEXT(Calc!H631,"#0.000#")," + ",TEXT(INDEX(Calc!L631:P631,$B$4),"#0.000#")),""),"")</f>
        <v/>
      </c>
      <c r="G631" s="41" t="str">
        <f>IFERROR(IF(Calc!J631&lt;=$C$4,Calc!J631,""),"")</f>
        <v/>
      </c>
      <c r="H631" s="33" t="str">
        <f>IFERROR(IF(Calc!J631&lt;=$D$4,"Nice",""),"")</f>
        <v/>
      </c>
      <c r="J631" s="7" t="str">
        <f>CONCATENATE("[",TEXT(Show!A631,"#.0#"),":",TEXT(Show!B631,"#.0#"),"][",TEXT(Show!E631,"#.0#"),":",TEXT(Show!F631,"#.0#"),"]")</f>
        <v>[:][:]</v>
      </c>
    </row>
    <row r="632" spans="1:10" hidden="1" x14ac:dyDescent="0.25">
      <c r="A632" s="40" t="str">
        <f>IFERROR(IF(Calc!E632&lt;=$C$4,Calc!D632,""),"")</f>
        <v/>
      </c>
      <c r="B632" s="40" t="str">
        <f>IFERROR(IF(Calc!E632&lt;=$C$4,CONCATENATE(TEXT(Calc!C632,"#0.000#")," || ",TEXT(INDEX(Calc!L632:P632,$B$4),"#0.000#")),""),"")</f>
        <v/>
      </c>
      <c r="C632" s="41" t="str">
        <f>IFERROR(IF(Calc!E632&lt;=$C$4,Calc!E632,""),"")</f>
        <v/>
      </c>
      <c r="D632" s="33" t="str">
        <f>IFERROR(IF(Calc!E632&lt;=$D$4,"Nice",""),"")</f>
        <v/>
      </c>
      <c r="E632" s="40" t="str">
        <f>IFERROR(IF(Calc!J632&lt;=$C$4,Calc!I632,""),"")</f>
        <v/>
      </c>
      <c r="F632" s="40" t="str">
        <f>IFERROR(IF(Calc!J632&lt;=$C$4,CONCATENATE(TEXT(Calc!H632,"#0.000#")," + ",TEXT(INDEX(Calc!L632:P632,$B$4),"#0.000#")),""),"")</f>
        <v/>
      </c>
      <c r="G632" s="41" t="str">
        <f>IFERROR(IF(Calc!J632&lt;=$C$4,Calc!J632,""),"")</f>
        <v/>
      </c>
      <c r="H632" s="33" t="str">
        <f>IFERROR(IF(Calc!J632&lt;=$D$4,"Nice",""),"")</f>
        <v/>
      </c>
      <c r="J632" s="7" t="str">
        <f>CONCATENATE("[",TEXT(Show!A632,"#.0#"),":",TEXT(Show!B632,"#.0#"),"][",TEXT(Show!E632,"#.0#"),":",TEXT(Show!F632,"#.0#"),"]")</f>
        <v>[:][:]</v>
      </c>
    </row>
    <row r="633" spans="1:10" hidden="1" x14ac:dyDescent="0.25">
      <c r="A633" s="40" t="str">
        <f>IFERROR(IF(Calc!E633&lt;=$C$4,Calc!D633,""),"")</f>
        <v/>
      </c>
      <c r="B633" s="40" t="str">
        <f>IFERROR(IF(Calc!E633&lt;=$C$4,CONCATENATE(TEXT(Calc!C633,"#0.000#")," || ",TEXT(INDEX(Calc!L633:P633,$B$4),"#0.000#")),""),"")</f>
        <v/>
      </c>
      <c r="C633" s="41" t="str">
        <f>IFERROR(IF(Calc!E633&lt;=$C$4,Calc!E633,""),"")</f>
        <v/>
      </c>
      <c r="D633" s="33" t="str">
        <f>IFERROR(IF(Calc!E633&lt;=$D$4,"Nice",""),"")</f>
        <v/>
      </c>
      <c r="E633" s="40" t="str">
        <f>IFERROR(IF(Calc!J633&lt;=$C$4,Calc!I633,""),"")</f>
        <v/>
      </c>
      <c r="F633" s="40" t="str">
        <f>IFERROR(IF(Calc!J633&lt;=$C$4,CONCATENATE(TEXT(Calc!H633,"#0.000#")," + ",TEXT(INDEX(Calc!L633:P633,$B$4),"#0.000#")),""),"")</f>
        <v/>
      </c>
      <c r="G633" s="41" t="str">
        <f>IFERROR(IF(Calc!J633&lt;=$C$4,Calc!J633,""),"")</f>
        <v/>
      </c>
      <c r="H633" s="33" t="str">
        <f>IFERROR(IF(Calc!J633&lt;=$D$4,"Nice",""),"")</f>
        <v/>
      </c>
      <c r="J633" s="7" t="str">
        <f>CONCATENATE("[",TEXT(Show!A633,"#.0#"),":",TEXT(Show!B633,"#.0#"),"][",TEXT(Show!E633,"#.0#"),":",TEXT(Show!F633,"#.0#"),"]")</f>
        <v>[:][:]</v>
      </c>
    </row>
    <row r="634" spans="1:10" hidden="1" x14ac:dyDescent="0.25">
      <c r="A634" s="40" t="str">
        <f>IFERROR(IF(Calc!E634&lt;=$C$4,Calc!D634,""),"")</f>
        <v/>
      </c>
      <c r="B634" s="40" t="str">
        <f>IFERROR(IF(Calc!E634&lt;=$C$4,CONCATENATE(TEXT(Calc!C634,"#0.000#")," || ",TEXT(INDEX(Calc!L634:P634,$B$4),"#0.000#")),""),"")</f>
        <v/>
      </c>
      <c r="C634" s="41" t="str">
        <f>IFERROR(IF(Calc!E634&lt;=$C$4,Calc!E634,""),"")</f>
        <v/>
      </c>
      <c r="D634" s="33" t="str">
        <f>IFERROR(IF(Calc!E634&lt;=$D$4,"Nice",""),"")</f>
        <v/>
      </c>
      <c r="E634" s="40" t="str">
        <f>IFERROR(IF(Calc!J634&lt;=$C$4,Calc!I634,""),"")</f>
        <v/>
      </c>
      <c r="F634" s="40" t="str">
        <f>IFERROR(IF(Calc!J634&lt;=$C$4,CONCATENATE(TEXT(Calc!H634,"#0.000#")," + ",TEXT(INDEX(Calc!L634:P634,$B$4),"#0.000#")),""),"")</f>
        <v/>
      </c>
      <c r="G634" s="41" t="str">
        <f>IFERROR(IF(Calc!J634&lt;=$C$4,Calc!J634,""),"")</f>
        <v/>
      </c>
      <c r="H634" s="33" t="str">
        <f>IFERROR(IF(Calc!J634&lt;=$D$4,"Nice",""),"")</f>
        <v/>
      </c>
      <c r="J634" s="7" t="str">
        <f>CONCATENATE("[",TEXT(Show!A634,"#.0#"),":",TEXT(Show!B634,"#.0#"),"][",TEXT(Show!E634,"#.0#"),":",TEXT(Show!F634,"#.0#"),"]")</f>
        <v>[:][:]</v>
      </c>
    </row>
    <row r="635" spans="1:10" hidden="1" x14ac:dyDescent="0.25">
      <c r="A635" s="40" t="str">
        <f>IFERROR(IF(Calc!E635&lt;=$C$4,Calc!D635,""),"")</f>
        <v/>
      </c>
      <c r="B635" s="40" t="str">
        <f>IFERROR(IF(Calc!E635&lt;=$C$4,CONCATENATE(TEXT(Calc!C635,"#0.000#")," || ",TEXT(INDEX(Calc!L635:P635,$B$4),"#0.000#")),""),"")</f>
        <v/>
      </c>
      <c r="C635" s="41" t="str">
        <f>IFERROR(IF(Calc!E635&lt;=$C$4,Calc!E635,""),"")</f>
        <v/>
      </c>
      <c r="D635" s="33" t="str">
        <f>IFERROR(IF(Calc!E635&lt;=$D$4,"Nice",""),"")</f>
        <v/>
      </c>
      <c r="E635" s="40" t="str">
        <f>IFERROR(IF(Calc!J635&lt;=$C$4,Calc!I635,""),"")</f>
        <v/>
      </c>
      <c r="F635" s="40" t="str">
        <f>IFERROR(IF(Calc!J635&lt;=$C$4,CONCATENATE(TEXT(Calc!H635,"#0.000#")," + ",TEXT(INDEX(Calc!L635:P635,$B$4),"#0.000#")),""),"")</f>
        <v/>
      </c>
      <c r="G635" s="41" t="str">
        <f>IFERROR(IF(Calc!J635&lt;=$C$4,Calc!J635,""),"")</f>
        <v/>
      </c>
      <c r="H635" s="33" t="str">
        <f>IFERROR(IF(Calc!J635&lt;=$D$4,"Nice",""),"")</f>
        <v/>
      </c>
      <c r="J635" s="7" t="str">
        <f>CONCATENATE("[",TEXT(Show!A635,"#.0#"),":",TEXT(Show!B635,"#.0#"),"][",TEXT(Show!E635,"#.0#"),":",TEXT(Show!F635,"#.0#"),"]")</f>
        <v>[:][:]</v>
      </c>
    </row>
    <row r="636" spans="1:10" hidden="1" x14ac:dyDescent="0.25">
      <c r="A636" s="40" t="str">
        <f>IFERROR(IF(Calc!E636&lt;=$C$4,Calc!D636,""),"")</f>
        <v/>
      </c>
      <c r="B636" s="40" t="str">
        <f>IFERROR(IF(Calc!E636&lt;=$C$4,CONCATENATE(TEXT(Calc!C636,"#0.000#")," || ",TEXT(INDEX(Calc!L636:P636,$B$4),"#0.000#")),""),"")</f>
        <v/>
      </c>
      <c r="C636" s="41" t="str">
        <f>IFERROR(IF(Calc!E636&lt;=$C$4,Calc!E636,""),"")</f>
        <v/>
      </c>
      <c r="D636" s="33" t="str">
        <f>IFERROR(IF(Calc!E636&lt;=$D$4,"Nice",""),"")</f>
        <v/>
      </c>
      <c r="E636" s="40" t="str">
        <f>IFERROR(IF(Calc!J636&lt;=$C$4,Calc!I636,""),"")</f>
        <v/>
      </c>
      <c r="F636" s="40" t="str">
        <f>IFERROR(IF(Calc!J636&lt;=$C$4,CONCATENATE(TEXT(Calc!H636,"#0.000#")," + ",TEXT(INDEX(Calc!L636:P636,$B$4),"#0.000#")),""),"")</f>
        <v/>
      </c>
      <c r="G636" s="41" t="str">
        <f>IFERROR(IF(Calc!J636&lt;=$C$4,Calc!J636,""),"")</f>
        <v/>
      </c>
      <c r="H636" s="33" t="str">
        <f>IFERROR(IF(Calc!J636&lt;=$D$4,"Nice",""),"")</f>
        <v/>
      </c>
      <c r="J636" s="7" t="str">
        <f>CONCATENATE("[",TEXT(Show!A636,"#.0#"),":",TEXT(Show!B636,"#.0#"),"][",TEXT(Show!E636,"#.0#"),":",TEXT(Show!F636,"#.0#"),"]")</f>
        <v>[:][:]</v>
      </c>
    </row>
    <row r="637" spans="1:10" hidden="1" x14ac:dyDescent="0.25">
      <c r="A637" s="40" t="str">
        <f>IFERROR(IF(Calc!E637&lt;=$C$4,Calc!D637,""),"")</f>
        <v/>
      </c>
      <c r="B637" s="40" t="str">
        <f>IFERROR(IF(Calc!E637&lt;=$C$4,CONCATENATE(TEXT(Calc!C637,"#0.000#")," || ",TEXT(INDEX(Calc!L637:P637,$B$4),"#0.000#")),""),"")</f>
        <v/>
      </c>
      <c r="C637" s="41" t="str">
        <f>IFERROR(IF(Calc!E637&lt;=$C$4,Calc!E637,""),"")</f>
        <v/>
      </c>
      <c r="D637" s="33" t="str">
        <f>IFERROR(IF(Calc!E637&lt;=$D$4,"Nice",""),"")</f>
        <v/>
      </c>
      <c r="E637" s="40" t="str">
        <f>IFERROR(IF(Calc!J637&lt;=$C$4,Calc!I637,""),"")</f>
        <v/>
      </c>
      <c r="F637" s="40" t="str">
        <f>IFERROR(IF(Calc!J637&lt;=$C$4,CONCATENATE(TEXT(Calc!H637,"#0.000#")," + ",TEXT(INDEX(Calc!L637:P637,$B$4),"#0.000#")),""),"")</f>
        <v/>
      </c>
      <c r="G637" s="41" t="str">
        <f>IFERROR(IF(Calc!J637&lt;=$C$4,Calc!J637,""),"")</f>
        <v/>
      </c>
      <c r="H637" s="33" t="str">
        <f>IFERROR(IF(Calc!J637&lt;=$D$4,"Nice",""),"")</f>
        <v/>
      </c>
      <c r="J637" s="7" t="str">
        <f>CONCATENATE("[",TEXT(Show!A637,"#.0#"),":",TEXT(Show!B637,"#.0#"),"][",TEXT(Show!E637,"#.0#"),":",TEXT(Show!F637,"#.0#"),"]")</f>
        <v>[:][:]</v>
      </c>
    </row>
    <row r="638" spans="1:10" hidden="1" x14ac:dyDescent="0.25">
      <c r="A638" s="40" t="str">
        <f>IFERROR(IF(Calc!E638&lt;=$C$4,Calc!D638,""),"")</f>
        <v/>
      </c>
      <c r="B638" s="40" t="str">
        <f>IFERROR(IF(Calc!E638&lt;=$C$4,CONCATENATE(TEXT(Calc!C638,"#0.000#")," || ",TEXT(INDEX(Calc!L638:P638,$B$4),"#0.000#")),""),"")</f>
        <v/>
      </c>
      <c r="C638" s="41" t="str">
        <f>IFERROR(IF(Calc!E638&lt;=$C$4,Calc!E638,""),"")</f>
        <v/>
      </c>
      <c r="D638" s="33" t="str">
        <f>IFERROR(IF(Calc!E638&lt;=$D$4,"Nice",""),"")</f>
        <v/>
      </c>
      <c r="E638" s="40" t="str">
        <f>IFERROR(IF(Calc!J638&lt;=$C$4,Calc!I638,""),"")</f>
        <v/>
      </c>
      <c r="F638" s="40" t="str">
        <f>IFERROR(IF(Calc!J638&lt;=$C$4,CONCATENATE(TEXT(Calc!H638,"#0.000#")," + ",TEXT(INDEX(Calc!L638:P638,$B$4),"#0.000#")),""),"")</f>
        <v/>
      </c>
      <c r="G638" s="41" t="str">
        <f>IFERROR(IF(Calc!J638&lt;=$C$4,Calc!J638,""),"")</f>
        <v/>
      </c>
      <c r="H638" s="33" t="str">
        <f>IFERROR(IF(Calc!J638&lt;=$D$4,"Nice",""),"")</f>
        <v/>
      </c>
      <c r="J638" s="7" t="str">
        <f>CONCATENATE("[",TEXT(Show!A638,"#.0#"),":",TEXT(Show!B638,"#.0#"),"][",TEXT(Show!E638,"#.0#"),":",TEXT(Show!F638,"#.0#"),"]")</f>
        <v>[:][:]</v>
      </c>
    </row>
    <row r="639" spans="1:10" hidden="1" x14ac:dyDescent="0.25">
      <c r="A639" s="40" t="str">
        <f>IFERROR(IF(Calc!E639&lt;=$C$4,Calc!D639,""),"")</f>
        <v/>
      </c>
      <c r="B639" s="40" t="str">
        <f>IFERROR(IF(Calc!E639&lt;=$C$4,CONCATENATE(TEXT(Calc!C639,"#0.000#")," || ",TEXT(INDEX(Calc!L639:P639,$B$4),"#0.000#")),""),"")</f>
        <v/>
      </c>
      <c r="C639" s="41" t="str">
        <f>IFERROR(IF(Calc!E639&lt;=$C$4,Calc!E639,""),"")</f>
        <v/>
      </c>
      <c r="D639" s="33" t="str">
        <f>IFERROR(IF(Calc!E639&lt;=$D$4,"Nice",""),"")</f>
        <v/>
      </c>
      <c r="E639" s="40" t="str">
        <f>IFERROR(IF(Calc!J639&lt;=$C$4,Calc!I639,""),"")</f>
        <v/>
      </c>
      <c r="F639" s="40" t="str">
        <f>IFERROR(IF(Calc!J639&lt;=$C$4,CONCATENATE(TEXT(Calc!H639,"#0.000#")," + ",TEXT(INDEX(Calc!L639:P639,$B$4),"#0.000#")),""),"")</f>
        <v/>
      </c>
      <c r="G639" s="41" t="str">
        <f>IFERROR(IF(Calc!J639&lt;=$C$4,Calc!J639,""),"")</f>
        <v/>
      </c>
      <c r="H639" s="33" t="str">
        <f>IFERROR(IF(Calc!J639&lt;=$D$4,"Nice",""),"")</f>
        <v/>
      </c>
      <c r="J639" s="7" t="str">
        <f>CONCATENATE("[",TEXT(Show!A639,"#.0#"),":",TEXT(Show!B639,"#.0#"),"][",TEXT(Show!E639,"#.0#"),":",TEXT(Show!F639,"#.0#"),"]")</f>
        <v>[:][:]</v>
      </c>
    </row>
    <row r="640" spans="1:10" hidden="1" x14ac:dyDescent="0.25">
      <c r="A640" s="40" t="str">
        <f>IFERROR(IF(Calc!E640&lt;=$C$4,Calc!D640,""),"")</f>
        <v/>
      </c>
      <c r="B640" s="40" t="str">
        <f>IFERROR(IF(Calc!E640&lt;=$C$4,CONCATENATE(TEXT(Calc!C640,"#0.000#")," || ",TEXT(INDEX(Calc!L640:P640,$B$4),"#0.000#")),""),"")</f>
        <v/>
      </c>
      <c r="C640" s="41" t="str">
        <f>IFERROR(IF(Calc!E640&lt;=$C$4,Calc!E640,""),"")</f>
        <v/>
      </c>
      <c r="D640" s="33" t="str">
        <f>IFERROR(IF(Calc!E640&lt;=$D$4,"Nice",""),"")</f>
        <v/>
      </c>
      <c r="E640" s="40" t="str">
        <f>IFERROR(IF(Calc!J640&lt;=$C$4,Calc!I640,""),"")</f>
        <v/>
      </c>
      <c r="F640" s="40" t="str">
        <f>IFERROR(IF(Calc!J640&lt;=$C$4,CONCATENATE(TEXT(Calc!H640,"#0.000#")," + ",TEXT(INDEX(Calc!L640:P640,$B$4),"#0.000#")),""),"")</f>
        <v/>
      </c>
      <c r="G640" s="41" t="str">
        <f>IFERROR(IF(Calc!J640&lt;=$C$4,Calc!J640,""),"")</f>
        <v/>
      </c>
      <c r="H640" s="33" t="str">
        <f>IFERROR(IF(Calc!J640&lt;=$D$4,"Nice",""),"")</f>
        <v/>
      </c>
      <c r="J640" s="7" t="str">
        <f>CONCATENATE("[",TEXT(Show!A640,"#.0#"),":",TEXT(Show!B640,"#.0#"),"][",TEXT(Show!E640,"#.0#"),":",TEXT(Show!F640,"#.0#"),"]")</f>
        <v>[:][:]</v>
      </c>
    </row>
    <row r="641" spans="1:10" hidden="1" x14ac:dyDescent="0.25">
      <c r="A641" s="40" t="str">
        <f>IFERROR(IF(Calc!E641&lt;=$C$4,Calc!D641,""),"")</f>
        <v/>
      </c>
      <c r="B641" s="40" t="str">
        <f>IFERROR(IF(Calc!E641&lt;=$C$4,CONCATENATE(TEXT(Calc!C641,"#0.000#")," || ",TEXT(INDEX(Calc!L641:P641,$B$4),"#0.000#")),""),"")</f>
        <v/>
      </c>
      <c r="C641" s="41" t="str">
        <f>IFERROR(IF(Calc!E641&lt;=$C$4,Calc!E641,""),"")</f>
        <v/>
      </c>
      <c r="D641" s="33" t="str">
        <f>IFERROR(IF(Calc!E641&lt;=$D$4,"Nice",""),"")</f>
        <v/>
      </c>
      <c r="E641" s="40" t="str">
        <f>IFERROR(IF(Calc!J641&lt;=$C$4,Calc!I641,""),"")</f>
        <v/>
      </c>
      <c r="F641" s="40" t="str">
        <f>IFERROR(IF(Calc!J641&lt;=$C$4,CONCATENATE(TEXT(Calc!H641,"#0.000#")," + ",TEXT(INDEX(Calc!L641:P641,$B$4),"#0.000#")),""),"")</f>
        <v/>
      </c>
      <c r="G641" s="41" t="str">
        <f>IFERROR(IF(Calc!J641&lt;=$C$4,Calc!J641,""),"")</f>
        <v/>
      </c>
      <c r="H641" s="33" t="str">
        <f>IFERROR(IF(Calc!J641&lt;=$D$4,"Nice",""),"")</f>
        <v/>
      </c>
      <c r="J641" s="7" t="str">
        <f>CONCATENATE("[",TEXT(Show!A641,"#.0#"),":",TEXT(Show!B641,"#.0#"),"][",TEXT(Show!E641,"#.0#"),":",TEXT(Show!F641,"#.0#"),"]")</f>
        <v>[:][:]</v>
      </c>
    </row>
    <row r="642" spans="1:10" hidden="1" x14ac:dyDescent="0.25">
      <c r="A642" s="40" t="str">
        <f>IFERROR(IF(Calc!E642&lt;=$C$4,Calc!D642,""),"")</f>
        <v/>
      </c>
      <c r="B642" s="40" t="str">
        <f>IFERROR(IF(Calc!E642&lt;=$C$4,CONCATENATE(TEXT(Calc!C642,"#0.000#")," || ",TEXT(INDEX(Calc!L642:P642,$B$4),"#0.000#")),""),"")</f>
        <v/>
      </c>
      <c r="C642" s="41" t="str">
        <f>IFERROR(IF(Calc!E642&lt;=$C$4,Calc!E642,""),"")</f>
        <v/>
      </c>
      <c r="D642" s="33" t="str">
        <f>IFERROR(IF(Calc!E642&lt;=$D$4,"Nice",""),"")</f>
        <v/>
      </c>
      <c r="E642" s="40" t="str">
        <f>IFERROR(IF(Calc!J642&lt;=$C$4,Calc!I642,""),"")</f>
        <v/>
      </c>
      <c r="F642" s="40" t="str">
        <f>IFERROR(IF(Calc!J642&lt;=$C$4,CONCATENATE(TEXT(Calc!H642,"#0.000#")," + ",TEXT(INDEX(Calc!L642:P642,$B$4),"#0.000#")),""),"")</f>
        <v/>
      </c>
      <c r="G642" s="41" t="str">
        <f>IFERROR(IF(Calc!J642&lt;=$C$4,Calc!J642,""),"")</f>
        <v/>
      </c>
      <c r="H642" s="33" t="str">
        <f>IFERROR(IF(Calc!J642&lt;=$D$4,"Nice",""),"")</f>
        <v/>
      </c>
      <c r="J642" s="7" t="str">
        <f>CONCATENATE("[",TEXT(Show!A642,"#.0#"),":",TEXT(Show!B642,"#.0#"),"][",TEXT(Show!E642,"#.0#"),":",TEXT(Show!F642,"#.0#"),"]")</f>
        <v>[:][:]</v>
      </c>
    </row>
    <row r="643" spans="1:10" hidden="1" x14ac:dyDescent="0.25">
      <c r="A643" s="40" t="str">
        <f>IFERROR(IF(Calc!E643&lt;=$C$4,Calc!D643,""),"")</f>
        <v/>
      </c>
      <c r="B643" s="40" t="str">
        <f>IFERROR(IF(Calc!E643&lt;=$C$4,CONCATENATE(TEXT(Calc!C643,"#0.000#")," || ",TEXT(INDEX(Calc!L643:P643,$B$4),"#0.000#")),""),"")</f>
        <v/>
      </c>
      <c r="C643" s="41" t="str">
        <f>IFERROR(IF(Calc!E643&lt;=$C$4,Calc!E643,""),"")</f>
        <v/>
      </c>
      <c r="D643" s="33" t="str">
        <f>IFERROR(IF(Calc!E643&lt;=$D$4,"Nice",""),"")</f>
        <v/>
      </c>
      <c r="E643" s="40" t="str">
        <f>IFERROR(IF(Calc!J643&lt;=$C$4,Calc!I643,""),"")</f>
        <v/>
      </c>
      <c r="F643" s="40" t="str">
        <f>IFERROR(IF(Calc!J643&lt;=$C$4,CONCATENATE(TEXT(Calc!H643,"#0.000#")," + ",TEXT(INDEX(Calc!L643:P643,$B$4),"#0.000#")),""),"")</f>
        <v/>
      </c>
      <c r="G643" s="41" t="str">
        <f>IFERROR(IF(Calc!J643&lt;=$C$4,Calc!J643,""),"")</f>
        <v/>
      </c>
      <c r="H643" s="33" t="str">
        <f>IFERROR(IF(Calc!J643&lt;=$D$4,"Nice",""),"")</f>
        <v/>
      </c>
      <c r="J643" s="7" t="str">
        <f>CONCATENATE("[",TEXT(Show!A643,"#.0#"),":",TEXT(Show!B643,"#.0#"),"][",TEXT(Show!E643,"#.0#"),":",TEXT(Show!F643,"#.0#"),"]")</f>
        <v>[:][:]</v>
      </c>
    </row>
    <row r="644" spans="1:10" hidden="1" x14ac:dyDescent="0.25">
      <c r="A644" s="40" t="str">
        <f>IFERROR(IF(Calc!E644&lt;=$C$4,Calc!D644,""),"")</f>
        <v/>
      </c>
      <c r="B644" s="40" t="str">
        <f>IFERROR(IF(Calc!E644&lt;=$C$4,CONCATENATE(TEXT(Calc!C644,"#0.000#")," || ",TEXT(INDEX(Calc!L644:P644,$B$4),"#0.000#")),""),"")</f>
        <v/>
      </c>
      <c r="C644" s="41" t="str">
        <f>IFERROR(IF(Calc!E644&lt;=$C$4,Calc!E644,""),"")</f>
        <v/>
      </c>
      <c r="D644" s="33" t="str">
        <f>IFERROR(IF(Calc!E644&lt;=$D$4,"Nice",""),"")</f>
        <v/>
      </c>
      <c r="E644" s="40" t="str">
        <f>IFERROR(IF(Calc!J644&lt;=$C$4,Calc!I644,""),"")</f>
        <v/>
      </c>
      <c r="F644" s="40" t="str">
        <f>IFERROR(IF(Calc!J644&lt;=$C$4,CONCATENATE(TEXT(Calc!H644,"#0.000#")," + ",TEXT(INDEX(Calc!L644:P644,$B$4),"#0.000#")),""),"")</f>
        <v/>
      </c>
      <c r="G644" s="41" t="str">
        <f>IFERROR(IF(Calc!J644&lt;=$C$4,Calc!J644,""),"")</f>
        <v/>
      </c>
      <c r="H644" s="33" t="str">
        <f>IFERROR(IF(Calc!J644&lt;=$D$4,"Nice",""),"")</f>
        <v/>
      </c>
      <c r="J644" s="7" t="str">
        <f>CONCATENATE("[",TEXT(Show!A644,"#.0#"),":",TEXT(Show!B644,"#.0#"),"][",TEXT(Show!E644,"#.0#"),":",TEXT(Show!F644,"#.0#"),"]")</f>
        <v>[:][:]</v>
      </c>
    </row>
    <row r="645" spans="1:10" hidden="1" x14ac:dyDescent="0.25">
      <c r="A645" s="40" t="str">
        <f>IFERROR(IF(Calc!E645&lt;=$C$4,Calc!D645,""),"")</f>
        <v/>
      </c>
      <c r="B645" s="40" t="str">
        <f>IFERROR(IF(Calc!E645&lt;=$C$4,CONCATENATE(TEXT(Calc!C645,"#0.000#")," || ",TEXT(INDEX(Calc!L645:P645,$B$4),"#0.000#")),""),"")</f>
        <v/>
      </c>
      <c r="C645" s="41" t="str">
        <f>IFERROR(IF(Calc!E645&lt;=$C$4,Calc!E645,""),"")</f>
        <v/>
      </c>
      <c r="D645" s="33" t="str">
        <f>IFERROR(IF(Calc!E645&lt;=$D$4,"Nice",""),"")</f>
        <v/>
      </c>
      <c r="E645" s="40" t="str">
        <f>IFERROR(IF(Calc!J645&lt;=$C$4,Calc!I645,""),"")</f>
        <v/>
      </c>
      <c r="F645" s="40" t="str">
        <f>IFERROR(IF(Calc!J645&lt;=$C$4,CONCATENATE(TEXT(Calc!H645,"#0.000#")," + ",TEXT(INDEX(Calc!L645:P645,$B$4),"#0.000#")),""),"")</f>
        <v/>
      </c>
      <c r="G645" s="41" t="str">
        <f>IFERROR(IF(Calc!J645&lt;=$C$4,Calc!J645,""),"")</f>
        <v/>
      </c>
      <c r="H645" s="33" t="str">
        <f>IFERROR(IF(Calc!J645&lt;=$D$4,"Nice",""),"")</f>
        <v/>
      </c>
      <c r="J645" s="7" t="str">
        <f>CONCATENATE("[",TEXT(Show!A645,"#.0#"),":",TEXT(Show!B645,"#.0#"),"][",TEXT(Show!E645,"#.0#"),":",TEXT(Show!F645,"#.0#"),"]")</f>
        <v>[:][:]</v>
      </c>
    </row>
    <row r="646" spans="1:10" hidden="1" x14ac:dyDescent="0.25">
      <c r="A646" s="40" t="str">
        <f>IFERROR(IF(Calc!E646&lt;=$C$4,Calc!D646,""),"")</f>
        <v/>
      </c>
      <c r="B646" s="40" t="str">
        <f>IFERROR(IF(Calc!E646&lt;=$C$4,CONCATENATE(TEXT(Calc!C646,"#0.000#")," || ",TEXT(INDEX(Calc!L646:P646,$B$4),"#0.000#")),""),"")</f>
        <v/>
      </c>
      <c r="C646" s="41" t="str">
        <f>IFERROR(IF(Calc!E646&lt;=$C$4,Calc!E646,""),"")</f>
        <v/>
      </c>
      <c r="D646" s="33" t="str">
        <f>IFERROR(IF(Calc!E646&lt;=$D$4,"Nice",""),"")</f>
        <v/>
      </c>
      <c r="E646" s="40" t="str">
        <f>IFERROR(IF(Calc!J646&lt;=$C$4,Calc!I646,""),"")</f>
        <v/>
      </c>
      <c r="F646" s="40" t="str">
        <f>IFERROR(IF(Calc!J646&lt;=$C$4,CONCATENATE(TEXT(Calc!H646,"#0.000#")," + ",TEXT(INDEX(Calc!L646:P646,$B$4),"#0.000#")),""),"")</f>
        <v/>
      </c>
      <c r="G646" s="41" t="str">
        <f>IFERROR(IF(Calc!J646&lt;=$C$4,Calc!J646,""),"")</f>
        <v/>
      </c>
      <c r="H646" s="33" t="str">
        <f>IFERROR(IF(Calc!J646&lt;=$D$4,"Nice",""),"")</f>
        <v/>
      </c>
      <c r="J646" s="7" t="str">
        <f>CONCATENATE("[",TEXT(Show!A646,"#.0#"),":",TEXT(Show!B646,"#.0#"),"][",TEXT(Show!E646,"#.0#"),":",TEXT(Show!F646,"#.0#"),"]")</f>
        <v>[:][:]</v>
      </c>
    </row>
    <row r="647" spans="1:10" hidden="1" x14ac:dyDescent="0.25">
      <c r="A647" s="40" t="str">
        <f>IFERROR(IF(Calc!E647&lt;=$C$4,Calc!D647,""),"")</f>
        <v/>
      </c>
      <c r="B647" s="40" t="str">
        <f>IFERROR(IF(Calc!E647&lt;=$C$4,CONCATENATE(TEXT(Calc!C647,"#0.000#")," || ",TEXT(INDEX(Calc!L647:P647,$B$4),"#0.000#")),""),"")</f>
        <v/>
      </c>
      <c r="C647" s="41" t="str">
        <f>IFERROR(IF(Calc!E647&lt;=$C$4,Calc!E647,""),"")</f>
        <v/>
      </c>
      <c r="D647" s="33" t="str">
        <f>IFERROR(IF(Calc!E647&lt;=$D$4,"Nice",""),"")</f>
        <v/>
      </c>
      <c r="E647" s="40" t="str">
        <f>IFERROR(IF(Calc!J647&lt;=$C$4,Calc!I647,""),"")</f>
        <v/>
      </c>
      <c r="F647" s="40" t="str">
        <f>IFERROR(IF(Calc!J647&lt;=$C$4,CONCATENATE(TEXT(Calc!H647,"#0.000#")," + ",TEXT(INDEX(Calc!L647:P647,$B$4),"#0.000#")),""),"")</f>
        <v/>
      </c>
      <c r="G647" s="41" t="str">
        <f>IFERROR(IF(Calc!J647&lt;=$C$4,Calc!J647,""),"")</f>
        <v/>
      </c>
      <c r="H647" s="33" t="str">
        <f>IFERROR(IF(Calc!J647&lt;=$D$4,"Nice",""),"")</f>
        <v/>
      </c>
      <c r="J647" s="7" t="str">
        <f>CONCATENATE("[",TEXT(Show!A647,"#.0#"),":",TEXT(Show!B647,"#.0#"),"][",TEXT(Show!E647,"#.0#"),":",TEXT(Show!F647,"#.0#"),"]")</f>
        <v>[:][:]</v>
      </c>
    </row>
    <row r="648" spans="1:10" hidden="1" x14ac:dyDescent="0.25">
      <c r="A648" s="40" t="str">
        <f>IFERROR(IF(Calc!E648&lt;=$C$4,Calc!D648,""),"")</f>
        <v/>
      </c>
      <c r="B648" s="40" t="str">
        <f>IFERROR(IF(Calc!E648&lt;=$C$4,CONCATENATE(TEXT(Calc!C648,"#0.000#")," || ",TEXT(INDEX(Calc!L648:P648,$B$4),"#0.000#")),""),"")</f>
        <v/>
      </c>
      <c r="C648" s="41" t="str">
        <f>IFERROR(IF(Calc!E648&lt;=$C$4,Calc!E648,""),"")</f>
        <v/>
      </c>
      <c r="D648" s="33" t="str">
        <f>IFERROR(IF(Calc!E648&lt;=$D$4,"Nice",""),"")</f>
        <v/>
      </c>
      <c r="E648" s="40" t="str">
        <f>IFERROR(IF(Calc!J648&lt;=$C$4,Calc!I648,""),"")</f>
        <v/>
      </c>
      <c r="F648" s="40" t="str">
        <f>IFERROR(IF(Calc!J648&lt;=$C$4,CONCATENATE(TEXT(Calc!H648,"#0.000#")," + ",TEXT(INDEX(Calc!L648:P648,$B$4),"#0.000#")),""),"")</f>
        <v/>
      </c>
      <c r="G648" s="41" t="str">
        <f>IFERROR(IF(Calc!J648&lt;=$C$4,Calc!J648,""),"")</f>
        <v/>
      </c>
      <c r="H648" s="33" t="str">
        <f>IFERROR(IF(Calc!J648&lt;=$D$4,"Nice",""),"")</f>
        <v/>
      </c>
      <c r="J648" s="7" t="str">
        <f>CONCATENATE("[",TEXT(Show!A648,"#.0#"),":",TEXT(Show!B648,"#.0#"),"][",TEXT(Show!E648,"#.0#"),":",TEXT(Show!F648,"#.0#"),"]")</f>
        <v>[:][:]</v>
      </c>
    </row>
    <row r="649" spans="1:10" hidden="1" x14ac:dyDescent="0.25">
      <c r="A649" s="40" t="str">
        <f>IFERROR(IF(Calc!E649&lt;=$C$4,Calc!D649,""),"")</f>
        <v/>
      </c>
      <c r="B649" s="40" t="str">
        <f>IFERROR(IF(Calc!E649&lt;=$C$4,CONCATENATE(TEXT(Calc!C649,"#0.000#")," || ",TEXT(INDEX(Calc!L649:P649,$B$4),"#0.000#")),""),"")</f>
        <v/>
      </c>
      <c r="C649" s="41" t="str">
        <f>IFERROR(IF(Calc!E649&lt;=$C$4,Calc!E649,""),"")</f>
        <v/>
      </c>
      <c r="D649" s="33" t="str">
        <f>IFERROR(IF(Calc!E649&lt;=$D$4,"Nice",""),"")</f>
        <v/>
      </c>
      <c r="E649" s="40" t="str">
        <f>IFERROR(IF(Calc!J649&lt;=$C$4,Calc!I649,""),"")</f>
        <v/>
      </c>
      <c r="F649" s="40" t="str">
        <f>IFERROR(IF(Calc!J649&lt;=$C$4,CONCATENATE(TEXT(Calc!H649,"#0.000#")," + ",TEXT(INDEX(Calc!L649:P649,$B$4),"#0.000#")),""),"")</f>
        <v/>
      </c>
      <c r="G649" s="41" t="str">
        <f>IFERROR(IF(Calc!J649&lt;=$C$4,Calc!J649,""),"")</f>
        <v/>
      </c>
      <c r="H649" s="33" t="str">
        <f>IFERROR(IF(Calc!J649&lt;=$D$4,"Nice",""),"")</f>
        <v/>
      </c>
      <c r="J649" s="7" t="str">
        <f>CONCATENATE("[",TEXT(Show!A649,"#.0#"),":",TEXT(Show!B649,"#.0#"),"][",TEXT(Show!E649,"#.0#"),":",TEXT(Show!F649,"#.0#"),"]")</f>
        <v>[:][:]</v>
      </c>
    </row>
    <row r="650" spans="1:10" hidden="1" x14ac:dyDescent="0.25">
      <c r="A650" s="40" t="str">
        <f>IFERROR(IF(Calc!E650&lt;=$C$4,Calc!D650,""),"")</f>
        <v/>
      </c>
      <c r="B650" s="40" t="str">
        <f>IFERROR(IF(Calc!E650&lt;=$C$4,CONCATENATE(TEXT(Calc!C650,"#0.000#")," || ",TEXT(INDEX(Calc!L650:P650,$B$4),"#0.000#")),""),"")</f>
        <v/>
      </c>
      <c r="C650" s="41" t="str">
        <f>IFERROR(IF(Calc!E650&lt;=$C$4,Calc!E650,""),"")</f>
        <v/>
      </c>
      <c r="D650" s="33" t="str">
        <f>IFERROR(IF(Calc!E650&lt;=$D$4,"Nice",""),"")</f>
        <v/>
      </c>
      <c r="E650" s="40" t="str">
        <f>IFERROR(IF(Calc!J650&lt;=$C$4,Calc!I650,""),"")</f>
        <v/>
      </c>
      <c r="F650" s="40" t="str">
        <f>IFERROR(IF(Calc!J650&lt;=$C$4,CONCATENATE(TEXT(Calc!H650,"#0.000#")," + ",TEXT(INDEX(Calc!L650:P650,$B$4),"#0.000#")),""),"")</f>
        <v/>
      </c>
      <c r="G650" s="41" t="str">
        <f>IFERROR(IF(Calc!J650&lt;=$C$4,Calc!J650,""),"")</f>
        <v/>
      </c>
      <c r="H650" s="33" t="str">
        <f>IFERROR(IF(Calc!J650&lt;=$D$4,"Nice",""),"")</f>
        <v/>
      </c>
      <c r="J650" s="7" t="str">
        <f>CONCATENATE("[",TEXT(Show!A650,"#.0#"),":",TEXT(Show!B650,"#.0#"),"][",TEXT(Show!E650,"#.0#"),":",TEXT(Show!F650,"#.0#"),"]")</f>
        <v>[:][:]</v>
      </c>
    </row>
    <row r="651" spans="1:10" hidden="1" x14ac:dyDescent="0.25">
      <c r="A651" s="40" t="str">
        <f>IFERROR(IF(Calc!E651&lt;=$C$4,Calc!D651,""),"")</f>
        <v/>
      </c>
      <c r="B651" s="40" t="str">
        <f>IFERROR(IF(Calc!E651&lt;=$C$4,CONCATENATE(TEXT(Calc!C651,"#0.000#")," || ",TEXT(INDEX(Calc!L651:P651,$B$4),"#0.000#")),""),"")</f>
        <v/>
      </c>
      <c r="C651" s="41" t="str">
        <f>IFERROR(IF(Calc!E651&lt;=$C$4,Calc!E651,""),"")</f>
        <v/>
      </c>
      <c r="D651" s="33" t="str">
        <f>IFERROR(IF(Calc!E651&lt;=$D$4,"Nice",""),"")</f>
        <v/>
      </c>
      <c r="E651" s="40" t="str">
        <f>IFERROR(IF(Calc!J651&lt;=$C$4,Calc!I651,""),"")</f>
        <v/>
      </c>
      <c r="F651" s="40" t="str">
        <f>IFERROR(IF(Calc!J651&lt;=$C$4,CONCATENATE(TEXT(Calc!H651,"#0.000#")," + ",TEXT(INDEX(Calc!L651:P651,$B$4),"#0.000#")),""),"")</f>
        <v/>
      </c>
      <c r="G651" s="41" t="str">
        <f>IFERROR(IF(Calc!J651&lt;=$C$4,Calc!J651,""),"")</f>
        <v/>
      </c>
      <c r="H651" s="33" t="str">
        <f>IFERROR(IF(Calc!J651&lt;=$D$4,"Nice",""),"")</f>
        <v/>
      </c>
      <c r="J651" s="7" t="str">
        <f>CONCATENATE("[",TEXT(Show!A651,"#.0#"),":",TEXT(Show!B651,"#.0#"),"][",TEXT(Show!E651,"#.0#"),":",TEXT(Show!F651,"#.0#"),"]")</f>
        <v>[:][:]</v>
      </c>
    </row>
    <row r="652" spans="1:10" hidden="1" x14ac:dyDescent="0.25">
      <c r="A652" s="40" t="str">
        <f>IFERROR(IF(Calc!E652&lt;=$C$4,Calc!D652,""),"")</f>
        <v/>
      </c>
      <c r="B652" s="40" t="str">
        <f>IFERROR(IF(Calc!E652&lt;=$C$4,CONCATENATE(TEXT(Calc!C652,"#0.000#")," || ",TEXT(INDEX(Calc!L652:P652,$B$4),"#0.000#")),""),"")</f>
        <v/>
      </c>
      <c r="C652" s="41" t="str">
        <f>IFERROR(IF(Calc!E652&lt;=$C$4,Calc!E652,""),"")</f>
        <v/>
      </c>
      <c r="D652" s="33" t="str">
        <f>IFERROR(IF(Calc!E652&lt;=$D$4,"Nice",""),"")</f>
        <v/>
      </c>
      <c r="E652" s="40" t="str">
        <f>IFERROR(IF(Calc!J652&lt;=$C$4,Calc!I652,""),"")</f>
        <v/>
      </c>
      <c r="F652" s="40" t="str">
        <f>IFERROR(IF(Calc!J652&lt;=$C$4,CONCATENATE(TEXT(Calc!H652,"#0.000#")," + ",TEXT(INDEX(Calc!L652:P652,$B$4),"#0.000#")),""),"")</f>
        <v/>
      </c>
      <c r="G652" s="41" t="str">
        <f>IFERROR(IF(Calc!J652&lt;=$C$4,Calc!J652,""),"")</f>
        <v/>
      </c>
      <c r="H652" s="33" t="str">
        <f>IFERROR(IF(Calc!J652&lt;=$D$4,"Nice",""),"")</f>
        <v/>
      </c>
      <c r="J652" s="7" t="str">
        <f>CONCATENATE("[",TEXT(Show!A652,"#.0#"),":",TEXT(Show!B652,"#.0#"),"][",TEXT(Show!E652,"#.0#"),":",TEXT(Show!F652,"#.0#"),"]")</f>
        <v>[:][:]</v>
      </c>
    </row>
    <row r="653" spans="1:10" hidden="1" x14ac:dyDescent="0.25">
      <c r="A653" s="40" t="str">
        <f>IFERROR(IF(Calc!E653&lt;=$C$4,Calc!D653,""),"")</f>
        <v/>
      </c>
      <c r="B653" s="40" t="str">
        <f>IFERROR(IF(Calc!E653&lt;=$C$4,CONCATENATE(TEXT(Calc!C653,"#0.000#")," || ",TEXT(INDEX(Calc!L653:P653,$B$4),"#0.000#")),""),"")</f>
        <v/>
      </c>
      <c r="C653" s="41" t="str">
        <f>IFERROR(IF(Calc!E653&lt;=$C$4,Calc!E653,""),"")</f>
        <v/>
      </c>
      <c r="D653" s="33" t="str">
        <f>IFERROR(IF(Calc!E653&lt;=$D$4,"Nice",""),"")</f>
        <v/>
      </c>
      <c r="E653" s="40" t="str">
        <f>IFERROR(IF(Calc!J653&lt;=$C$4,Calc!I653,""),"")</f>
        <v/>
      </c>
      <c r="F653" s="40" t="str">
        <f>IFERROR(IF(Calc!J653&lt;=$C$4,CONCATENATE(TEXT(Calc!H653,"#0.000#")," + ",TEXT(INDEX(Calc!L653:P653,$B$4),"#0.000#")),""),"")</f>
        <v/>
      </c>
      <c r="G653" s="41" t="str">
        <f>IFERROR(IF(Calc!J653&lt;=$C$4,Calc!J653,""),"")</f>
        <v/>
      </c>
      <c r="H653" s="33" t="str">
        <f>IFERROR(IF(Calc!J653&lt;=$D$4,"Nice",""),"")</f>
        <v/>
      </c>
      <c r="J653" s="7" t="str">
        <f>CONCATENATE("[",TEXT(Show!A653,"#.0#"),":",TEXT(Show!B653,"#.0#"),"][",TEXT(Show!E653,"#.0#"),":",TEXT(Show!F653,"#.0#"),"]")</f>
        <v>[:][:]</v>
      </c>
    </row>
    <row r="654" spans="1:10" hidden="1" x14ac:dyDescent="0.25">
      <c r="A654" s="40" t="str">
        <f>IFERROR(IF(Calc!E654&lt;=$C$4,Calc!D654,""),"")</f>
        <v/>
      </c>
      <c r="B654" s="40" t="str">
        <f>IFERROR(IF(Calc!E654&lt;=$C$4,CONCATENATE(TEXT(Calc!C654,"#0.000#")," || ",TEXT(INDEX(Calc!L654:P654,$B$4),"#0.000#")),""),"")</f>
        <v/>
      </c>
      <c r="C654" s="41" t="str">
        <f>IFERROR(IF(Calc!E654&lt;=$C$4,Calc!E654,""),"")</f>
        <v/>
      </c>
      <c r="D654" s="33" t="str">
        <f>IFERROR(IF(Calc!E654&lt;=$D$4,"Nice",""),"")</f>
        <v/>
      </c>
      <c r="E654" s="40" t="str">
        <f>IFERROR(IF(Calc!J654&lt;=$C$4,Calc!I654,""),"")</f>
        <v/>
      </c>
      <c r="F654" s="40" t="str">
        <f>IFERROR(IF(Calc!J654&lt;=$C$4,CONCATENATE(TEXT(Calc!H654,"#0.000#")," + ",TEXT(INDEX(Calc!L654:P654,$B$4),"#0.000#")),""),"")</f>
        <v/>
      </c>
      <c r="G654" s="41" t="str">
        <f>IFERROR(IF(Calc!J654&lt;=$C$4,Calc!J654,""),"")</f>
        <v/>
      </c>
      <c r="H654" s="33" t="str">
        <f>IFERROR(IF(Calc!J654&lt;=$D$4,"Nice",""),"")</f>
        <v/>
      </c>
      <c r="J654" s="7" t="str">
        <f>CONCATENATE("[",TEXT(Show!A654,"#.0#"),":",TEXT(Show!B654,"#.0#"),"][",TEXT(Show!E654,"#.0#"),":",TEXT(Show!F654,"#.0#"),"]")</f>
        <v>[:][:]</v>
      </c>
    </row>
    <row r="655" spans="1:10" hidden="1" x14ac:dyDescent="0.25">
      <c r="A655" s="40" t="str">
        <f>IFERROR(IF(Calc!E655&lt;=$C$4,Calc!D655,""),"")</f>
        <v/>
      </c>
      <c r="B655" s="40" t="str">
        <f>IFERROR(IF(Calc!E655&lt;=$C$4,CONCATENATE(TEXT(Calc!C655,"#0.000#")," || ",TEXT(INDEX(Calc!L655:P655,$B$4),"#0.000#")),""),"")</f>
        <v/>
      </c>
      <c r="C655" s="41" t="str">
        <f>IFERROR(IF(Calc!E655&lt;=$C$4,Calc!E655,""),"")</f>
        <v/>
      </c>
      <c r="D655" s="33" t="str">
        <f>IFERROR(IF(Calc!E655&lt;=$D$4,"Nice",""),"")</f>
        <v/>
      </c>
      <c r="E655" s="40" t="str">
        <f>IFERROR(IF(Calc!J655&lt;=$C$4,Calc!I655,""),"")</f>
        <v/>
      </c>
      <c r="F655" s="40" t="str">
        <f>IFERROR(IF(Calc!J655&lt;=$C$4,CONCATENATE(TEXT(Calc!H655,"#0.000#")," + ",TEXT(INDEX(Calc!L655:P655,$B$4),"#0.000#")),""),"")</f>
        <v/>
      </c>
      <c r="G655" s="41" t="str">
        <f>IFERROR(IF(Calc!J655&lt;=$C$4,Calc!J655,""),"")</f>
        <v/>
      </c>
      <c r="H655" s="33" t="str">
        <f>IFERROR(IF(Calc!J655&lt;=$D$4,"Nice",""),"")</f>
        <v/>
      </c>
      <c r="J655" s="7" t="str">
        <f>CONCATENATE("[",TEXT(Show!A655,"#.0#"),":",TEXT(Show!B655,"#.0#"),"][",TEXT(Show!E655,"#.0#"),":",TEXT(Show!F655,"#.0#"),"]")</f>
        <v>[:][:]</v>
      </c>
    </row>
    <row r="656" spans="1:10" hidden="1" x14ac:dyDescent="0.25">
      <c r="A656" s="40" t="str">
        <f>IFERROR(IF(Calc!E656&lt;=$C$4,Calc!D656,""),"")</f>
        <v/>
      </c>
      <c r="B656" s="40" t="str">
        <f>IFERROR(IF(Calc!E656&lt;=$C$4,CONCATENATE(TEXT(Calc!C656,"#0.000#")," || ",TEXT(INDEX(Calc!L656:P656,$B$4),"#0.000#")),""),"")</f>
        <v/>
      </c>
      <c r="C656" s="41" t="str">
        <f>IFERROR(IF(Calc!E656&lt;=$C$4,Calc!E656,""),"")</f>
        <v/>
      </c>
      <c r="D656" s="33" t="str">
        <f>IFERROR(IF(Calc!E656&lt;=$D$4,"Nice",""),"")</f>
        <v/>
      </c>
      <c r="E656" s="40" t="str">
        <f>IFERROR(IF(Calc!J656&lt;=$C$4,Calc!I656,""),"")</f>
        <v/>
      </c>
      <c r="F656" s="40" t="str">
        <f>IFERROR(IF(Calc!J656&lt;=$C$4,CONCATENATE(TEXT(Calc!H656,"#0.000#")," + ",TEXT(INDEX(Calc!L656:P656,$B$4),"#0.000#")),""),"")</f>
        <v/>
      </c>
      <c r="G656" s="41" t="str">
        <f>IFERROR(IF(Calc!J656&lt;=$C$4,Calc!J656,""),"")</f>
        <v/>
      </c>
      <c r="H656" s="33" t="str">
        <f>IFERROR(IF(Calc!J656&lt;=$D$4,"Nice",""),"")</f>
        <v/>
      </c>
      <c r="J656" s="7" t="str">
        <f>CONCATENATE("[",TEXT(Show!A656,"#.0#"),":",TEXT(Show!B656,"#.0#"),"][",TEXT(Show!E656,"#.0#"),":",TEXT(Show!F656,"#.0#"),"]")</f>
        <v>[:][:]</v>
      </c>
    </row>
    <row r="657" spans="1:10" hidden="1" x14ac:dyDescent="0.25">
      <c r="A657" s="40" t="str">
        <f>IFERROR(IF(Calc!E657&lt;=$C$4,Calc!D657,""),"")</f>
        <v/>
      </c>
      <c r="B657" s="40" t="str">
        <f>IFERROR(IF(Calc!E657&lt;=$C$4,CONCATENATE(TEXT(Calc!C657,"#0.000#")," || ",TEXT(INDEX(Calc!L657:P657,$B$4),"#0.000#")),""),"")</f>
        <v/>
      </c>
      <c r="C657" s="41" t="str">
        <f>IFERROR(IF(Calc!E657&lt;=$C$4,Calc!E657,""),"")</f>
        <v/>
      </c>
      <c r="D657" s="33" t="str">
        <f>IFERROR(IF(Calc!E657&lt;=$D$4,"Nice",""),"")</f>
        <v/>
      </c>
      <c r="E657" s="40" t="str">
        <f>IFERROR(IF(Calc!J657&lt;=$C$4,Calc!I657,""),"")</f>
        <v/>
      </c>
      <c r="F657" s="40" t="str">
        <f>IFERROR(IF(Calc!J657&lt;=$C$4,CONCATENATE(TEXT(Calc!H657,"#0.000#")," + ",TEXT(INDEX(Calc!L657:P657,$B$4),"#0.000#")),""),"")</f>
        <v/>
      </c>
      <c r="G657" s="41" t="str">
        <f>IFERROR(IF(Calc!J657&lt;=$C$4,Calc!J657,""),"")</f>
        <v/>
      </c>
      <c r="H657" s="33" t="str">
        <f>IFERROR(IF(Calc!J657&lt;=$D$4,"Nice",""),"")</f>
        <v/>
      </c>
      <c r="J657" s="7" t="str">
        <f>CONCATENATE("[",TEXT(Show!A657,"#.0#"),":",TEXT(Show!B657,"#.0#"),"][",TEXT(Show!E657,"#.0#"),":",TEXT(Show!F657,"#.0#"),"]")</f>
        <v>[:][:]</v>
      </c>
    </row>
    <row r="658" spans="1:10" hidden="1" x14ac:dyDescent="0.25">
      <c r="A658" s="40" t="str">
        <f>IFERROR(IF(Calc!E658&lt;=$C$4,Calc!D658,""),"")</f>
        <v/>
      </c>
      <c r="B658" s="40" t="str">
        <f>IFERROR(IF(Calc!E658&lt;=$C$4,CONCATENATE(TEXT(Calc!C658,"#0.000#")," || ",TEXT(INDEX(Calc!L658:P658,$B$4),"#0.000#")),""),"")</f>
        <v/>
      </c>
      <c r="C658" s="41" t="str">
        <f>IFERROR(IF(Calc!E658&lt;=$C$4,Calc!E658,""),"")</f>
        <v/>
      </c>
      <c r="D658" s="33" t="str">
        <f>IFERROR(IF(Calc!E658&lt;=$D$4,"Nice",""),"")</f>
        <v/>
      </c>
      <c r="E658" s="40" t="str">
        <f>IFERROR(IF(Calc!J658&lt;=$C$4,Calc!I658,""),"")</f>
        <v/>
      </c>
      <c r="F658" s="40" t="str">
        <f>IFERROR(IF(Calc!J658&lt;=$C$4,CONCATENATE(TEXT(Calc!H658,"#0.000#")," + ",TEXT(INDEX(Calc!L658:P658,$B$4),"#0.000#")),""),"")</f>
        <v/>
      </c>
      <c r="G658" s="41" t="str">
        <f>IFERROR(IF(Calc!J658&lt;=$C$4,Calc!J658,""),"")</f>
        <v/>
      </c>
      <c r="H658" s="33" t="str">
        <f>IFERROR(IF(Calc!J658&lt;=$D$4,"Nice",""),"")</f>
        <v/>
      </c>
      <c r="J658" s="7" t="str">
        <f>CONCATENATE("[",TEXT(Show!A658,"#.0#"),":",TEXT(Show!B658,"#.0#"),"][",TEXT(Show!E658,"#.0#"),":",TEXT(Show!F658,"#.0#"),"]")</f>
        <v>[:][:]</v>
      </c>
    </row>
    <row r="659" spans="1:10" hidden="1" x14ac:dyDescent="0.25">
      <c r="A659" s="40" t="str">
        <f>IFERROR(IF(Calc!E659&lt;=$C$4,Calc!D659,""),"")</f>
        <v/>
      </c>
      <c r="B659" s="40" t="str">
        <f>IFERROR(IF(Calc!E659&lt;=$C$4,CONCATENATE(TEXT(Calc!C659,"#0.000#")," || ",TEXT(INDEX(Calc!L659:P659,$B$4),"#0.000#")),""),"")</f>
        <v/>
      </c>
      <c r="C659" s="41" t="str">
        <f>IFERROR(IF(Calc!E659&lt;=$C$4,Calc!E659,""),"")</f>
        <v/>
      </c>
      <c r="D659" s="33" t="str">
        <f>IFERROR(IF(Calc!E659&lt;=$D$4,"Nice",""),"")</f>
        <v/>
      </c>
      <c r="E659" s="40" t="str">
        <f>IFERROR(IF(Calc!J659&lt;=$C$4,Calc!I659,""),"")</f>
        <v/>
      </c>
      <c r="F659" s="40" t="str">
        <f>IFERROR(IF(Calc!J659&lt;=$C$4,CONCATENATE(TEXT(Calc!H659,"#0.000#")," + ",TEXT(INDEX(Calc!L659:P659,$B$4),"#0.000#")),""),"")</f>
        <v/>
      </c>
      <c r="G659" s="41" t="str">
        <f>IFERROR(IF(Calc!J659&lt;=$C$4,Calc!J659,""),"")</f>
        <v/>
      </c>
      <c r="H659" s="33" t="str">
        <f>IFERROR(IF(Calc!J659&lt;=$D$4,"Nice",""),"")</f>
        <v/>
      </c>
      <c r="J659" s="7" t="str">
        <f>CONCATENATE("[",TEXT(Show!A659,"#.0#"),":",TEXT(Show!B659,"#.0#"),"][",TEXT(Show!E659,"#.0#"),":",TEXT(Show!F659,"#.0#"),"]")</f>
        <v>[:][:]</v>
      </c>
    </row>
    <row r="660" spans="1:10" hidden="1" x14ac:dyDescent="0.25">
      <c r="A660" s="40" t="str">
        <f>IFERROR(IF(Calc!E660&lt;=$C$4,Calc!D660,""),"")</f>
        <v/>
      </c>
      <c r="B660" s="40" t="str">
        <f>IFERROR(IF(Calc!E660&lt;=$C$4,CONCATENATE(TEXT(Calc!C660,"#0.000#")," || ",TEXT(INDEX(Calc!L660:P660,$B$4),"#0.000#")),""),"")</f>
        <v/>
      </c>
      <c r="C660" s="41" t="str">
        <f>IFERROR(IF(Calc!E660&lt;=$C$4,Calc!E660,""),"")</f>
        <v/>
      </c>
      <c r="D660" s="33" t="str">
        <f>IFERROR(IF(Calc!E660&lt;=$D$4,"Nice",""),"")</f>
        <v/>
      </c>
      <c r="E660" s="40" t="str">
        <f>IFERROR(IF(Calc!J660&lt;=$C$4,Calc!I660,""),"")</f>
        <v/>
      </c>
      <c r="F660" s="40" t="str">
        <f>IFERROR(IF(Calc!J660&lt;=$C$4,CONCATENATE(TEXT(Calc!H660,"#0.000#")," + ",TEXT(INDEX(Calc!L660:P660,$B$4),"#0.000#")),""),"")</f>
        <v/>
      </c>
      <c r="G660" s="41" t="str">
        <f>IFERROR(IF(Calc!J660&lt;=$C$4,Calc!J660,""),"")</f>
        <v/>
      </c>
      <c r="H660" s="33" t="str">
        <f>IFERROR(IF(Calc!J660&lt;=$D$4,"Nice",""),"")</f>
        <v/>
      </c>
      <c r="J660" s="7" t="str">
        <f>CONCATENATE("[",TEXT(Show!A660,"#.0#"),":",TEXT(Show!B660,"#.0#"),"][",TEXT(Show!E660,"#.0#"),":",TEXT(Show!F660,"#.0#"),"]")</f>
        <v>[:][:]</v>
      </c>
    </row>
    <row r="661" spans="1:10" hidden="1" x14ac:dyDescent="0.25">
      <c r="A661" s="40" t="str">
        <f>IFERROR(IF(Calc!E661&lt;=$C$4,Calc!D661,""),"")</f>
        <v/>
      </c>
      <c r="B661" s="40" t="str">
        <f>IFERROR(IF(Calc!E661&lt;=$C$4,CONCATENATE(TEXT(Calc!C661,"#0.000#")," || ",TEXT(INDEX(Calc!L661:P661,$B$4),"#0.000#")),""),"")</f>
        <v/>
      </c>
      <c r="C661" s="41" t="str">
        <f>IFERROR(IF(Calc!E661&lt;=$C$4,Calc!E661,""),"")</f>
        <v/>
      </c>
      <c r="D661" s="33" t="str">
        <f>IFERROR(IF(Calc!E661&lt;=$D$4,"Nice",""),"")</f>
        <v/>
      </c>
      <c r="E661" s="40" t="str">
        <f>IFERROR(IF(Calc!J661&lt;=$C$4,Calc!I661,""),"")</f>
        <v/>
      </c>
      <c r="F661" s="40" t="str">
        <f>IFERROR(IF(Calc!J661&lt;=$C$4,CONCATENATE(TEXT(Calc!H661,"#0.000#")," + ",TEXT(INDEX(Calc!L661:P661,$B$4),"#0.000#")),""),"")</f>
        <v/>
      </c>
      <c r="G661" s="41" t="str">
        <f>IFERROR(IF(Calc!J661&lt;=$C$4,Calc!J661,""),"")</f>
        <v/>
      </c>
      <c r="H661" s="33" t="str">
        <f>IFERROR(IF(Calc!J661&lt;=$D$4,"Nice",""),"")</f>
        <v/>
      </c>
      <c r="J661" s="7" t="str">
        <f>CONCATENATE("[",TEXT(Show!A661,"#.0#"),":",TEXT(Show!B661,"#.0#"),"][",TEXT(Show!E661,"#.0#"),":",TEXT(Show!F661,"#.0#"),"]")</f>
        <v>[:][:]</v>
      </c>
    </row>
    <row r="662" spans="1:10" hidden="1" x14ac:dyDescent="0.25">
      <c r="A662" s="40" t="str">
        <f>IFERROR(IF(Calc!E662&lt;=$C$4,Calc!D662,""),"")</f>
        <v/>
      </c>
      <c r="B662" s="40" t="str">
        <f>IFERROR(IF(Calc!E662&lt;=$C$4,CONCATENATE(TEXT(Calc!C662,"#0.000#")," || ",TEXT(INDEX(Calc!L662:P662,$B$4),"#0.000#")),""),"")</f>
        <v/>
      </c>
      <c r="C662" s="41" t="str">
        <f>IFERROR(IF(Calc!E662&lt;=$C$4,Calc!E662,""),"")</f>
        <v/>
      </c>
      <c r="D662" s="33" t="str">
        <f>IFERROR(IF(Calc!E662&lt;=$D$4,"Nice",""),"")</f>
        <v/>
      </c>
      <c r="E662" s="40" t="str">
        <f>IFERROR(IF(Calc!J662&lt;=$C$4,Calc!I662,""),"")</f>
        <v/>
      </c>
      <c r="F662" s="40" t="str">
        <f>IFERROR(IF(Calc!J662&lt;=$C$4,CONCATENATE(TEXT(Calc!H662,"#0.000#")," + ",TEXT(INDEX(Calc!L662:P662,$B$4),"#0.000#")),""),"")</f>
        <v/>
      </c>
      <c r="G662" s="41" t="str">
        <f>IFERROR(IF(Calc!J662&lt;=$C$4,Calc!J662,""),"")</f>
        <v/>
      </c>
      <c r="H662" s="33" t="str">
        <f>IFERROR(IF(Calc!J662&lt;=$D$4,"Nice",""),"")</f>
        <v/>
      </c>
      <c r="J662" s="7" t="str">
        <f>CONCATENATE("[",TEXT(Show!A662,"#.0#"),":",TEXT(Show!B662,"#.0#"),"][",TEXT(Show!E662,"#.0#"),":",TEXT(Show!F662,"#.0#"),"]")</f>
        <v>[:][:]</v>
      </c>
    </row>
    <row r="663" spans="1:10" hidden="1" x14ac:dyDescent="0.25">
      <c r="A663" s="40" t="str">
        <f>IFERROR(IF(Calc!E663&lt;=$C$4,Calc!D663,""),"")</f>
        <v/>
      </c>
      <c r="B663" s="40" t="str">
        <f>IFERROR(IF(Calc!E663&lt;=$C$4,CONCATENATE(TEXT(Calc!C663,"#0.000#")," || ",TEXT(INDEX(Calc!L663:P663,$B$4),"#0.000#")),""),"")</f>
        <v/>
      </c>
      <c r="C663" s="41" t="str">
        <f>IFERROR(IF(Calc!E663&lt;=$C$4,Calc!E663,""),"")</f>
        <v/>
      </c>
      <c r="D663" s="33" t="str">
        <f>IFERROR(IF(Calc!E663&lt;=$D$4,"Nice",""),"")</f>
        <v/>
      </c>
      <c r="E663" s="40" t="str">
        <f>IFERROR(IF(Calc!J663&lt;=$C$4,Calc!I663,""),"")</f>
        <v/>
      </c>
      <c r="F663" s="40" t="str">
        <f>IFERROR(IF(Calc!J663&lt;=$C$4,CONCATENATE(TEXT(Calc!H663,"#0.000#")," + ",TEXT(INDEX(Calc!L663:P663,$B$4),"#0.000#")),""),"")</f>
        <v/>
      </c>
      <c r="G663" s="41" t="str">
        <f>IFERROR(IF(Calc!J663&lt;=$C$4,Calc!J663,""),"")</f>
        <v/>
      </c>
      <c r="H663" s="33" t="str">
        <f>IFERROR(IF(Calc!J663&lt;=$D$4,"Nice",""),"")</f>
        <v/>
      </c>
      <c r="J663" s="7" t="str">
        <f>CONCATENATE("[",TEXT(Show!A663,"#.0#"),":",TEXT(Show!B663,"#.0#"),"][",TEXT(Show!E663,"#.0#"),":",TEXT(Show!F663,"#.0#"),"]")</f>
        <v>[:][:]</v>
      </c>
    </row>
    <row r="664" spans="1:10" hidden="1" x14ac:dyDescent="0.25">
      <c r="A664" s="40" t="str">
        <f>IFERROR(IF(Calc!E664&lt;=$C$4,Calc!D664,""),"")</f>
        <v/>
      </c>
      <c r="B664" s="40" t="str">
        <f>IFERROR(IF(Calc!E664&lt;=$C$4,CONCATENATE(TEXT(Calc!C664,"#0.000#")," || ",TEXT(INDEX(Calc!L664:P664,$B$4),"#0.000#")),""),"")</f>
        <v/>
      </c>
      <c r="C664" s="41" t="str">
        <f>IFERROR(IF(Calc!E664&lt;=$C$4,Calc!E664,""),"")</f>
        <v/>
      </c>
      <c r="D664" s="33" t="str">
        <f>IFERROR(IF(Calc!E664&lt;=$D$4,"Nice",""),"")</f>
        <v/>
      </c>
      <c r="E664" s="40" t="str">
        <f>IFERROR(IF(Calc!J664&lt;=$C$4,Calc!I664,""),"")</f>
        <v/>
      </c>
      <c r="F664" s="40" t="str">
        <f>IFERROR(IF(Calc!J664&lt;=$C$4,CONCATENATE(TEXT(Calc!H664,"#0.000#")," + ",TEXT(INDEX(Calc!L664:P664,$B$4),"#0.000#")),""),"")</f>
        <v/>
      </c>
      <c r="G664" s="41" t="str">
        <f>IFERROR(IF(Calc!J664&lt;=$C$4,Calc!J664,""),"")</f>
        <v/>
      </c>
      <c r="H664" s="33" t="str">
        <f>IFERROR(IF(Calc!J664&lt;=$D$4,"Nice",""),"")</f>
        <v/>
      </c>
      <c r="J664" s="7" t="str">
        <f>CONCATENATE("[",TEXT(Show!A664,"#.0#"),":",TEXT(Show!B664,"#.0#"),"][",TEXT(Show!E664,"#.0#"),":",TEXT(Show!F664,"#.0#"),"]")</f>
        <v>[:][:]</v>
      </c>
    </row>
    <row r="665" spans="1:10" hidden="1" x14ac:dyDescent="0.25">
      <c r="A665" s="40" t="str">
        <f>IFERROR(IF(Calc!E665&lt;=$C$4,Calc!D665,""),"")</f>
        <v/>
      </c>
      <c r="B665" s="40" t="str">
        <f>IFERROR(IF(Calc!E665&lt;=$C$4,CONCATENATE(TEXT(Calc!C665,"#0.000#")," || ",TEXT(INDEX(Calc!L665:P665,$B$4),"#0.000#")),""),"")</f>
        <v/>
      </c>
      <c r="C665" s="41" t="str">
        <f>IFERROR(IF(Calc!E665&lt;=$C$4,Calc!E665,""),"")</f>
        <v/>
      </c>
      <c r="D665" s="33" t="str">
        <f>IFERROR(IF(Calc!E665&lt;=$D$4,"Nice",""),"")</f>
        <v/>
      </c>
      <c r="E665" s="40" t="str">
        <f>IFERROR(IF(Calc!J665&lt;=$C$4,Calc!I665,""),"")</f>
        <v/>
      </c>
      <c r="F665" s="40" t="str">
        <f>IFERROR(IF(Calc!J665&lt;=$C$4,CONCATENATE(TEXT(Calc!H665,"#0.000#")," + ",TEXT(INDEX(Calc!L665:P665,$B$4),"#0.000#")),""),"")</f>
        <v/>
      </c>
      <c r="G665" s="41" t="str">
        <f>IFERROR(IF(Calc!J665&lt;=$C$4,Calc!J665,""),"")</f>
        <v/>
      </c>
      <c r="H665" s="33" t="str">
        <f>IFERROR(IF(Calc!J665&lt;=$D$4,"Nice",""),"")</f>
        <v/>
      </c>
      <c r="J665" s="7" t="str">
        <f>CONCATENATE("[",TEXT(Show!A665,"#.0#"),":",TEXT(Show!B665,"#.0#"),"][",TEXT(Show!E665,"#.0#"),":",TEXT(Show!F665,"#.0#"),"]")</f>
        <v>[:][:]</v>
      </c>
    </row>
    <row r="666" spans="1:10" hidden="1" x14ac:dyDescent="0.25">
      <c r="A666" s="40" t="str">
        <f>IFERROR(IF(Calc!E666&lt;=$C$4,Calc!D666,""),"")</f>
        <v/>
      </c>
      <c r="B666" s="40" t="str">
        <f>IFERROR(IF(Calc!E666&lt;=$C$4,CONCATENATE(TEXT(Calc!C666,"#0.000#")," || ",TEXT(INDEX(Calc!L666:P666,$B$4),"#0.000#")),""),"")</f>
        <v/>
      </c>
      <c r="C666" s="41" t="str">
        <f>IFERROR(IF(Calc!E666&lt;=$C$4,Calc!E666,""),"")</f>
        <v/>
      </c>
      <c r="D666" s="33" t="str">
        <f>IFERROR(IF(Calc!E666&lt;=$D$4,"Nice",""),"")</f>
        <v/>
      </c>
      <c r="E666" s="40" t="str">
        <f>IFERROR(IF(Calc!J666&lt;=$C$4,Calc!I666,""),"")</f>
        <v/>
      </c>
      <c r="F666" s="40" t="str">
        <f>IFERROR(IF(Calc!J666&lt;=$C$4,CONCATENATE(TEXT(Calc!H666,"#0.000#")," + ",TEXT(INDEX(Calc!L666:P666,$B$4),"#0.000#")),""),"")</f>
        <v/>
      </c>
      <c r="G666" s="41" t="str">
        <f>IFERROR(IF(Calc!J666&lt;=$C$4,Calc!J666,""),"")</f>
        <v/>
      </c>
      <c r="H666" s="33" t="str">
        <f>IFERROR(IF(Calc!J666&lt;=$D$4,"Nice",""),"")</f>
        <v/>
      </c>
      <c r="J666" s="7" t="str">
        <f>CONCATENATE("[",TEXT(Show!A666,"#.0#"),":",TEXT(Show!B666,"#.0#"),"][",TEXT(Show!E666,"#.0#"),":",TEXT(Show!F666,"#.0#"),"]")</f>
        <v>[:][:]</v>
      </c>
    </row>
    <row r="667" spans="1:10" hidden="1" x14ac:dyDescent="0.25">
      <c r="A667" s="40" t="str">
        <f>IFERROR(IF(Calc!E667&lt;=$C$4,Calc!D667,""),"")</f>
        <v/>
      </c>
      <c r="B667" s="40" t="str">
        <f>IFERROR(IF(Calc!E667&lt;=$C$4,CONCATENATE(TEXT(Calc!C667,"#0.000#")," || ",TEXT(INDEX(Calc!L667:P667,$B$4),"#0.000#")),""),"")</f>
        <v/>
      </c>
      <c r="C667" s="41" t="str">
        <f>IFERROR(IF(Calc!E667&lt;=$C$4,Calc!E667,""),"")</f>
        <v/>
      </c>
      <c r="D667" s="33" t="str">
        <f>IFERROR(IF(Calc!E667&lt;=$D$4,"Nice",""),"")</f>
        <v/>
      </c>
      <c r="E667" s="40" t="str">
        <f>IFERROR(IF(Calc!J667&lt;=$C$4,Calc!I667,""),"")</f>
        <v/>
      </c>
      <c r="F667" s="40" t="str">
        <f>IFERROR(IF(Calc!J667&lt;=$C$4,CONCATENATE(TEXT(Calc!H667,"#0.000#")," + ",TEXT(INDEX(Calc!L667:P667,$B$4),"#0.000#")),""),"")</f>
        <v/>
      </c>
      <c r="G667" s="41" t="str">
        <f>IFERROR(IF(Calc!J667&lt;=$C$4,Calc!J667,""),"")</f>
        <v/>
      </c>
      <c r="H667" s="33" t="str">
        <f>IFERROR(IF(Calc!J667&lt;=$D$4,"Nice",""),"")</f>
        <v/>
      </c>
      <c r="J667" s="7" t="str">
        <f>CONCATENATE("[",TEXT(Show!A667,"#.0#"),":",TEXT(Show!B667,"#.0#"),"][",TEXT(Show!E667,"#.0#"),":",TEXT(Show!F667,"#.0#"),"]")</f>
        <v>[:][:]</v>
      </c>
    </row>
    <row r="668" spans="1:10" hidden="1" x14ac:dyDescent="0.25">
      <c r="A668" s="40" t="str">
        <f>IFERROR(IF(Calc!E668&lt;=$C$4,Calc!D668,""),"")</f>
        <v/>
      </c>
      <c r="B668" s="40" t="str">
        <f>IFERROR(IF(Calc!E668&lt;=$C$4,CONCATENATE(TEXT(Calc!C668,"#0.000#")," || ",TEXT(INDEX(Calc!L668:P668,$B$4),"#0.000#")),""),"")</f>
        <v/>
      </c>
      <c r="C668" s="41" t="str">
        <f>IFERROR(IF(Calc!E668&lt;=$C$4,Calc!E668,""),"")</f>
        <v/>
      </c>
      <c r="D668" s="33" t="str">
        <f>IFERROR(IF(Calc!E668&lt;=$D$4,"Nice",""),"")</f>
        <v/>
      </c>
      <c r="E668" s="40" t="str">
        <f>IFERROR(IF(Calc!J668&lt;=$C$4,Calc!I668,""),"")</f>
        <v/>
      </c>
      <c r="F668" s="40" t="str">
        <f>IFERROR(IF(Calc!J668&lt;=$C$4,CONCATENATE(TEXT(Calc!H668,"#0.000#")," + ",TEXT(INDEX(Calc!L668:P668,$B$4),"#0.000#")),""),"")</f>
        <v/>
      </c>
      <c r="G668" s="41" t="str">
        <f>IFERROR(IF(Calc!J668&lt;=$C$4,Calc!J668,""),"")</f>
        <v/>
      </c>
      <c r="H668" s="33" t="str">
        <f>IFERROR(IF(Calc!J668&lt;=$D$4,"Nice",""),"")</f>
        <v/>
      </c>
      <c r="J668" s="7" t="str">
        <f>CONCATENATE("[",TEXT(Show!A668,"#.0#"),":",TEXT(Show!B668,"#.0#"),"][",TEXT(Show!E668,"#.0#"),":",TEXT(Show!F668,"#.0#"),"]")</f>
        <v>[:][:]</v>
      </c>
    </row>
    <row r="669" spans="1:10" hidden="1" x14ac:dyDescent="0.25">
      <c r="A669" s="40" t="str">
        <f>IFERROR(IF(Calc!E669&lt;=$C$4,Calc!D669,""),"")</f>
        <v/>
      </c>
      <c r="B669" s="40" t="str">
        <f>IFERROR(IF(Calc!E669&lt;=$C$4,CONCATENATE(TEXT(Calc!C669,"#0.000#")," || ",TEXT(INDEX(Calc!L669:P669,$B$4),"#0.000#")),""),"")</f>
        <v/>
      </c>
      <c r="C669" s="41" t="str">
        <f>IFERROR(IF(Calc!E669&lt;=$C$4,Calc!E669,""),"")</f>
        <v/>
      </c>
      <c r="D669" s="33" t="str">
        <f>IFERROR(IF(Calc!E669&lt;=$D$4,"Nice",""),"")</f>
        <v/>
      </c>
      <c r="E669" s="40" t="str">
        <f>IFERROR(IF(Calc!J669&lt;=$C$4,Calc!I669,""),"")</f>
        <v/>
      </c>
      <c r="F669" s="40" t="str">
        <f>IFERROR(IF(Calc!J669&lt;=$C$4,CONCATENATE(TEXT(Calc!H669,"#0.000#")," + ",TEXT(INDEX(Calc!L669:P669,$B$4),"#0.000#")),""),"")</f>
        <v/>
      </c>
      <c r="G669" s="41" t="str">
        <f>IFERROR(IF(Calc!J669&lt;=$C$4,Calc!J669,""),"")</f>
        <v/>
      </c>
      <c r="H669" s="33" t="str">
        <f>IFERROR(IF(Calc!J669&lt;=$D$4,"Nice",""),"")</f>
        <v/>
      </c>
      <c r="J669" s="7" t="str">
        <f>CONCATENATE("[",TEXT(Show!A669,"#.0#"),":",TEXT(Show!B669,"#.0#"),"][",TEXT(Show!E669,"#.0#"),":",TEXT(Show!F669,"#.0#"),"]")</f>
        <v>[:][:]</v>
      </c>
    </row>
    <row r="670" spans="1:10" hidden="1" x14ac:dyDescent="0.25">
      <c r="A670" s="40" t="str">
        <f>IFERROR(IF(Calc!E670&lt;=$C$4,Calc!D670,""),"")</f>
        <v/>
      </c>
      <c r="B670" s="40" t="str">
        <f>IFERROR(IF(Calc!E670&lt;=$C$4,CONCATENATE(TEXT(Calc!C670,"#0.000#")," || ",TEXT(INDEX(Calc!L670:P670,$B$4),"#0.000#")),""),"")</f>
        <v/>
      </c>
      <c r="C670" s="41" t="str">
        <f>IFERROR(IF(Calc!E670&lt;=$C$4,Calc!E670,""),"")</f>
        <v/>
      </c>
      <c r="D670" s="33" t="str">
        <f>IFERROR(IF(Calc!E670&lt;=$D$4,"Nice",""),"")</f>
        <v/>
      </c>
      <c r="E670" s="40" t="str">
        <f>IFERROR(IF(Calc!J670&lt;=$C$4,Calc!I670,""),"")</f>
        <v/>
      </c>
      <c r="F670" s="40" t="str">
        <f>IFERROR(IF(Calc!J670&lt;=$C$4,CONCATENATE(TEXT(Calc!H670,"#0.000#")," + ",TEXT(INDEX(Calc!L670:P670,$B$4),"#0.000#")),""),"")</f>
        <v/>
      </c>
      <c r="G670" s="41" t="str">
        <f>IFERROR(IF(Calc!J670&lt;=$C$4,Calc!J670,""),"")</f>
        <v/>
      </c>
      <c r="H670" s="33" t="str">
        <f>IFERROR(IF(Calc!J670&lt;=$D$4,"Nice",""),"")</f>
        <v/>
      </c>
      <c r="J670" s="7" t="str">
        <f>CONCATENATE("[",TEXT(Show!A670,"#.0#"),":",TEXT(Show!B670,"#.0#"),"][",TEXT(Show!E670,"#.0#"),":",TEXT(Show!F670,"#.0#"),"]")</f>
        <v>[:][:]</v>
      </c>
    </row>
    <row r="671" spans="1:10" hidden="1" x14ac:dyDescent="0.25">
      <c r="A671" s="40" t="str">
        <f>IFERROR(IF(Calc!E671&lt;=$C$4,Calc!D671,""),"")</f>
        <v/>
      </c>
      <c r="B671" s="40" t="str">
        <f>IFERROR(IF(Calc!E671&lt;=$C$4,CONCATENATE(TEXT(Calc!C671,"#0.000#")," || ",TEXT(INDEX(Calc!L671:P671,$B$4),"#0.000#")),""),"")</f>
        <v/>
      </c>
      <c r="C671" s="41" t="str">
        <f>IFERROR(IF(Calc!E671&lt;=$C$4,Calc!E671,""),"")</f>
        <v/>
      </c>
      <c r="D671" s="33" t="str">
        <f>IFERROR(IF(Calc!E671&lt;=$D$4,"Nice",""),"")</f>
        <v/>
      </c>
      <c r="E671" s="40" t="str">
        <f>IFERROR(IF(Calc!J671&lt;=$C$4,Calc!I671,""),"")</f>
        <v/>
      </c>
      <c r="F671" s="40" t="str">
        <f>IFERROR(IF(Calc!J671&lt;=$C$4,CONCATENATE(TEXT(Calc!H671,"#0.000#")," + ",TEXT(INDEX(Calc!L671:P671,$B$4),"#0.000#")),""),"")</f>
        <v/>
      </c>
      <c r="G671" s="41" t="str">
        <f>IFERROR(IF(Calc!J671&lt;=$C$4,Calc!J671,""),"")</f>
        <v/>
      </c>
      <c r="H671" s="33" t="str">
        <f>IFERROR(IF(Calc!J671&lt;=$D$4,"Nice",""),"")</f>
        <v/>
      </c>
      <c r="J671" s="7" t="str">
        <f>CONCATENATE("[",TEXT(Show!A671,"#.0#"),":",TEXT(Show!B671,"#.0#"),"][",TEXT(Show!E671,"#.0#"),":",TEXT(Show!F671,"#.0#"),"]")</f>
        <v>[:][:]</v>
      </c>
    </row>
    <row r="672" spans="1:10" hidden="1" x14ac:dyDescent="0.25">
      <c r="A672" s="40" t="str">
        <f>IFERROR(IF(Calc!E672&lt;=$C$4,Calc!D672,""),"")</f>
        <v/>
      </c>
      <c r="B672" s="40" t="str">
        <f>IFERROR(IF(Calc!E672&lt;=$C$4,CONCATENATE(TEXT(Calc!C672,"#0.000#")," || ",TEXT(INDEX(Calc!L672:P672,$B$4),"#0.000#")),""),"")</f>
        <v/>
      </c>
      <c r="C672" s="41" t="str">
        <f>IFERROR(IF(Calc!E672&lt;=$C$4,Calc!E672,""),"")</f>
        <v/>
      </c>
      <c r="D672" s="33" t="str">
        <f>IFERROR(IF(Calc!E672&lt;=$D$4,"Nice",""),"")</f>
        <v/>
      </c>
      <c r="E672" s="40" t="str">
        <f>IFERROR(IF(Calc!J672&lt;=$C$4,Calc!I672,""),"")</f>
        <v/>
      </c>
      <c r="F672" s="40" t="str">
        <f>IFERROR(IF(Calc!J672&lt;=$C$4,CONCATENATE(TEXT(Calc!H672,"#0.000#")," + ",TEXT(INDEX(Calc!L672:P672,$B$4),"#0.000#")),""),"")</f>
        <v/>
      </c>
      <c r="G672" s="41" t="str">
        <f>IFERROR(IF(Calc!J672&lt;=$C$4,Calc!J672,""),"")</f>
        <v/>
      </c>
      <c r="H672" s="33" t="str">
        <f>IFERROR(IF(Calc!J672&lt;=$D$4,"Nice",""),"")</f>
        <v/>
      </c>
      <c r="J672" s="7" t="str">
        <f>CONCATENATE("[",TEXT(Show!A672,"#.0#"),":",TEXT(Show!B672,"#.0#"),"][",TEXT(Show!E672,"#.0#"),":",TEXT(Show!F672,"#.0#"),"]")</f>
        <v>[:][:]</v>
      </c>
    </row>
    <row r="673" spans="1:10" hidden="1" x14ac:dyDescent="0.25">
      <c r="A673" s="40" t="str">
        <f>IFERROR(IF(Calc!E673&lt;=$C$4,Calc!D673,""),"")</f>
        <v/>
      </c>
      <c r="B673" s="40" t="str">
        <f>IFERROR(IF(Calc!E673&lt;=$C$4,CONCATENATE(TEXT(Calc!C673,"#0.000#")," || ",TEXT(INDEX(Calc!L673:P673,$B$4),"#0.000#")),""),"")</f>
        <v/>
      </c>
      <c r="C673" s="41" t="str">
        <f>IFERROR(IF(Calc!E673&lt;=$C$4,Calc!E673,""),"")</f>
        <v/>
      </c>
      <c r="D673" s="33" t="str">
        <f>IFERROR(IF(Calc!E673&lt;=$D$4,"Nice",""),"")</f>
        <v/>
      </c>
      <c r="E673" s="40" t="str">
        <f>IFERROR(IF(Calc!J673&lt;=$C$4,Calc!I673,""),"")</f>
        <v/>
      </c>
      <c r="F673" s="40" t="str">
        <f>IFERROR(IF(Calc!J673&lt;=$C$4,CONCATENATE(TEXT(Calc!H673,"#0.000#")," + ",TEXT(INDEX(Calc!L673:P673,$B$4),"#0.000#")),""),"")</f>
        <v/>
      </c>
      <c r="G673" s="41" t="str">
        <f>IFERROR(IF(Calc!J673&lt;=$C$4,Calc!J673,""),"")</f>
        <v/>
      </c>
      <c r="H673" s="33" t="str">
        <f>IFERROR(IF(Calc!J673&lt;=$D$4,"Nice",""),"")</f>
        <v/>
      </c>
      <c r="J673" s="7" t="str">
        <f>CONCATENATE("[",TEXT(Show!A673,"#.0#"),":",TEXT(Show!B673,"#.0#"),"][",TEXT(Show!E673,"#.0#"),":",TEXT(Show!F673,"#.0#"),"]")</f>
        <v>[:][:]</v>
      </c>
    </row>
    <row r="674" spans="1:10" hidden="1" x14ac:dyDescent="0.25">
      <c r="A674" s="40" t="str">
        <f>IFERROR(IF(Calc!E674&lt;=$C$4,Calc!D674,""),"")</f>
        <v/>
      </c>
      <c r="B674" s="40" t="str">
        <f>IFERROR(IF(Calc!E674&lt;=$C$4,CONCATENATE(TEXT(Calc!C674,"#0.000#")," || ",TEXT(INDEX(Calc!L674:P674,$B$4),"#0.000#")),""),"")</f>
        <v/>
      </c>
      <c r="C674" s="41" t="str">
        <f>IFERROR(IF(Calc!E674&lt;=$C$4,Calc!E674,""),"")</f>
        <v/>
      </c>
      <c r="D674" s="33" t="str">
        <f>IFERROR(IF(Calc!E674&lt;=$D$4,"Nice",""),"")</f>
        <v/>
      </c>
      <c r="E674" s="40" t="str">
        <f>IFERROR(IF(Calc!J674&lt;=$C$4,Calc!I674,""),"")</f>
        <v/>
      </c>
      <c r="F674" s="40" t="str">
        <f>IFERROR(IF(Calc!J674&lt;=$C$4,CONCATENATE(TEXT(Calc!H674,"#0.000#")," + ",TEXT(INDEX(Calc!L674:P674,$B$4),"#0.000#")),""),"")</f>
        <v/>
      </c>
      <c r="G674" s="41" t="str">
        <f>IFERROR(IF(Calc!J674&lt;=$C$4,Calc!J674,""),"")</f>
        <v/>
      </c>
      <c r="H674" s="33" t="str">
        <f>IFERROR(IF(Calc!J674&lt;=$D$4,"Nice",""),"")</f>
        <v/>
      </c>
      <c r="J674" s="7" t="str">
        <f>CONCATENATE("[",TEXT(Show!A674,"#.0#"),":",TEXT(Show!B674,"#.0#"),"][",TEXT(Show!E674,"#.0#"),":",TEXT(Show!F674,"#.0#"),"]")</f>
        <v>[:][:]</v>
      </c>
    </row>
    <row r="675" spans="1:10" hidden="1" x14ac:dyDescent="0.25">
      <c r="A675" s="40" t="str">
        <f>IFERROR(IF(Calc!E675&lt;=$C$4,Calc!D675,""),"")</f>
        <v/>
      </c>
      <c r="B675" s="40" t="str">
        <f>IFERROR(IF(Calc!E675&lt;=$C$4,CONCATENATE(TEXT(Calc!C675,"#0.000#")," || ",TEXT(INDEX(Calc!L675:P675,$B$4),"#0.000#")),""),"")</f>
        <v/>
      </c>
      <c r="C675" s="41" t="str">
        <f>IFERROR(IF(Calc!E675&lt;=$C$4,Calc!E675,""),"")</f>
        <v/>
      </c>
      <c r="D675" s="33" t="str">
        <f>IFERROR(IF(Calc!E675&lt;=$D$4,"Nice",""),"")</f>
        <v/>
      </c>
      <c r="E675" s="40" t="str">
        <f>IFERROR(IF(Calc!J675&lt;=$C$4,Calc!I675,""),"")</f>
        <v/>
      </c>
      <c r="F675" s="40" t="str">
        <f>IFERROR(IF(Calc!J675&lt;=$C$4,CONCATENATE(TEXT(Calc!H675,"#0.000#")," + ",TEXT(INDEX(Calc!L675:P675,$B$4),"#0.000#")),""),"")</f>
        <v/>
      </c>
      <c r="G675" s="41" t="str">
        <f>IFERROR(IF(Calc!J675&lt;=$C$4,Calc!J675,""),"")</f>
        <v/>
      </c>
      <c r="H675" s="33" t="str">
        <f>IFERROR(IF(Calc!J675&lt;=$D$4,"Nice",""),"")</f>
        <v/>
      </c>
      <c r="J675" s="7" t="str">
        <f>CONCATENATE("[",TEXT(Show!A675,"#.0#"),":",TEXT(Show!B675,"#.0#"),"][",TEXT(Show!E675,"#.0#"),":",TEXT(Show!F675,"#.0#"),"]")</f>
        <v>[:][:]</v>
      </c>
    </row>
    <row r="676" spans="1:10" hidden="1" x14ac:dyDescent="0.25">
      <c r="A676" s="40" t="str">
        <f>IFERROR(IF(Calc!E676&lt;=$C$4,Calc!D676,""),"")</f>
        <v/>
      </c>
      <c r="B676" s="40" t="str">
        <f>IFERROR(IF(Calc!E676&lt;=$C$4,CONCATENATE(TEXT(Calc!C676,"#0.000#")," || ",TEXT(INDEX(Calc!L676:P676,$B$4),"#0.000#")),""),"")</f>
        <v/>
      </c>
      <c r="C676" s="41" t="str">
        <f>IFERROR(IF(Calc!E676&lt;=$C$4,Calc!E676,""),"")</f>
        <v/>
      </c>
      <c r="D676" s="33" t="str">
        <f>IFERROR(IF(Calc!E676&lt;=$D$4,"Nice",""),"")</f>
        <v/>
      </c>
      <c r="E676" s="40" t="str">
        <f>IFERROR(IF(Calc!J676&lt;=$C$4,Calc!I676,""),"")</f>
        <v/>
      </c>
      <c r="F676" s="40" t="str">
        <f>IFERROR(IF(Calc!J676&lt;=$C$4,CONCATENATE(TEXT(Calc!H676,"#0.000#")," + ",TEXT(INDEX(Calc!L676:P676,$B$4),"#0.000#")),""),"")</f>
        <v/>
      </c>
      <c r="G676" s="41" t="str">
        <f>IFERROR(IF(Calc!J676&lt;=$C$4,Calc!J676,""),"")</f>
        <v/>
      </c>
      <c r="H676" s="33" t="str">
        <f>IFERROR(IF(Calc!J676&lt;=$D$4,"Nice",""),"")</f>
        <v/>
      </c>
      <c r="J676" s="7" t="str">
        <f>CONCATENATE("[",TEXT(Show!A676,"#.0#"),":",TEXT(Show!B676,"#.0#"),"][",TEXT(Show!E676,"#.0#"),":",TEXT(Show!F676,"#.0#"),"]")</f>
        <v>[:][:]</v>
      </c>
    </row>
    <row r="677" spans="1:10" hidden="1" x14ac:dyDescent="0.25">
      <c r="A677" s="40" t="str">
        <f>IFERROR(IF(Calc!E677&lt;=$C$4,Calc!D677,""),"")</f>
        <v/>
      </c>
      <c r="B677" s="40" t="str">
        <f>IFERROR(IF(Calc!E677&lt;=$C$4,CONCATENATE(TEXT(Calc!C677,"#0.000#")," || ",TEXT(INDEX(Calc!L677:P677,$B$4),"#0.000#")),""),"")</f>
        <v/>
      </c>
      <c r="C677" s="41" t="str">
        <f>IFERROR(IF(Calc!E677&lt;=$C$4,Calc!E677,""),"")</f>
        <v/>
      </c>
      <c r="D677" s="33" t="str">
        <f>IFERROR(IF(Calc!E677&lt;=$D$4,"Nice",""),"")</f>
        <v/>
      </c>
      <c r="E677" s="40" t="str">
        <f>IFERROR(IF(Calc!J677&lt;=$C$4,Calc!I677,""),"")</f>
        <v/>
      </c>
      <c r="F677" s="40" t="str">
        <f>IFERROR(IF(Calc!J677&lt;=$C$4,CONCATENATE(TEXT(Calc!H677,"#0.000#")," + ",TEXT(INDEX(Calc!L677:P677,$B$4),"#0.000#")),""),"")</f>
        <v/>
      </c>
      <c r="G677" s="41" t="str">
        <f>IFERROR(IF(Calc!J677&lt;=$C$4,Calc!J677,""),"")</f>
        <v/>
      </c>
      <c r="H677" s="33" t="str">
        <f>IFERROR(IF(Calc!J677&lt;=$D$4,"Nice",""),"")</f>
        <v/>
      </c>
      <c r="J677" s="7" t="str">
        <f>CONCATENATE("[",TEXT(Show!A677,"#.0#"),":",TEXT(Show!B677,"#.0#"),"][",TEXT(Show!E677,"#.0#"),":",TEXT(Show!F677,"#.0#"),"]")</f>
        <v>[:][:]</v>
      </c>
    </row>
    <row r="678" spans="1:10" hidden="1" x14ac:dyDescent="0.25">
      <c r="A678" s="40" t="str">
        <f>IFERROR(IF(Calc!E678&lt;=$C$4,Calc!D678,""),"")</f>
        <v/>
      </c>
      <c r="B678" s="40" t="str">
        <f>IFERROR(IF(Calc!E678&lt;=$C$4,CONCATENATE(TEXT(Calc!C678,"#0.000#")," || ",TEXT(INDEX(Calc!L678:P678,$B$4),"#0.000#")),""),"")</f>
        <v/>
      </c>
      <c r="C678" s="41" t="str">
        <f>IFERROR(IF(Calc!E678&lt;=$C$4,Calc!E678,""),"")</f>
        <v/>
      </c>
      <c r="D678" s="33" t="str">
        <f>IFERROR(IF(Calc!E678&lt;=$D$4,"Nice",""),"")</f>
        <v/>
      </c>
      <c r="E678" s="40" t="str">
        <f>IFERROR(IF(Calc!J678&lt;=$C$4,Calc!I678,""),"")</f>
        <v/>
      </c>
      <c r="F678" s="40" t="str">
        <f>IFERROR(IF(Calc!J678&lt;=$C$4,CONCATENATE(TEXT(Calc!H678,"#0.000#")," + ",TEXT(INDEX(Calc!L678:P678,$B$4),"#0.000#")),""),"")</f>
        <v/>
      </c>
      <c r="G678" s="41" t="str">
        <f>IFERROR(IF(Calc!J678&lt;=$C$4,Calc!J678,""),"")</f>
        <v/>
      </c>
      <c r="H678" s="33" t="str">
        <f>IFERROR(IF(Calc!J678&lt;=$D$4,"Nice",""),"")</f>
        <v/>
      </c>
      <c r="J678" s="7" t="str">
        <f>CONCATENATE("[",TEXT(Show!A678,"#.0#"),":",TEXT(Show!B678,"#.0#"),"][",TEXT(Show!E678,"#.0#"),":",TEXT(Show!F678,"#.0#"),"]")</f>
        <v>[:][:]</v>
      </c>
    </row>
    <row r="679" spans="1:10" hidden="1" x14ac:dyDescent="0.25">
      <c r="A679" s="40" t="str">
        <f>IFERROR(IF(Calc!E679&lt;=$C$4,Calc!D679,""),"")</f>
        <v/>
      </c>
      <c r="B679" s="40" t="str">
        <f>IFERROR(IF(Calc!E679&lt;=$C$4,CONCATENATE(TEXT(Calc!C679,"#0.000#")," || ",TEXT(INDEX(Calc!L679:P679,$B$4),"#0.000#")),""),"")</f>
        <v/>
      </c>
      <c r="C679" s="41" t="str">
        <f>IFERROR(IF(Calc!E679&lt;=$C$4,Calc!E679,""),"")</f>
        <v/>
      </c>
      <c r="D679" s="33" t="str">
        <f>IFERROR(IF(Calc!E679&lt;=$D$4,"Nice",""),"")</f>
        <v/>
      </c>
      <c r="E679" s="40" t="str">
        <f>IFERROR(IF(Calc!J679&lt;=$C$4,Calc!I679,""),"")</f>
        <v/>
      </c>
      <c r="F679" s="40" t="str">
        <f>IFERROR(IF(Calc!J679&lt;=$C$4,CONCATENATE(TEXT(Calc!H679,"#0.000#")," + ",TEXT(INDEX(Calc!L679:P679,$B$4),"#0.000#")),""),"")</f>
        <v/>
      </c>
      <c r="G679" s="41" t="str">
        <f>IFERROR(IF(Calc!J679&lt;=$C$4,Calc!J679,""),"")</f>
        <v/>
      </c>
      <c r="H679" s="33" t="str">
        <f>IFERROR(IF(Calc!J679&lt;=$D$4,"Nice",""),"")</f>
        <v/>
      </c>
      <c r="J679" s="7" t="str">
        <f>CONCATENATE("[",TEXT(Show!A679,"#.0#"),":",TEXT(Show!B679,"#.0#"),"][",TEXT(Show!E679,"#.0#"),":",TEXT(Show!F679,"#.0#"),"]")</f>
        <v>[:][:]</v>
      </c>
    </row>
    <row r="680" spans="1:10" hidden="1" x14ac:dyDescent="0.25">
      <c r="A680" s="40" t="str">
        <f>IFERROR(IF(Calc!E680&lt;=$C$4,Calc!D680,""),"")</f>
        <v/>
      </c>
      <c r="B680" s="40" t="str">
        <f>IFERROR(IF(Calc!E680&lt;=$C$4,CONCATENATE(TEXT(Calc!C680,"#0.000#")," || ",TEXT(INDEX(Calc!L680:P680,$B$4),"#0.000#")),""),"")</f>
        <v/>
      </c>
      <c r="C680" s="41" t="str">
        <f>IFERROR(IF(Calc!E680&lt;=$C$4,Calc!E680,""),"")</f>
        <v/>
      </c>
      <c r="D680" s="33" t="str">
        <f>IFERROR(IF(Calc!E680&lt;=$D$4,"Nice",""),"")</f>
        <v/>
      </c>
      <c r="E680" s="40" t="str">
        <f>IFERROR(IF(Calc!J680&lt;=$C$4,Calc!I680,""),"")</f>
        <v/>
      </c>
      <c r="F680" s="40" t="str">
        <f>IFERROR(IF(Calc!J680&lt;=$C$4,CONCATENATE(TEXT(Calc!H680,"#0.000#")," + ",TEXT(INDEX(Calc!L680:P680,$B$4),"#0.000#")),""),"")</f>
        <v/>
      </c>
      <c r="G680" s="41" t="str">
        <f>IFERROR(IF(Calc!J680&lt;=$C$4,Calc!J680,""),"")</f>
        <v/>
      </c>
      <c r="H680" s="33" t="str">
        <f>IFERROR(IF(Calc!J680&lt;=$D$4,"Nice",""),"")</f>
        <v/>
      </c>
      <c r="J680" s="7" t="str">
        <f>CONCATENATE("[",TEXT(Show!A680,"#.0#"),":",TEXT(Show!B680,"#.0#"),"][",TEXT(Show!E680,"#.0#"),":",TEXT(Show!F680,"#.0#"),"]")</f>
        <v>[:][:]</v>
      </c>
    </row>
    <row r="681" spans="1:10" hidden="1" x14ac:dyDescent="0.25">
      <c r="A681" s="40" t="str">
        <f>IFERROR(IF(Calc!E681&lt;=$C$4,Calc!D681,""),"")</f>
        <v/>
      </c>
      <c r="B681" s="40" t="str">
        <f>IFERROR(IF(Calc!E681&lt;=$C$4,CONCATENATE(TEXT(Calc!C681,"#0.000#")," || ",TEXT(INDEX(Calc!L681:P681,$B$4),"#0.000#")),""),"")</f>
        <v/>
      </c>
      <c r="C681" s="41" t="str">
        <f>IFERROR(IF(Calc!E681&lt;=$C$4,Calc!E681,""),"")</f>
        <v/>
      </c>
      <c r="D681" s="33" t="str">
        <f>IFERROR(IF(Calc!E681&lt;=$D$4,"Nice",""),"")</f>
        <v/>
      </c>
      <c r="E681" s="40" t="str">
        <f>IFERROR(IF(Calc!J681&lt;=$C$4,Calc!I681,""),"")</f>
        <v/>
      </c>
      <c r="F681" s="40" t="str">
        <f>IFERROR(IF(Calc!J681&lt;=$C$4,CONCATENATE(TEXT(Calc!H681,"#0.000#")," + ",TEXT(INDEX(Calc!L681:P681,$B$4),"#0.000#")),""),"")</f>
        <v/>
      </c>
      <c r="G681" s="41" t="str">
        <f>IFERROR(IF(Calc!J681&lt;=$C$4,Calc!J681,""),"")</f>
        <v/>
      </c>
      <c r="H681" s="33" t="str">
        <f>IFERROR(IF(Calc!J681&lt;=$D$4,"Nice",""),"")</f>
        <v/>
      </c>
      <c r="J681" s="7" t="str">
        <f>CONCATENATE("[",TEXT(Show!A681,"#.0#"),":",TEXT(Show!B681,"#.0#"),"][",TEXT(Show!E681,"#.0#"),":",TEXT(Show!F681,"#.0#"),"]")</f>
        <v>[:][:]</v>
      </c>
    </row>
    <row r="682" spans="1:10" hidden="1" x14ac:dyDescent="0.25">
      <c r="A682" s="40" t="str">
        <f>IFERROR(IF(Calc!E682&lt;=$C$4,Calc!D682,""),"")</f>
        <v/>
      </c>
      <c r="B682" s="40" t="str">
        <f>IFERROR(IF(Calc!E682&lt;=$C$4,CONCATENATE(TEXT(Calc!C682,"#0.000#")," || ",TEXT(INDEX(Calc!L682:P682,$B$4),"#0.000#")),""),"")</f>
        <v/>
      </c>
      <c r="C682" s="41" t="str">
        <f>IFERROR(IF(Calc!E682&lt;=$C$4,Calc!E682,""),"")</f>
        <v/>
      </c>
      <c r="D682" s="33" t="str">
        <f>IFERROR(IF(Calc!E682&lt;=$D$4,"Nice",""),"")</f>
        <v/>
      </c>
      <c r="E682" s="40" t="str">
        <f>IFERROR(IF(Calc!J682&lt;=$C$4,Calc!I682,""),"")</f>
        <v/>
      </c>
      <c r="F682" s="40" t="str">
        <f>IFERROR(IF(Calc!J682&lt;=$C$4,CONCATENATE(TEXT(Calc!H682,"#0.000#")," + ",TEXT(INDEX(Calc!L682:P682,$B$4),"#0.000#")),""),"")</f>
        <v/>
      </c>
      <c r="G682" s="41" t="str">
        <f>IFERROR(IF(Calc!J682&lt;=$C$4,Calc!J682,""),"")</f>
        <v/>
      </c>
      <c r="H682" s="33" t="str">
        <f>IFERROR(IF(Calc!J682&lt;=$D$4,"Nice",""),"")</f>
        <v/>
      </c>
      <c r="J682" s="7" t="str">
        <f>CONCATENATE("[",TEXT(Show!A682,"#.0#"),":",TEXT(Show!B682,"#.0#"),"][",TEXT(Show!E682,"#.0#"),":",TEXT(Show!F682,"#.0#"),"]")</f>
        <v>[:][:]</v>
      </c>
    </row>
    <row r="683" spans="1:10" hidden="1" x14ac:dyDescent="0.25">
      <c r="A683" s="40" t="str">
        <f>IFERROR(IF(Calc!E683&lt;=$C$4,Calc!D683,""),"")</f>
        <v/>
      </c>
      <c r="B683" s="40" t="str">
        <f>IFERROR(IF(Calc!E683&lt;=$C$4,CONCATENATE(TEXT(Calc!C683,"#0.000#")," || ",TEXT(INDEX(Calc!L683:P683,$B$4),"#0.000#")),""),"")</f>
        <v/>
      </c>
      <c r="C683" s="41" t="str">
        <f>IFERROR(IF(Calc!E683&lt;=$C$4,Calc!E683,""),"")</f>
        <v/>
      </c>
      <c r="D683" s="33" t="str">
        <f>IFERROR(IF(Calc!E683&lt;=$D$4,"Nice",""),"")</f>
        <v/>
      </c>
      <c r="E683" s="40" t="str">
        <f>IFERROR(IF(Calc!J683&lt;=$C$4,Calc!I683,""),"")</f>
        <v/>
      </c>
      <c r="F683" s="40" t="str">
        <f>IFERROR(IF(Calc!J683&lt;=$C$4,CONCATENATE(TEXT(Calc!H683,"#0.000#")," + ",TEXT(INDEX(Calc!L683:P683,$B$4),"#0.000#")),""),"")</f>
        <v/>
      </c>
      <c r="G683" s="41" t="str">
        <f>IFERROR(IF(Calc!J683&lt;=$C$4,Calc!J683,""),"")</f>
        <v/>
      </c>
      <c r="H683" s="33" t="str">
        <f>IFERROR(IF(Calc!J683&lt;=$D$4,"Nice",""),"")</f>
        <v/>
      </c>
      <c r="J683" s="7" t="str">
        <f>CONCATENATE("[",TEXT(Show!A683,"#.0#"),":",TEXT(Show!B683,"#.0#"),"][",TEXT(Show!E683,"#.0#"),":",TEXT(Show!F683,"#.0#"),"]")</f>
        <v>[:][:]</v>
      </c>
    </row>
    <row r="684" spans="1:10" hidden="1" x14ac:dyDescent="0.25">
      <c r="A684" s="40" t="str">
        <f>IFERROR(IF(Calc!E684&lt;=$C$4,Calc!D684,""),"")</f>
        <v/>
      </c>
      <c r="B684" s="40" t="str">
        <f>IFERROR(IF(Calc!E684&lt;=$C$4,CONCATENATE(TEXT(Calc!C684,"#0.000#")," || ",TEXT(INDEX(Calc!L684:P684,$B$4),"#0.000#")),""),"")</f>
        <v/>
      </c>
      <c r="C684" s="41" t="str">
        <f>IFERROR(IF(Calc!E684&lt;=$C$4,Calc!E684,""),"")</f>
        <v/>
      </c>
      <c r="D684" s="33" t="str">
        <f>IFERROR(IF(Calc!E684&lt;=$D$4,"Nice",""),"")</f>
        <v/>
      </c>
      <c r="E684" s="40" t="str">
        <f>IFERROR(IF(Calc!J684&lt;=$C$4,Calc!I684,""),"")</f>
        <v/>
      </c>
      <c r="F684" s="40" t="str">
        <f>IFERROR(IF(Calc!J684&lt;=$C$4,CONCATENATE(TEXT(Calc!H684,"#0.000#")," + ",TEXT(INDEX(Calc!L684:P684,$B$4),"#0.000#")),""),"")</f>
        <v/>
      </c>
      <c r="G684" s="41" t="str">
        <f>IFERROR(IF(Calc!J684&lt;=$C$4,Calc!J684,""),"")</f>
        <v/>
      </c>
      <c r="H684" s="33" t="str">
        <f>IFERROR(IF(Calc!J684&lt;=$D$4,"Nice",""),"")</f>
        <v/>
      </c>
      <c r="J684" s="7" t="str">
        <f>CONCATENATE("[",TEXT(Show!A684,"#.0#"),":",TEXT(Show!B684,"#.0#"),"][",TEXT(Show!E684,"#.0#"),":",TEXT(Show!F684,"#.0#"),"]")</f>
        <v>[:][:]</v>
      </c>
    </row>
    <row r="685" spans="1:10" hidden="1" x14ac:dyDescent="0.25">
      <c r="A685" s="40" t="str">
        <f>IFERROR(IF(Calc!E685&lt;=$C$4,Calc!D685,""),"")</f>
        <v/>
      </c>
      <c r="B685" s="40" t="str">
        <f>IFERROR(IF(Calc!E685&lt;=$C$4,CONCATENATE(TEXT(Calc!C685,"#0.000#")," || ",TEXT(INDEX(Calc!L685:P685,$B$4),"#0.000#")),""),"")</f>
        <v/>
      </c>
      <c r="C685" s="41" t="str">
        <f>IFERROR(IF(Calc!E685&lt;=$C$4,Calc!E685,""),"")</f>
        <v/>
      </c>
      <c r="D685" s="33" t="str">
        <f>IFERROR(IF(Calc!E685&lt;=$D$4,"Nice",""),"")</f>
        <v/>
      </c>
      <c r="E685" s="40" t="str">
        <f>IFERROR(IF(Calc!J685&lt;=$C$4,Calc!I685,""),"")</f>
        <v/>
      </c>
      <c r="F685" s="40" t="str">
        <f>IFERROR(IF(Calc!J685&lt;=$C$4,CONCATENATE(TEXT(Calc!H685,"#0.000#")," + ",TEXT(INDEX(Calc!L685:P685,$B$4),"#0.000#")),""),"")</f>
        <v/>
      </c>
      <c r="G685" s="41" t="str">
        <f>IFERROR(IF(Calc!J685&lt;=$C$4,Calc!J685,""),"")</f>
        <v/>
      </c>
      <c r="H685" s="33" t="str">
        <f>IFERROR(IF(Calc!J685&lt;=$D$4,"Nice",""),"")</f>
        <v/>
      </c>
      <c r="J685" s="7" t="str">
        <f>CONCATENATE("[",TEXT(Show!A685,"#.0#"),":",TEXT(Show!B685,"#.0#"),"][",TEXT(Show!E685,"#.0#"),":",TEXT(Show!F685,"#.0#"),"]")</f>
        <v>[:][:]</v>
      </c>
    </row>
    <row r="686" spans="1:10" hidden="1" x14ac:dyDescent="0.25">
      <c r="A686" s="40" t="str">
        <f>IFERROR(IF(Calc!E686&lt;=$C$4,Calc!D686,""),"")</f>
        <v/>
      </c>
      <c r="B686" s="40" t="str">
        <f>IFERROR(IF(Calc!E686&lt;=$C$4,CONCATENATE(TEXT(Calc!C686,"#0.000#")," || ",TEXT(INDEX(Calc!L686:P686,$B$4),"#0.000#")),""),"")</f>
        <v/>
      </c>
      <c r="C686" s="41" t="str">
        <f>IFERROR(IF(Calc!E686&lt;=$C$4,Calc!E686,""),"")</f>
        <v/>
      </c>
      <c r="D686" s="33" t="str">
        <f>IFERROR(IF(Calc!E686&lt;=$D$4,"Nice",""),"")</f>
        <v/>
      </c>
      <c r="E686" s="40" t="str">
        <f>IFERROR(IF(Calc!J686&lt;=$C$4,Calc!I686,""),"")</f>
        <v/>
      </c>
      <c r="F686" s="40" t="str">
        <f>IFERROR(IF(Calc!J686&lt;=$C$4,CONCATENATE(TEXT(Calc!H686,"#0.000#")," + ",TEXT(INDEX(Calc!L686:P686,$B$4),"#0.000#")),""),"")</f>
        <v/>
      </c>
      <c r="G686" s="41" t="str">
        <f>IFERROR(IF(Calc!J686&lt;=$C$4,Calc!J686,""),"")</f>
        <v/>
      </c>
      <c r="H686" s="33" t="str">
        <f>IFERROR(IF(Calc!J686&lt;=$D$4,"Nice",""),"")</f>
        <v/>
      </c>
      <c r="J686" s="7" t="str">
        <f>CONCATENATE("[",TEXT(Show!A686,"#.0#"),":",TEXT(Show!B686,"#.0#"),"][",TEXT(Show!E686,"#.0#"),":",TEXT(Show!F686,"#.0#"),"]")</f>
        <v>[:][:]</v>
      </c>
    </row>
    <row r="687" spans="1:10" hidden="1" x14ac:dyDescent="0.25">
      <c r="A687" s="40" t="str">
        <f>IFERROR(IF(Calc!E687&lt;=$C$4,Calc!D687,""),"")</f>
        <v/>
      </c>
      <c r="B687" s="40" t="str">
        <f>IFERROR(IF(Calc!E687&lt;=$C$4,CONCATENATE(TEXT(Calc!C687,"#0.000#")," || ",TEXT(INDEX(Calc!L687:P687,$B$4),"#0.000#")),""),"")</f>
        <v/>
      </c>
      <c r="C687" s="41" t="str">
        <f>IFERROR(IF(Calc!E687&lt;=$C$4,Calc!E687,""),"")</f>
        <v/>
      </c>
      <c r="D687" s="33" t="str">
        <f>IFERROR(IF(Calc!E687&lt;=$D$4,"Nice",""),"")</f>
        <v/>
      </c>
      <c r="E687" s="40" t="str">
        <f>IFERROR(IF(Calc!J687&lt;=$C$4,Calc!I687,""),"")</f>
        <v/>
      </c>
      <c r="F687" s="40" t="str">
        <f>IFERROR(IF(Calc!J687&lt;=$C$4,CONCATENATE(TEXT(Calc!H687,"#0.000#")," + ",TEXT(INDEX(Calc!L687:P687,$B$4),"#0.000#")),""),"")</f>
        <v/>
      </c>
      <c r="G687" s="41" t="str">
        <f>IFERROR(IF(Calc!J687&lt;=$C$4,Calc!J687,""),"")</f>
        <v/>
      </c>
      <c r="H687" s="33" t="str">
        <f>IFERROR(IF(Calc!J687&lt;=$D$4,"Nice",""),"")</f>
        <v/>
      </c>
      <c r="J687" s="7" t="str">
        <f>CONCATENATE("[",TEXT(Show!A687,"#.0#"),":",TEXT(Show!B687,"#.0#"),"][",TEXT(Show!E687,"#.0#"),":",TEXT(Show!F687,"#.0#"),"]")</f>
        <v>[:][:]</v>
      </c>
    </row>
    <row r="688" spans="1:10" hidden="1" x14ac:dyDescent="0.25">
      <c r="A688" s="40" t="str">
        <f>IFERROR(IF(Calc!E688&lt;=$C$4,Calc!D688,""),"")</f>
        <v/>
      </c>
      <c r="B688" s="40" t="str">
        <f>IFERROR(IF(Calc!E688&lt;=$C$4,CONCATENATE(TEXT(Calc!C688,"#0.000#")," || ",TEXT(INDEX(Calc!L688:P688,$B$4),"#0.000#")),""),"")</f>
        <v/>
      </c>
      <c r="C688" s="41" t="str">
        <f>IFERROR(IF(Calc!E688&lt;=$C$4,Calc!E688,""),"")</f>
        <v/>
      </c>
      <c r="D688" s="33" t="str">
        <f>IFERROR(IF(Calc!E688&lt;=$D$4,"Nice",""),"")</f>
        <v/>
      </c>
      <c r="E688" s="40" t="str">
        <f>IFERROR(IF(Calc!J688&lt;=$C$4,Calc!I688,""),"")</f>
        <v/>
      </c>
      <c r="F688" s="40" t="str">
        <f>IFERROR(IF(Calc!J688&lt;=$C$4,CONCATENATE(TEXT(Calc!H688,"#0.000#")," + ",TEXT(INDEX(Calc!L688:P688,$B$4),"#0.000#")),""),"")</f>
        <v/>
      </c>
      <c r="G688" s="41" t="str">
        <f>IFERROR(IF(Calc!J688&lt;=$C$4,Calc!J688,""),"")</f>
        <v/>
      </c>
      <c r="H688" s="33" t="str">
        <f>IFERROR(IF(Calc!J688&lt;=$D$4,"Nice",""),"")</f>
        <v/>
      </c>
      <c r="J688" s="7" t="str">
        <f>CONCATENATE("[",TEXT(Show!A688,"#.0#"),":",TEXT(Show!B688,"#.0#"),"][",TEXT(Show!E688,"#.0#"),":",TEXT(Show!F688,"#.0#"),"]")</f>
        <v>[:][:]</v>
      </c>
    </row>
    <row r="689" spans="1:10" hidden="1" x14ac:dyDescent="0.25">
      <c r="A689" s="40" t="str">
        <f>IFERROR(IF(Calc!E689&lt;=$C$4,Calc!D689,""),"")</f>
        <v/>
      </c>
      <c r="B689" s="40" t="str">
        <f>IFERROR(IF(Calc!E689&lt;=$C$4,CONCATENATE(TEXT(Calc!C689,"#0.000#")," || ",TEXT(INDEX(Calc!L689:P689,$B$4),"#0.000#")),""),"")</f>
        <v/>
      </c>
      <c r="C689" s="41" t="str">
        <f>IFERROR(IF(Calc!E689&lt;=$C$4,Calc!E689,""),"")</f>
        <v/>
      </c>
      <c r="D689" s="33" t="str">
        <f>IFERROR(IF(Calc!E689&lt;=$D$4,"Nice",""),"")</f>
        <v/>
      </c>
      <c r="E689" s="40" t="str">
        <f>IFERROR(IF(Calc!J689&lt;=$C$4,Calc!I689,""),"")</f>
        <v/>
      </c>
      <c r="F689" s="40" t="str">
        <f>IFERROR(IF(Calc!J689&lt;=$C$4,CONCATENATE(TEXT(Calc!H689,"#0.000#")," + ",TEXT(INDEX(Calc!L689:P689,$B$4),"#0.000#")),""),"")</f>
        <v/>
      </c>
      <c r="G689" s="41" t="str">
        <f>IFERROR(IF(Calc!J689&lt;=$C$4,Calc!J689,""),"")</f>
        <v/>
      </c>
      <c r="H689" s="33" t="str">
        <f>IFERROR(IF(Calc!J689&lt;=$D$4,"Nice",""),"")</f>
        <v/>
      </c>
      <c r="J689" s="7" t="str">
        <f>CONCATENATE("[",TEXT(Show!A689,"#.0#"),":",TEXT(Show!B689,"#.0#"),"][",TEXT(Show!E689,"#.0#"),":",TEXT(Show!F689,"#.0#"),"]")</f>
        <v>[:][:]</v>
      </c>
    </row>
    <row r="690" spans="1:10" hidden="1" x14ac:dyDescent="0.25">
      <c r="A690" s="40" t="str">
        <f>IFERROR(IF(Calc!E690&lt;=$C$4,Calc!D690,""),"")</f>
        <v/>
      </c>
      <c r="B690" s="40" t="str">
        <f>IFERROR(IF(Calc!E690&lt;=$C$4,CONCATENATE(TEXT(Calc!C690,"#0.000#")," || ",TEXT(INDEX(Calc!L690:P690,$B$4),"#0.000#")),""),"")</f>
        <v/>
      </c>
      <c r="C690" s="41" t="str">
        <f>IFERROR(IF(Calc!E690&lt;=$C$4,Calc!E690,""),"")</f>
        <v/>
      </c>
      <c r="D690" s="33" t="str">
        <f>IFERROR(IF(Calc!E690&lt;=$D$4,"Nice",""),"")</f>
        <v/>
      </c>
      <c r="E690" s="40" t="str">
        <f>IFERROR(IF(Calc!J690&lt;=$C$4,Calc!I690,""),"")</f>
        <v/>
      </c>
      <c r="F690" s="40" t="str">
        <f>IFERROR(IF(Calc!J690&lt;=$C$4,CONCATENATE(TEXT(Calc!H690,"#0.000#")," + ",TEXT(INDEX(Calc!L690:P690,$B$4),"#0.000#")),""),"")</f>
        <v/>
      </c>
      <c r="G690" s="41" t="str">
        <f>IFERROR(IF(Calc!J690&lt;=$C$4,Calc!J690,""),"")</f>
        <v/>
      </c>
      <c r="H690" s="33" t="str">
        <f>IFERROR(IF(Calc!J690&lt;=$D$4,"Nice",""),"")</f>
        <v/>
      </c>
      <c r="J690" s="7" t="str">
        <f>CONCATENATE("[",TEXT(Show!A690,"#.0#"),":",TEXT(Show!B690,"#.0#"),"][",TEXT(Show!E690,"#.0#"),":",TEXT(Show!F690,"#.0#"),"]")</f>
        <v>[:][:]</v>
      </c>
    </row>
    <row r="691" spans="1:10" hidden="1" x14ac:dyDescent="0.25">
      <c r="A691" s="40" t="str">
        <f>IFERROR(IF(Calc!E691&lt;=$C$4,Calc!D691,""),"")</f>
        <v/>
      </c>
      <c r="B691" s="40" t="str">
        <f>IFERROR(IF(Calc!E691&lt;=$C$4,CONCATENATE(TEXT(Calc!C691,"#0.000#")," || ",TEXT(INDEX(Calc!L691:P691,$B$4),"#0.000#")),""),"")</f>
        <v/>
      </c>
      <c r="C691" s="41" t="str">
        <f>IFERROR(IF(Calc!E691&lt;=$C$4,Calc!E691,""),"")</f>
        <v/>
      </c>
      <c r="D691" s="33" t="str">
        <f>IFERROR(IF(Calc!E691&lt;=$D$4,"Nice",""),"")</f>
        <v/>
      </c>
      <c r="E691" s="40" t="str">
        <f>IFERROR(IF(Calc!J691&lt;=$C$4,Calc!I691,""),"")</f>
        <v/>
      </c>
      <c r="F691" s="40" t="str">
        <f>IFERROR(IF(Calc!J691&lt;=$C$4,CONCATENATE(TEXT(Calc!H691,"#0.000#")," + ",TEXT(INDEX(Calc!L691:P691,$B$4),"#0.000#")),""),"")</f>
        <v/>
      </c>
      <c r="G691" s="41" t="str">
        <f>IFERROR(IF(Calc!J691&lt;=$C$4,Calc!J691,""),"")</f>
        <v/>
      </c>
      <c r="H691" s="33" t="str">
        <f>IFERROR(IF(Calc!J691&lt;=$D$4,"Nice",""),"")</f>
        <v/>
      </c>
      <c r="J691" s="7" t="str">
        <f>CONCATENATE("[",TEXT(Show!A691,"#.0#"),":",TEXT(Show!B691,"#.0#"),"][",TEXT(Show!E691,"#.0#"),":",TEXT(Show!F691,"#.0#"),"]")</f>
        <v>[:][:]</v>
      </c>
    </row>
    <row r="692" spans="1:10" hidden="1" x14ac:dyDescent="0.25">
      <c r="A692" s="40" t="str">
        <f>IFERROR(IF(Calc!E692&lt;=$C$4,Calc!D692,""),"")</f>
        <v/>
      </c>
      <c r="B692" s="40" t="str">
        <f>IFERROR(IF(Calc!E692&lt;=$C$4,CONCATENATE(TEXT(Calc!C692,"#0.000#")," || ",TEXT(INDEX(Calc!L692:P692,$B$4),"#0.000#")),""),"")</f>
        <v/>
      </c>
      <c r="C692" s="41" t="str">
        <f>IFERROR(IF(Calc!E692&lt;=$C$4,Calc!E692,""),"")</f>
        <v/>
      </c>
      <c r="D692" s="33" t="str">
        <f>IFERROR(IF(Calc!E692&lt;=$D$4,"Nice",""),"")</f>
        <v/>
      </c>
      <c r="E692" s="40" t="str">
        <f>IFERROR(IF(Calc!J692&lt;=$C$4,Calc!I692,""),"")</f>
        <v/>
      </c>
      <c r="F692" s="40" t="str">
        <f>IFERROR(IF(Calc!J692&lt;=$C$4,CONCATENATE(TEXT(Calc!H692,"#0.000#")," + ",TEXT(INDEX(Calc!L692:P692,$B$4),"#0.000#")),""),"")</f>
        <v/>
      </c>
      <c r="G692" s="41" t="str">
        <f>IFERROR(IF(Calc!J692&lt;=$C$4,Calc!J692,""),"")</f>
        <v/>
      </c>
      <c r="H692" s="33" t="str">
        <f>IFERROR(IF(Calc!J692&lt;=$D$4,"Nice",""),"")</f>
        <v/>
      </c>
      <c r="J692" s="7" t="str">
        <f>CONCATENATE("[",TEXT(Show!A692,"#.0#"),":",TEXT(Show!B692,"#.0#"),"][",TEXT(Show!E692,"#.0#"),":",TEXT(Show!F692,"#.0#"),"]")</f>
        <v>[:][:]</v>
      </c>
    </row>
    <row r="693" spans="1:10" hidden="1" x14ac:dyDescent="0.25">
      <c r="A693" s="40" t="str">
        <f>IFERROR(IF(Calc!E693&lt;=$C$4,Calc!D693,""),"")</f>
        <v/>
      </c>
      <c r="B693" s="40" t="str">
        <f>IFERROR(IF(Calc!E693&lt;=$C$4,CONCATENATE(TEXT(Calc!C693,"#0.000#")," || ",TEXT(INDEX(Calc!L693:P693,$B$4),"#0.000#")),""),"")</f>
        <v/>
      </c>
      <c r="C693" s="41" t="str">
        <f>IFERROR(IF(Calc!E693&lt;=$C$4,Calc!E693,""),"")</f>
        <v/>
      </c>
      <c r="D693" s="33" t="str">
        <f>IFERROR(IF(Calc!E693&lt;=$D$4,"Nice",""),"")</f>
        <v/>
      </c>
      <c r="E693" s="40" t="str">
        <f>IFERROR(IF(Calc!J693&lt;=$C$4,Calc!I693,""),"")</f>
        <v/>
      </c>
      <c r="F693" s="40" t="str">
        <f>IFERROR(IF(Calc!J693&lt;=$C$4,CONCATENATE(TEXT(Calc!H693,"#0.000#")," + ",TEXT(INDEX(Calc!L693:P693,$B$4),"#0.000#")),""),"")</f>
        <v/>
      </c>
      <c r="G693" s="41" t="str">
        <f>IFERROR(IF(Calc!J693&lt;=$C$4,Calc!J693,""),"")</f>
        <v/>
      </c>
      <c r="H693" s="33" t="str">
        <f>IFERROR(IF(Calc!J693&lt;=$D$4,"Nice",""),"")</f>
        <v/>
      </c>
      <c r="J693" s="7" t="str">
        <f>CONCATENATE("[",TEXT(Show!A693,"#.0#"),":",TEXT(Show!B693,"#.0#"),"][",TEXT(Show!E693,"#.0#"),":",TEXT(Show!F693,"#.0#"),"]")</f>
        <v>[:][:]</v>
      </c>
    </row>
    <row r="694" spans="1:10" hidden="1" x14ac:dyDescent="0.25">
      <c r="A694" s="40" t="str">
        <f>IFERROR(IF(Calc!E694&lt;=$C$4,Calc!D694,""),"")</f>
        <v/>
      </c>
      <c r="B694" s="40" t="str">
        <f>IFERROR(IF(Calc!E694&lt;=$C$4,CONCATENATE(TEXT(Calc!C694,"#0.000#")," || ",TEXT(INDEX(Calc!L694:P694,$B$4),"#0.000#")),""),"")</f>
        <v/>
      </c>
      <c r="C694" s="41" t="str">
        <f>IFERROR(IF(Calc!E694&lt;=$C$4,Calc!E694,""),"")</f>
        <v/>
      </c>
      <c r="D694" s="33" t="str">
        <f>IFERROR(IF(Calc!E694&lt;=$D$4,"Nice",""),"")</f>
        <v/>
      </c>
      <c r="E694" s="40" t="str">
        <f>IFERROR(IF(Calc!J694&lt;=$C$4,Calc!I694,""),"")</f>
        <v/>
      </c>
      <c r="F694" s="40" t="str">
        <f>IFERROR(IF(Calc!J694&lt;=$C$4,CONCATENATE(TEXT(Calc!H694,"#0.000#")," + ",TEXT(INDEX(Calc!L694:P694,$B$4),"#0.000#")),""),"")</f>
        <v/>
      </c>
      <c r="G694" s="41" t="str">
        <f>IFERROR(IF(Calc!J694&lt;=$C$4,Calc!J694,""),"")</f>
        <v/>
      </c>
      <c r="H694" s="33" t="str">
        <f>IFERROR(IF(Calc!J694&lt;=$D$4,"Nice",""),"")</f>
        <v/>
      </c>
      <c r="J694" s="7" t="str">
        <f>CONCATENATE("[",TEXT(Show!A694,"#.0#"),":",TEXT(Show!B694,"#.0#"),"][",TEXT(Show!E694,"#.0#"),":",TEXT(Show!F694,"#.0#"),"]")</f>
        <v>[:][:]</v>
      </c>
    </row>
    <row r="695" spans="1:10" hidden="1" x14ac:dyDescent="0.25">
      <c r="A695" s="40" t="str">
        <f>IFERROR(IF(Calc!E695&lt;=$C$4,Calc!D695,""),"")</f>
        <v/>
      </c>
      <c r="B695" s="40" t="str">
        <f>IFERROR(IF(Calc!E695&lt;=$C$4,CONCATENATE(TEXT(Calc!C695,"#0.000#")," || ",TEXT(INDEX(Calc!L695:P695,$B$4),"#0.000#")),""),"")</f>
        <v/>
      </c>
      <c r="C695" s="41" t="str">
        <f>IFERROR(IF(Calc!E695&lt;=$C$4,Calc!E695,""),"")</f>
        <v/>
      </c>
      <c r="D695" s="33" t="str">
        <f>IFERROR(IF(Calc!E695&lt;=$D$4,"Nice",""),"")</f>
        <v/>
      </c>
      <c r="E695" s="40" t="str">
        <f>IFERROR(IF(Calc!J695&lt;=$C$4,Calc!I695,""),"")</f>
        <v/>
      </c>
      <c r="F695" s="40" t="str">
        <f>IFERROR(IF(Calc!J695&lt;=$C$4,CONCATENATE(TEXT(Calc!H695,"#0.000#")," + ",TEXT(INDEX(Calc!L695:P695,$B$4),"#0.000#")),""),"")</f>
        <v/>
      </c>
      <c r="G695" s="41" t="str">
        <f>IFERROR(IF(Calc!J695&lt;=$C$4,Calc!J695,""),"")</f>
        <v/>
      </c>
      <c r="H695" s="33" t="str">
        <f>IFERROR(IF(Calc!J695&lt;=$D$4,"Nice",""),"")</f>
        <v/>
      </c>
      <c r="J695" s="7" t="str">
        <f>CONCATENATE("[",TEXT(Show!A695,"#.0#"),":",TEXT(Show!B695,"#.0#"),"][",TEXT(Show!E695,"#.0#"),":",TEXT(Show!F695,"#.0#"),"]")</f>
        <v>[:][:]</v>
      </c>
    </row>
    <row r="696" spans="1:10" hidden="1" x14ac:dyDescent="0.25">
      <c r="A696" s="40" t="str">
        <f>IFERROR(IF(Calc!E696&lt;=$C$4,Calc!D696,""),"")</f>
        <v/>
      </c>
      <c r="B696" s="40" t="str">
        <f>IFERROR(IF(Calc!E696&lt;=$C$4,CONCATENATE(TEXT(Calc!C696,"#0.000#")," || ",TEXT(INDEX(Calc!L696:P696,$B$4),"#0.000#")),""),"")</f>
        <v/>
      </c>
      <c r="C696" s="41" t="str">
        <f>IFERROR(IF(Calc!E696&lt;=$C$4,Calc!E696,""),"")</f>
        <v/>
      </c>
      <c r="D696" s="33" t="str">
        <f>IFERROR(IF(Calc!E696&lt;=$D$4,"Nice",""),"")</f>
        <v/>
      </c>
      <c r="E696" s="40" t="str">
        <f>IFERROR(IF(Calc!J696&lt;=$C$4,Calc!I696,""),"")</f>
        <v/>
      </c>
      <c r="F696" s="40" t="str">
        <f>IFERROR(IF(Calc!J696&lt;=$C$4,CONCATENATE(TEXT(Calc!H696,"#0.000#")," + ",TEXT(INDEX(Calc!L696:P696,$B$4),"#0.000#")),""),"")</f>
        <v/>
      </c>
      <c r="G696" s="41" t="str">
        <f>IFERROR(IF(Calc!J696&lt;=$C$4,Calc!J696,""),"")</f>
        <v/>
      </c>
      <c r="H696" s="33" t="str">
        <f>IFERROR(IF(Calc!J696&lt;=$D$4,"Nice",""),"")</f>
        <v/>
      </c>
      <c r="J696" s="7" t="str">
        <f>CONCATENATE("[",TEXT(Show!A696,"#.0#"),":",TEXT(Show!B696,"#.0#"),"][",TEXT(Show!E696,"#.0#"),":",TEXT(Show!F696,"#.0#"),"]")</f>
        <v>[:][:]</v>
      </c>
    </row>
    <row r="697" spans="1:10" hidden="1" x14ac:dyDescent="0.25">
      <c r="A697" s="40" t="str">
        <f>IFERROR(IF(Calc!E697&lt;=$C$4,Calc!D697,""),"")</f>
        <v/>
      </c>
      <c r="B697" s="40" t="str">
        <f>IFERROR(IF(Calc!E697&lt;=$C$4,CONCATENATE(TEXT(Calc!C697,"#0.000#")," || ",TEXT(INDEX(Calc!L697:P697,$B$4),"#0.000#")),""),"")</f>
        <v/>
      </c>
      <c r="C697" s="41" t="str">
        <f>IFERROR(IF(Calc!E697&lt;=$C$4,Calc!E697,""),"")</f>
        <v/>
      </c>
      <c r="D697" s="33" t="str">
        <f>IFERROR(IF(Calc!E697&lt;=$D$4,"Nice",""),"")</f>
        <v/>
      </c>
      <c r="E697" s="40" t="str">
        <f>IFERROR(IF(Calc!J697&lt;=$C$4,Calc!I697,""),"")</f>
        <v/>
      </c>
      <c r="F697" s="40" t="str">
        <f>IFERROR(IF(Calc!J697&lt;=$C$4,CONCATENATE(TEXT(Calc!H697,"#0.000#")," + ",TEXT(INDEX(Calc!L697:P697,$B$4),"#0.000#")),""),"")</f>
        <v/>
      </c>
      <c r="G697" s="41" t="str">
        <f>IFERROR(IF(Calc!J697&lt;=$C$4,Calc!J697,""),"")</f>
        <v/>
      </c>
      <c r="H697" s="33" t="str">
        <f>IFERROR(IF(Calc!J697&lt;=$D$4,"Nice",""),"")</f>
        <v/>
      </c>
      <c r="J697" s="7" t="str">
        <f>CONCATENATE("[",TEXT(Show!A697,"#.0#"),":",TEXT(Show!B697,"#.0#"),"][",TEXT(Show!E697,"#.0#"),":",TEXT(Show!F697,"#.0#"),"]")</f>
        <v>[:][:]</v>
      </c>
    </row>
    <row r="698" spans="1:10" hidden="1" x14ac:dyDescent="0.25">
      <c r="A698" s="40" t="str">
        <f>IFERROR(IF(Calc!E698&lt;=$C$4,Calc!D698,""),"")</f>
        <v/>
      </c>
      <c r="B698" s="40" t="str">
        <f>IFERROR(IF(Calc!E698&lt;=$C$4,CONCATENATE(TEXT(Calc!C698,"#0.000#")," || ",TEXT(INDEX(Calc!L698:P698,$B$4),"#0.000#")),""),"")</f>
        <v/>
      </c>
      <c r="C698" s="41" t="str">
        <f>IFERROR(IF(Calc!E698&lt;=$C$4,Calc!E698,""),"")</f>
        <v/>
      </c>
      <c r="D698" s="33" t="str">
        <f>IFERROR(IF(Calc!E698&lt;=$D$4,"Nice",""),"")</f>
        <v/>
      </c>
      <c r="E698" s="40" t="str">
        <f>IFERROR(IF(Calc!J698&lt;=$C$4,Calc!I698,""),"")</f>
        <v/>
      </c>
      <c r="F698" s="40" t="str">
        <f>IFERROR(IF(Calc!J698&lt;=$C$4,CONCATENATE(TEXT(Calc!H698,"#0.000#")," + ",TEXT(INDEX(Calc!L698:P698,$B$4),"#0.000#")),""),"")</f>
        <v/>
      </c>
      <c r="G698" s="41" t="str">
        <f>IFERROR(IF(Calc!J698&lt;=$C$4,Calc!J698,""),"")</f>
        <v/>
      </c>
      <c r="H698" s="33" t="str">
        <f>IFERROR(IF(Calc!J698&lt;=$D$4,"Nice",""),"")</f>
        <v/>
      </c>
      <c r="J698" s="7" t="str">
        <f>CONCATENATE("[",TEXT(Show!A698,"#.0#"),":",TEXT(Show!B698,"#.0#"),"][",TEXT(Show!E698,"#.0#"),":",TEXT(Show!F698,"#.0#"),"]")</f>
        <v>[:][:]</v>
      </c>
    </row>
    <row r="699" spans="1:10" hidden="1" x14ac:dyDescent="0.25">
      <c r="A699" s="40" t="str">
        <f>IFERROR(IF(Calc!E699&lt;=$C$4,Calc!D699,""),"")</f>
        <v/>
      </c>
      <c r="B699" s="40" t="str">
        <f>IFERROR(IF(Calc!E699&lt;=$C$4,CONCATENATE(TEXT(Calc!C699,"#0.000#")," || ",TEXT(INDEX(Calc!L699:P699,$B$4),"#0.000#")),""),"")</f>
        <v/>
      </c>
      <c r="C699" s="41" t="str">
        <f>IFERROR(IF(Calc!E699&lt;=$C$4,Calc!E699,""),"")</f>
        <v/>
      </c>
      <c r="D699" s="33" t="str">
        <f>IFERROR(IF(Calc!E699&lt;=$D$4,"Nice",""),"")</f>
        <v/>
      </c>
      <c r="E699" s="40" t="str">
        <f>IFERROR(IF(Calc!J699&lt;=$C$4,Calc!I699,""),"")</f>
        <v/>
      </c>
      <c r="F699" s="40" t="str">
        <f>IFERROR(IF(Calc!J699&lt;=$C$4,CONCATENATE(TEXT(Calc!H699,"#0.000#")," + ",TEXT(INDEX(Calc!L699:P699,$B$4),"#0.000#")),""),"")</f>
        <v/>
      </c>
      <c r="G699" s="41" t="str">
        <f>IFERROR(IF(Calc!J699&lt;=$C$4,Calc!J699,""),"")</f>
        <v/>
      </c>
      <c r="H699" s="33" t="str">
        <f>IFERROR(IF(Calc!J699&lt;=$D$4,"Nice",""),"")</f>
        <v/>
      </c>
      <c r="J699" s="7" t="str">
        <f>CONCATENATE("[",TEXT(Show!A699,"#.0#"),":",TEXT(Show!B699,"#.0#"),"][",TEXT(Show!E699,"#.0#"),":",TEXT(Show!F699,"#.0#"),"]")</f>
        <v>[:][:]</v>
      </c>
    </row>
    <row r="700" spans="1:10" hidden="1" x14ac:dyDescent="0.25">
      <c r="A700" s="40" t="str">
        <f>IFERROR(IF(Calc!E700&lt;=$C$4,Calc!D700,""),"")</f>
        <v/>
      </c>
      <c r="B700" s="40" t="str">
        <f>IFERROR(IF(Calc!E700&lt;=$C$4,CONCATENATE(TEXT(Calc!C700,"#0.000#")," || ",TEXT(INDEX(Calc!L700:P700,$B$4),"#0.000#")),""),"")</f>
        <v/>
      </c>
      <c r="C700" s="41" t="str">
        <f>IFERROR(IF(Calc!E700&lt;=$C$4,Calc!E700,""),"")</f>
        <v/>
      </c>
      <c r="D700" s="33" t="str">
        <f>IFERROR(IF(Calc!E700&lt;=$D$4,"Nice",""),"")</f>
        <v/>
      </c>
      <c r="E700" s="40" t="str">
        <f>IFERROR(IF(Calc!J700&lt;=$C$4,Calc!I700,""),"")</f>
        <v/>
      </c>
      <c r="F700" s="40" t="str">
        <f>IFERROR(IF(Calc!J700&lt;=$C$4,CONCATENATE(TEXT(Calc!H700,"#0.000#")," + ",TEXT(INDEX(Calc!L700:P700,$B$4),"#0.000#")),""),"")</f>
        <v/>
      </c>
      <c r="G700" s="41" t="str">
        <f>IFERROR(IF(Calc!J700&lt;=$C$4,Calc!J700,""),"")</f>
        <v/>
      </c>
      <c r="H700" s="33" t="str">
        <f>IFERROR(IF(Calc!J700&lt;=$D$4,"Nice",""),"")</f>
        <v/>
      </c>
      <c r="J700" s="7" t="str">
        <f>CONCATENATE("[",TEXT(Show!A700,"#.0#"),":",TEXT(Show!B700,"#.0#"),"][",TEXT(Show!E700,"#.0#"),":",TEXT(Show!F700,"#.0#"),"]")</f>
        <v>[:][:]</v>
      </c>
    </row>
    <row r="701" spans="1:10" hidden="1" x14ac:dyDescent="0.25">
      <c r="A701" s="40" t="str">
        <f>IFERROR(IF(Calc!E701&lt;=$C$4,Calc!D701,""),"")</f>
        <v/>
      </c>
      <c r="B701" s="40" t="str">
        <f>IFERROR(IF(Calc!E701&lt;=$C$4,CONCATENATE(TEXT(Calc!C701,"#0.000#")," || ",TEXT(INDEX(Calc!L701:P701,$B$4),"#0.000#")),""),"")</f>
        <v/>
      </c>
      <c r="C701" s="41" t="str">
        <f>IFERROR(IF(Calc!E701&lt;=$C$4,Calc!E701,""),"")</f>
        <v/>
      </c>
      <c r="D701" s="33" t="str">
        <f>IFERROR(IF(Calc!E701&lt;=$D$4,"Nice",""),"")</f>
        <v/>
      </c>
      <c r="E701" s="40" t="str">
        <f>IFERROR(IF(Calc!J701&lt;=$C$4,Calc!I701,""),"")</f>
        <v/>
      </c>
      <c r="F701" s="40" t="str">
        <f>IFERROR(IF(Calc!J701&lt;=$C$4,CONCATENATE(TEXT(Calc!H701,"#0.000#")," + ",TEXT(INDEX(Calc!L701:P701,$B$4),"#0.000#")),""),"")</f>
        <v/>
      </c>
      <c r="G701" s="41" t="str">
        <f>IFERROR(IF(Calc!J701&lt;=$C$4,Calc!J701,""),"")</f>
        <v/>
      </c>
      <c r="H701" s="33" t="str">
        <f>IFERROR(IF(Calc!J701&lt;=$D$4,"Nice",""),"")</f>
        <v/>
      </c>
      <c r="J701" s="7" t="str">
        <f>CONCATENATE("[",TEXT(Show!A701,"#.0#"),":",TEXT(Show!B701,"#.0#"),"][",TEXT(Show!E701,"#.0#"),":",TEXT(Show!F701,"#.0#"),"]")</f>
        <v>[:][:]</v>
      </c>
    </row>
    <row r="702" spans="1:10" hidden="1" x14ac:dyDescent="0.25">
      <c r="A702" s="40" t="str">
        <f>IFERROR(IF(Calc!E702&lt;=$C$4,Calc!D702,""),"")</f>
        <v/>
      </c>
      <c r="B702" s="40" t="str">
        <f>IFERROR(IF(Calc!E702&lt;=$C$4,CONCATENATE(TEXT(Calc!C702,"#0.000#")," || ",TEXT(INDEX(Calc!L702:P702,$B$4),"#0.000#")),""),"")</f>
        <v/>
      </c>
      <c r="C702" s="41" t="str">
        <f>IFERROR(IF(Calc!E702&lt;=$C$4,Calc!E702,""),"")</f>
        <v/>
      </c>
      <c r="D702" s="33" t="str">
        <f>IFERROR(IF(Calc!E702&lt;=$D$4,"Nice",""),"")</f>
        <v/>
      </c>
      <c r="E702" s="40" t="str">
        <f>IFERROR(IF(Calc!J702&lt;=$C$4,Calc!I702,""),"")</f>
        <v/>
      </c>
      <c r="F702" s="40" t="str">
        <f>IFERROR(IF(Calc!J702&lt;=$C$4,CONCATENATE(TEXT(Calc!H702,"#0.000#")," + ",TEXT(INDEX(Calc!L702:P702,$B$4),"#0.000#")),""),"")</f>
        <v/>
      </c>
      <c r="G702" s="41" t="str">
        <f>IFERROR(IF(Calc!J702&lt;=$C$4,Calc!J702,""),"")</f>
        <v/>
      </c>
      <c r="H702" s="33" t="str">
        <f>IFERROR(IF(Calc!J702&lt;=$D$4,"Nice",""),"")</f>
        <v/>
      </c>
      <c r="J702" s="7" t="str">
        <f>CONCATENATE("[",TEXT(Show!A702,"#.0#"),":",TEXT(Show!B702,"#.0#"),"][",TEXT(Show!E702,"#.0#"),":",TEXT(Show!F702,"#.0#"),"]")</f>
        <v>[:][:]</v>
      </c>
    </row>
    <row r="703" spans="1:10" hidden="1" x14ac:dyDescent="0.25">
      <c r="A703" s="40" t="str">
        <f>IFERROR(IF(Calc!E703&lt;=$C$4,Calc!D703,""),"")</f>
        <v/>
      </c>
      <c r="B703" s="40" t="str">
        <f>IFERROR(IF(Calc!E703&lt;=$C$4,CONCATENATE(TEXT(Calc!C703,"#0.000#")," || ",TEXT(INDEX(Calc!L703:P703,$B$4),"#0.000#")),""),"")</f>
        <v/>
      </c>
      <c r="C703" s="41" t="str">
        <f>IFERROR(IF(Calc!E703&lt;=$C$4,Calc!E703,""),"")</f>
        <v/>
      </c>
      <c r="D703" s="33" t="str">
        <f>IFERROR(IF(Calc!E703&lt;=$D$4,"Nice",""),"")</f>
        <v/>
      </c>
      <c r="E703" s="40" t="str">
        <f>IFERROR(IF(Calc!J703&lt;=$C$4,Calc!I703,""),"")</f>
        <v/>
      </c>
      <c r="F703" s="40" t="str">
        <f>IFERROR(IF(Calc!J703&lt;=$C$4,CONCATENATE(TEXT(Calc!H703,"#0.000#")," + ",TEXT(INDEX(Calc!L703:P703,$B$4),"#0.000#")),""),"")</f>
        <v/>
      </c>
      <c r="G703" s="41" t="str">
        <f>IFERROR(IF(Calc!J703&lt;=$C$4,Calc!J703,""),"")</f>
        <v/>
      </c>
      <c r="H703" s="33" t="str">
        <f>IFERROR(IF(Calc!J703&lt;=$D$4,"Nice",""),"")</f>
        <v/>
      </c>
      <c r="J703" s="7" t="str">
        <f>CONCATENATE("[",TEXT(Show!A703,"#.0#"),":",TEXT(Show!B703,"#.0#"),"][",TEXT(Show!E703,"#.0#"),":",TEXT(Show!F703,"#.0#"),"]")</f>
        <v>[:][:]</v>
      </c>
    </row>
    <row r="704" spans="1:10" hidden="1" x14ac:dyDescent="0.25">
      <c r="A704" s="40" t="str">
        <f>IFERROR(IF(Calc!E704&lt;=$C$4,Calc!D704,""),"")</f>
        <v/>
      </c>
      <c r="B704" s="40" t="str">
        <f>IFERROR(IF(Calc!E704&lt;=$C$4,CONCATENATE(TEXT(Calc!C704,"#0.000#")," || ",TEXT(INDEX(Calc!L704:P704,$B$4),"#0.000#")),""),"")</f>
        <v/>
      </c>
      <c r="C704" s="41" t="str">
        <f>IFERROR(IF(Calc!E704&lt;=$C$4,Calc!E704,""),"")</f>
        <v/>
      </c>
      <c r="D704" s="33" t="str">
        <f>IFERROR(IF(Calc!E704&lt;=$D$4,"Nice",""),"")</f>
        <v/>
      </c>
      <c r="E704" s="40" t="str">
        <f>IFERROR(IF(Calc!J704&lt;=$C$4,Calc!I704,""),"")</f>
        <v/>
      </c>
      <c r="F704" s="40" t="str">
        <f>IFERROR(IF(Calc!J704&lt;=$C$4,CONCATENATE(TEXT(Calc!H704,"#0.000#")," + ",TEXT(INDEX(Calc!L704:P704,$B$4),"#0.000#")),""),"")</f>
        <v/>
      </c>
      <c r="G704" s="41" t="str">
        <f>IFERROR(IF(Calc!J704&lt;=$C$4,Calc!J704,""),"")</f>
        <v/>
      </c>
      <c r="H704" s="33" t="str">
        <f>IFERROR(IF(Calc!J704&lt;=$D$4,"Nice",""),"")</f>
        <v/>
      </c>
      <c r="J704" s="7" t="str">
        <f>CONCATENATE("[",TEXT(Show!A704,"#.0#"),":",TEXT(Show!B704,"#.0#"),"][",TEXT(Show!E704,"#.0#"),":",TEXT(Show!F704,"#.0#"),"]")</f>
        <v>[:][:]</v>
      </c>
    </row>
    <row r="705" spans="1:10" hidden="1" x14ac:dyDescent="0.25">
      <c r="A705" s="40" t="str">
        <f>IFERROR(IF(Calc!E705&lt;=$C$4,Calc!D705,""),"")</f>
        <v/>
      </c>
      <c r="B705" s="40" t="str">
        <f>IFERROR(IF(Calc!E705&lt;=$C$4,CONCATENATE(TEXT(Calc!C705,"#0.000#")," || ",TEXT(INDEX(Calc!L705:P705,$B$4),"#0.000#")),""),"")</f>
        <v/>
      </c>
      <c r="C705" s="41" t="str">
        <f>IFERROR(IF(Calc!E705&lt;=$C$4,Calc!E705,""),"")</f>
        <v/>
      </c>
      <c r="D705" s="33" t="str">
        <f>IFERROR(IF(Calc!E705&lt;=$D$4,"Nice",""),"")</f>
        <v/>
      </c>
      <c r="E705" s="40" t="str">
        <f>IFERROR(IF(Calc!J705&lt;=$C$4,Calc!I705,""),"")</f>
        <v/>
      </c>
      <c r="F705" s="40" t="str">
        <f>IFERROR(IF(Calc!J705&lt;=$C$4,CONCATENATE(TEXT(Calc!H705,"#0.000#")," + ",TEXT(INDEX(Calc!L705:P705,$B$4),"#0.000#")),""),"")</f>
        <v/>
      </c>
      <c r="G705" s="41" t="str">
        <f>IFERROR(IF(Calc!J705&lt;=$C$4,Calc!J705,""),"")</f>
        <v/>
      </c>
      <c r="H705" s="33" t="str">
        <f>IFERROR(IF(Calc!J705&lt;=$D$4,"Nice",""),"")</f>
        <v/>
      </c>
      <c r="J705" s="7" t="str">
        <f>CONCATENATE("[",TEXT(Show!A705,"#.0#"),":",TEXT(Show!B705,"#.0#"),"][",TEXT(Show!E705,"#.0#"),":",TEXT(Show!F705,"#.0#"),"]")</f>
        <v>[:][:]</v>
      </c>
    </row>
    <row r="706" spans="1:10" hidden="1" x14ac:dyDescent="0.25">
      <c r="A706" s="40" t="str">
        <f>IFERROR(IF(Calc!E706&lt;=$C$4,Calc!D706,""),"")</f>
        <v/>
      </c>
      <c r="B706" s="40" t="str">
        <f>IFERROR(IF(Calc!E706&lt;=$C$4,CONCATENATE(TEXT(Calc!C706,"#0.000#")," || ",TEXT(INDEX(Calc!L706:P706,$B$4),"#0.000#")),""),"")</f>
        <v/>
      </c>
      <c r="C706" s="41" t="str">
        <f>IFERROR(IF(Calc!E706&lt;=$C$4,Calc!E706,""),"")</f>
        <v/>
      </c>
      <c r="D706" s="33" t="str">
        <f>IFERROR(IF(Calc!E706&lt;=$D$4,"Nice",""),"")</f>
        <v/>
      </c>
      <c r="E706" s="40" t="str">
        <f>IFERROR(IF(Calc!J706&lt;=$C$4,Calc!I706,""),"")</f>
        <v/>
      </c>
      <c r="F706" s="40" t="str">
        <f>IFERROR(IF(Calc!J706&lt;=$C$4,CONCATENATE(TEXT(Calc!H706,"#0.000#")," + ",TEXT(INDEX(Calc!L706:P706,$B$4),"#0.000#")),""),"")</f>
        <v/>
      </c>
      <c r="G706" s="41" t="str">
        <f>IFERROR(IF(Calc!J706&lt;=$C$4,Calc!J706,""),"")</f>
        <v/>
      </c>
      <c r="H706" s="33" t="str">
        <f>IFERROR(IF(Calc!J706&lt;=$D$4,"Nice",""),"")</f>
        <v/>
      </c>
      <c r="J706" s="7" t="str">
        <f>CONCATENATE("[",TEXT(Show!A706,"#.0#"),":",TEXT(Show!B706,"#.0#"),"][",TEXT(Show!E706,"#.0#"),":",TEXT(Show!F706,"#.0#"),"]")</f>
        <v>[:][:]</v>
      </c>
    </row>
    <row r="707" spans="1:10" hidden="1" x14ac:dyDescent="0.25">
      <c r="A707" s="40" t="str">
        <f>IFERROR(IF(Calc!E707&lt;=$C$4,Calc!D707,""),"")</f>
        <v/>
      </c>
      <c r="B707" s="40" t="str">
        <f>IFERROR(IF(Calc!E707&lt;=$C$4,CONCATENATE(TEXT(Calc!C707,"#0.000#")," || ",TEXT(INDEX(Calc!L707:P707,$B$4),"#0.000#")),""),"")</f>
        <v/>
      </c>
      <c r="C707" s="41" t="str">
        <f>IFERROR(IF(Calc!E707&lt;=$C$4,Calc!E707,""),"")</f>
        <v/>
      </c>
      <c r="D707" s="33" t="str">
        <f>IFERROR(IF(Calc!E707&lt;=$D$4,"Nice",""),"")</f>
        <v/>
      </c>
      <c r="E707" s="40" t="str">
        <f>IFERROR(IF(Calc!J707&lt;=$C$4,Calc!I707,""),"")</f>
        <v/>
      </c>
      <c r="F707" s="40" t="str">
        <f>IFERROR(IF(Calc!J707&lt;=$C$4,CONCATENATE(TEXT(Calc!H707,"#0.000#")," + ",TEXT(INDEX(Calc!L707:P707,$B$4),"#0.000#")),""),"")</f>
        <v/>
      </c>
      <c r="G707" s="41" t="str">
        <f>IFERROR(IF(Calc!J707&lt;=$C$4,Calc!J707,""),"")</f>
        <v/>
      </c>
      <c r="H707" s="33" t="str">
        <f>IFERROR(IF(Calc!J707&lt;=$D$4,"Nice",""),"")</f>
        <v/>
      </c>
      <c r="J707" s="7" t="str">
        <f>CONCATENATE("[",TEXT(Show!A707,"#.0#"),":",TEXT(Show!B707,"#.0#"),"][",TEXT(Show!E707,"#.0#"),":",TEXT(Show!F707,"#.0#"),"]")</f>
        <v>[:][:]</v>
      </c>
    </row>
    <row r="708" spans="1:10" hidden="1" x14ac:dyDescent="0.25">
      <c r="A708" s="40" t="str">
        <f>IFERROR(IF(Calc!E708&lt;=$C$4,Calc!D708,""),"")</f>
        <v/>
      </c>
      <c r="B708" s="40" t="str">
        <f>IFERROR(IF(Calc!E708&lt;=$C$4,CONCATENATE(TEXT(Calc!C708,"#0.000#")," || ",TEXT(INDEX(Calc!L708:P708,$B$4),"#0.000#")),""),"")</f>
        <v/>
      </c>
      <c r="C708" s="41" t="str">
        <f>IFERROR(IF(Calc!E708&lt;=$C$4,Calc!E708,""),"")</f>
        <v/>
      </c>
      <c r="D708" s="33" t="str">
        <f>IFERROR(IF(Calc!E708&lt;=$D$4,"Nice",""),"")</f>
        <v/>
      </c>
      <c r="E708" s="40" t="str">
        <f>IFERROR(IF(Calc!J708&lt;=$C$4,Calc!I708,""),"")</f>
        <v/>
      </c>
      <c r="F708" s="40" t="str">
        <f>IFERROR(IF(Calc!J708&lt;=$C$4,CONCATENATE(TEXT(Calc!H708,"#0.000#")," + ",TEXT(INDEX(Calc!L708:P708,$B$4),"#0.000#")),""),"")</f>
        <v/>
      </c>
      <c r="G708" s="41" t="str">
        <f>IFERROR(IF(Calc!J708&lt;=$C$4,Calc!J708,""),"")</f>
        <v/>
      </c>
      <c r="H708" s="33" t="str">
        <f>IFERROR(IF(Calc!J708&lt;=$D$4,"Nice",""),"")</f>
        <v/>
      </c>
      <c r="J708" s="7" t="str">
        <f>CONCATENATE("[",TEXT(Show!A708,"#.0#"),":",TEXT(Show!B708,"#.0#"),"][",TEXT(Show!E708,"#.0#"),":",TEXT(Show!F708,"#.0#"),"]")</f>
        <v>[:][:]</v>
      </c>
    </row>
    <row r="709" spans="1:10" hidden="1" x14ac:dyDescent="0.25">
      <c r="A709" s="40" t="str">
        <f>IFERROR(IF(Calc!E709&lt;=$C$4,Calc!D709,""),"")</f>
        <v/>
      </c>
      <c r="B709" s="40" t="str">
        <f>IFERROR(IF(Calc!E709&lt;=$C$4,CONCATENATE(TEXT(Calc!C709,"#0.000#")," || ",TEXT(INDEX(Calc!L709:P709,$B$4),"#0.000#")),""),"")</f>
        <v/>
      </c>
      <c r="C709" s="41" t="str">
        <f>IFERROR(IF(Calc!E709&lt;=$C$4,Calc!E709,""),"")</f>
        <v/>
      </c>
      <c r="D709" s="33" t="str">
        <f>IFERROR(IF(Calc!E709&lt;=$D$4,"Nice",""),"")</f>
        <v/>
      </c>
      <c r="E709" s="40" t="str">
        <f>IFERROR(IF(Calc!J709&lt;=$C$4,Calc!I709,""),"")</f>
        <v/>
      </c>
      <c r="F709" s="40" t="str">
        <f>IFERROR(IF(Calc!J709&lt;=$C$4,CONCATENATE(TEXT(Calc!H709,"#0.000#")," + ",TEXT(INDEX(Calc!L709:P709,$B$4),"#0.000#")),""),"")</f>
        <v/>
      </c>
      <c r="G709" s="41" t="str">
        <f>IFERROR(IF(Calc!J709&lt;=$C$4,Calc!J709,""),"")</f>
        <v/>
      </c>
      <c r="H709" s="33" t="str">
        <f>IFERROR(IF(Calc!J709&lt;=$D$4,"Nice",""),"")</f>
        <v/>
      </c>
      <c r="J709" s="7" t="str">
        <f>CONCATENATE("[",TEXT(Show!A709,"#.0#"),":",TEXT(Show!B709,"#.0#"),"][",TEXT(Show!E709,"#.0#"),":",TEXT(Show!F709,"#.0#"),"]")</f>
        <v>[:][:]</v>
      </c>
    </row>
    <row r="710" spans="1:10" hidden="1" x14ac:dyDescent="0.25">
      <c r="A710" s="40" t="str">
        <f>IFERROR(IF(Calc!E710&lt;=$C$4,Calc!D710,""),"")</f>
        <v/>
      </c>
      <c r="B710" s="40" t="str">
        <f>IFERROR(IF(Calc!E710&lt;=$C$4,CONCATENATE(TEXT(Calc!C710,"#0.000#")," || ",TEXT(INDEX(Calc!L710:P710,$B$4),"#0.000#")),""),"")</f>
        <v/>
      </c>
      <c r="C710" s="41" t="str">
        <f>IFERROR(IF(Calc!E710&lt;=$C$4,Calc!E710,""),"")</f>
        <v/>
      </c>
      <c r="D710" s="33" t="str">
        <f>IFERROR(IF(Calc!E710&lt;=$D$4,"Nice",""),"")</f>
        <v/>
      </c>
      <c r="E710" s="40" t="str">
        <f>IFERROR(IF(Calc!J710&lt;=$C$4,Calc!I710,""),"")</f>
        <v/>
      </c>
      <c r="F710" s="40" t="str">
        <f>IFERROR(IF(Calc!J710&lt;=$C$4,CONCATENATE(TEXT(Calc!H710,"#0.000#")," + ",TEXT(INDEX(Calc!L710:P710,$B$4),"#0.000#")),""),"")</f>
        <v/>
      </c>
      <c r="G710" s="41" t="str">
        <f>IFERROR(IF(Calc!J710&lt;=$C$4,Calc!J710,""),"")</f>
        <v/>
      </c>
      <c r="H710" s="33" t="str">
        <f>IFERROR(IF(Calc!J710&lt;=$D$4,"Nice",""),"")</f>
        <v/>
      </c>
      <c r="J710" s="7" t="str">
        <f>CONCATENATE("[",TEXT(Show!A710,"#.0#"),":",TEXT(Show!B710,"#.0#"),"][",TEXT(Show!E710,"#.0#"),":",TEXT(Show!F710,"#.0#"),"]")</f>
        <v>[:][:]</v>
      </c>
    </row>
    <row r="711" spans="1:10" hidden="1" x14ac:dyDescent="0.25">
      <c r="A711" s="40" t="str">
        <f>IFERROR(IF(Calc!E711&lt;=$C$4,Calc!D711,""),"")</f>
        <v/>
      </c>
      <c r="B711" s="40" t="str">
        <f>IFERROR(IF(Calc!E711&lt;=$C$4,CONCATENATE(TEXT(Calc!C711,"#0.000#")," || ",TEXT(INDEX(Calc!L711:P711,$B$4),"#0.000#")),""),"")</f>
        <v/>
      </c>
      <c r="C711" s="41" t="str">
        <f>IFERROR(IF(Calc!E711&lt;=$C$4,Calc!E711,""),"")</f>
        <v/>
      </c>
      <c r="D711" s="33" t="str">
        <f>IFERROR(IF(Calc!E711&lt;=$D$4,"Nice",""),"")</f>
        <v/>
      </c>
      <c r="E711" s="40" t="str">
        <f>IFERROR(IF(Calc!J711&lt;=$C$4,Calc!I711,""),"")</f>
        <v/>
      </c>
      <c r="F711" s="40" t="str">
        <f>IFERROR(IF(Calc!J711&lt;=$C$4,CONCATENATE(TEXT(Calc!H711,"#0.000#")," + ",TEXT(INDEX(Calc!L711:P711,$B$4),"#0.000#")),""),"")</f>
        <v/>
      </c>
      <c r="G711" s="41" t="str">
        <f>IFERROR(IF(Calc!J711&lt;=$C$4,Calc!J711,""),"")</f>
        <v/>
      </c>
      <c r="H711" s="33" t="str">
        <f>IFERROR(IF(Calc!J711&lt;=$D$4,"Nice",""),"")</f>
        <v/>
      </c>
      <c r="J711" s="7" t="str">
        <f>CONCATENATE("[",TEXT(Show!A711,"#.0#"),":",TEXT(Show!B711,"#.0#"),"][",TEXT(Show!E711,"#.0#"),":",TEXT(Show!F711,"#.0#"),"]")</f>
        <v>[:][:]</v>
      </c>
    </row>
    <row r="712" spans="1:10" hidden="1" x14ac:dyDescent="0.25">
      <c r="A712" s="40" t="str">
        <f>IFERROR(IF(Calc!E712&lt;=$C$4,Calc!D712,""),"")</f>
        <v/>
      </c>
      <c r="B712" s="40" t="str">
        <f>IFERROR(IF(Calc!E712&lt;=$C$4,CONCATENATE(TEXT(Calc!C712,"#0.000#")," || ",TEXT(INDEX(Calc!L712:P712,$B$4),"#0.000#")),""),"")</f>
        <v/>
      </c>
      <c r="C712" s="41" t="str">
        <f>IFERROR(IF(Calc!E712&lt;=$C$4,Calc!E712,""),"")</f>
        <v/>
      </c>
      <c r="D712" s="33" t="str">
        <f>IFERROR(IF(Calc!E712&lt;=$D$4,"Nice",""),"")</f>
        <v/>
      </c>
      <c r="E712" s="40" t="str">
        <f>IFERROR(IF(Calc!J712&lt;=$C$4,Calc!I712,""),"")</f>
        <v/>
      </c>
      <c r="F712" s="40" t="str">
        <f>IFERROR(IF(Calc!J712&lt;=$C$4,CONCATENATE(TEXT(Calc!H712,"#0.000#")," + ",TEXT(INDEX(Calc!L712:P712,$B$4),"#0.000#")),""),"")</f>
        <v/>
      </c>
      <c r="G712" s="41" t="str">
        <f>IFERROR(IF(Calc!J712&lt;=$C$4,Calc!J712,""),"")</f>
        <v/>
      </c>
      <c r="H712" s="33" t="str">
        <f>IFERROR(IF(Calc!J712&lt;=$D$4,"Nice",""),"")</f>
        <v/>
      </c>
      <c r="J712" s="7" t="str">
        <f>CONCATENATE("[",TEXT(Show!A712,"#.0#"),":",TEXT(Show!B712,"#.0#"),"][",TEXT(Show!E712,"#.0#"),":",TEXT(Show!F712,"#.0#"),"]")</f>
        <v>[:][:]</v>
      </c>
    </row>
    <row r="713" spans="1:10" hidden="1" x14ac:dyDescent="0.25">
      <c r="A713" s="40" t="str">
        <f>IFERROR(IF(Calc!E713&lt;=$C$4,Calc!D713,""),"")</f>
        <v/>
      </c>
      <c r="B713" s="40" t="str">
        <f>IFERROR(IF(Calc!E713&lt;=$C$4,CONCATENATE(TEXT(Calc!C713,"#0.000#")," || ",TEXT(INDEX(Calc!L713:P713,$B$4),"#0.000#")),""),"")</f>
        <v/>
      </c>
      <c r="C713" s="41" t="str">
        <f>IFERROR(IF(Calc!E713&lt;=$C$4,Calc!E713,""),"")</f>
        <v/>
      </c>
      <c r="D713" s="33" t="str">
        <f>IFERROR(IF(Calc!E713&lt;=$D$4,"Nice",""),"")</f>
        <v/>
      </c>
      <c r="E713" s="40" t="str">
        <f>IFERROR(IF(Calc!J713&lt;=$C$4,Calc!I713,""),"")</f>
        <v/>
      </c>
      <c r="F713" s="40" t="str">
        <f>IFERROR(IF(Calc!J713&lt;=$C$4,CONCATENATE(TEXT(Calc!H713,"#0.000#")," + ",TEXT(INDEX(Calc!L713:P713,$B$4),"#0.000#")),""),"")</f>
        <v/>
      </c>
      <c r="G713" s="41" t="str">
        <f>IFERROR(IF(Calc!J713&lt;=$C$4,Calc!J713,""),"")</f>
        <v/>
      </c>
      <c r="H713" s="33" t="str">
        <f>IFERROR(IF(Calc!J713&lt;=$D$4,"Nice",""),"")</f>
        <v/>
      </c>
      <c r="J713" s="7" t="str">
        <f>CONCATENATE("[",TEXT(Show!A713,"#.0#"),":",TEXT(Show!B713,"#.0#"),"][",TEXT(Show!E713,"#.0#"),":",TEXT(Show!F713,"#.0#"),"]")</f>
        <v>[:][:]</v>
      </c>
    </row>
    <row r="714" spans="1:10" hidden="1" x14ac:dyDescent="0.25">
      <c r="A714" s="40" t="str">
        <f>IFERROR(IF(Calc!E714&lt;=$C$4,Calc!D714,""),"")</f>
        <v/>
      </c>
      <c r="B714" s="40" t="str">
        <f>IFERROR(IF(Calc!E714&lt;=$C$4,CONCATENATE(TEXT(Calc!C714,"#0.000#")," || ",TEXT(INDEX(Calc!L714:P714,$B$4),"#0.000#")),""),"")</f>
        <v/>
      </c>
      <c r="C714" s="41" t="str">
        <f>IFERROR(IF(Calc!E714&lt;=$C$4,Calc!E714,""),"")</f>
        <v/>
      </c>
      <c r="D714" s="33" t="str">
        <f>IFERROR(IF(Calc!E714&lt;=$D$4,"Nice",""),"")</f>
        <v/>
      </c>
      <c r="E714" s="40" t="str">
        <f>IFERROR(IF(Calc!J714&lt;=$C$4,Calc!I714,""),"")</f>
        <v/>
      </c>
      <c r="F714" s="40" t="str">
        <f>IFERROR(IF(Calc!J714&lt;=$C$4,CONCATENATE(TEXT(Calc!H714,"#0.000#")," + ",TEXT(INDEX(Calc!L714:P714,$B$4),"#0.000#")),""),"")</f>
        <v/>
      </c>
      <c r="G714" s="41" t="str">
        <f>IFERROR(IF(Calc!J714&lt;=$C$4,Calc!J714,""),"")</f>
        <v/>
      </c>
      <c r="H714" s="33" t="str">
        <f>IFERROR(IF(Calc!J714&lt;=$D$4,"Nice",""),"")</f>
        <v/>
      </c>
      <c r="J714" s="7" t="str">
        <f>CONCATENATE("[",TEXT(Show!A714,"#.0#"),":",TEXT(Show!B714,"#.0#"),"][",TEXT(Show!E714,"#.0#"),":",TEXT(Show!F714,"#.0#"),"]")</f>
        <v>[:][:]</v>
      </c>
    </row>
    <row r="715" spans="1:10" hidden="1" x14ac:dyDescent="0.25">
      <c r="A715" s="40" t="str">
        <f>IFERROR(IF(Calc!E715&lt;=$C$4,Calc!D715,""),"")</f>
        <v/>
      </c>
      <c r="B715" s="40" t="str">
        <f>IFERROR(IF(Calc!E715&lt;=$C$4,CONCATENATE(TEXT(Calc!C715,"#0.000#")," || ",TEXT(INDEX(Calc!L715:P715,$B$4),"#0.000#")),""),"")</f>
        <v/>
      </c>
      <c r="C715" s="41" t="str">
        <f>IFERROR(IF(Calc!E715&lt;=$C$4,Calc!E715,""),"")</f>
        <v/>
      </c>
      <c r="D715" s="33" t="str">
        <f>IFERROR(IF(Calc!E715&lt;=$D$4,"Nice",""),"")</f>
        <v/>
      </c>
      <c r="E715" s="40" t="str">
        <f>IFERROR(IF(Calc!J715&lt;=$C$4,Calc!I715,""),"")</f>
        <v/>
      </c>
      <c r="F715" s="40" t="str">
        <f>IFERROR(IF(Calc!J715&lt;=$C$4,CONCATENATE(TEXT(Calc!H715,"#0.000#")," + ",TEXT(INDEX(Calc!L715:P715,$B$4),"#0.000#")),""),"")</f>
        <v/>
      </c>
      <c r="G715" s="41" t="str">
        <f>IFERROR(IF(Calc!J715&lt;=$C$4,Calc!J715,""),"")</f>
        <v/>
      </c>
      <c r="H715" s="33" t="str">
        <f>IFERROR(IF(Calc!J715&lt;=$D$4,"Nice",""),"")</f>
        <v/>
      </c>
      <c r="J715" s="7" t="str">
        <f>CONCATENATE("[",TEXT(Show!A715,"#.0#"),":",TEXT(Show!B715,"#.0#"),"][",TEXT(Show!E715,"#.0#"),":",TEXT(Show!F715,"#.0#"),"]")</f>
        <v>[:][:]</v>
      </c>
    </row>
    <row r="716" spans="1:10" hidden="1" x14ac:dyDescent="0.25">
      <c r="A716" s="40" t="str">
        <f>IFERROR(IF(Calc!E716&lt;=$C$4,Calc!D716,""),"")</f>
        <v/>
      </c>
      <c r="B716" s="40" t="str">
        <f>IFERROR(IF(Calc!E716&lt;=$C$4,CONCATENATE(TEXT(Calc!C716,"#0.000#")," || ",TEXT(INDEX(Calc!L716:P716,$B$4),"#0.000#")),""),"")</f>
        <v/>
      </c>
      <c r="C716" s="41" t="str">
        <f>IFERROR(IF(Calc!E716&lt;=$C$4,Calc!E716,""),"")</f>
        <v/>
      </c>
      <c r="D716" s="33" t="str">
        <f>IFERROR(IF(Calc!E716&lt;=$D$4,"Nice",""),"")</f>
        <v/>
      </c>
      <c r="E716" s="40" t="str">
        <f>IFERROR(IF(Calc!J716&lt;=$C$4,Calc!I716,""),"")</f>
        <v/>
      </c>
      <c r="F716" s="40" t="str">
        <f>IFERROR(IF(Calc!J716&lt;=$C$4,CONCATENATE(TEXT(Calc!H716,"#0.000#")," + ",TEXT(INDEX(Calc!L716:P716,$B$4),"#0.000#")),""),"")</f>
        <v/>
      </c>
      <c r="G716" s="41" t="str">
        <f>IFERROR(IF(Calc!J716&lt;=$C$4,Calc!J716,""),"")</f>
        <v/>
      </c>
      <c r="H716" s="33" t="str">
        <f>IFERROR(IF(Calc!J716&lt;=$D$4,"Nice",""),"")</f>
        <v/>
      </c>
      <c r="J716" s="7" t="str">
        <f>CONCATENATE("[",TEXT(Show!A716,"#.0#"),":",TEXT(Show!B716,"#.0#"),"][",TEXT(Show!E716,"#.0#"),":",TEXT(Show!F716,"#.0#"),"]")</f>
        <v>[:][:]</v>
      </c>
    </row>
    <row r="717" spans="1:10" hidden="1" x14ac:dyDescent="0.25">
      <c r="A717" s="40" t="str">
        <f>IFERROR(IF(Calc!E717&lt;=$C$4,Calc!D717,""),"")</f>
        <v/>
      </c>
      <c r="B717" s="40" t="str">
        <f>IFERROR(IF(Calc!E717&lt;=$C$4,CONCATENATE(TEXT(Calc!C717,"#0.000#")," || ",TEXT(INDEX(Calc!L717:P717,$B$4),"#0.000#")),""),"")</f>
        <v/>
      </c>
      <c r="C717" s="41" t="str">
        <f>IFERROR(IF(Calc!E717&lt;=$C$4,Calc!E717,""),"")</f>
        <v/>
      </c>
      <c r="D717" s="33" t="str">
        <f>IFERROR(IF(Calc!E717&lt;=$D$4,"Nice",""),"")</f>
        <v/>
      </c>
      <c r="E717" s="40" t="str">
        <f>IFERROR(IF(Calc!J717&lt;=$C$4,Calc!I717,""),"")</f>
        <v/>
      </c>
      <c r="F717" s="40" t="str">
        <f>IFERROR(IF(Calc!J717&lt;=$C$4,CONCATENATE(TEXT(Calc!H717,"#0.000#")," + ",TEXT(INDEX(Calc!L717:P717,$B$4),"#0.000#")),""),"")</f>
        <v/>
      </c>
      <c r="G717" s="41" t="str">
        <f>IFERROR(IF(Calc!J717&lt;=$C$4,Calc!J717,""),"")</f>
        <v/>
      </c>
      <c r="H717" s="33" t="str">
        <f>IFERROR(IF(Calc!J717&lt;=$D$4,"Nice",""),"")</f>
        <v/>
      </c>
      <c r="J717" s="7" t="str">
        <f>CONCATENATE("[",TEXT(Show!A717,"#.0#"),":",TEXT(Show!B717,"#.0#"),"][",TEXT(Show!E717,"#.0#"),":",TEXT(Show!F717,"#.0#"),"]")</f>
        <v>[:][:]</v>
      </c>
    </row>
    <row r="718" spans="1:10" hidden="1" x14ac:dyDescent="0.25">
      <c r="A718" s="40" t="str">
        <f>IFERROR(IF(Calc!E718&lt;=$C$4,Calc!D718,""),"")</f>
        <v/>
      </c>
      <c r="B718" s="40" t="str">
        <f>IFERROR(IF(Calc!E718&lt;=$C$4,CONCATENATE(TEXT(Calc!C718,"#0.000#")," || ",TEXT(INDEX(Calc!L718:P718,$B$4),"#0.000#")),""),"")</f>
        <v/>
      </c>
      <c r="C718" s="41" t="str">
        <f>IFERROR(IF(Calc!E718&lt;=$C$4,Calc!E718,""),"")</f>
        <v/>
      </c>
      <c r="D718" s="33" t="str">
        <f>IFERROR(IF(Calc!E718&lt;=$D$4,"Nice",""),"")</f>
        <v/>
      </c>
      <c r="E718" s="40" t="str">
        <f>IFERROR(IF(Calc!J718&lt;=$C$4,Calc!I718,""),"")</f>
        <v/>
      </c>
      <c r="F718" s="40" t="str">
        <f>IFERROR(IF(Calc!J718&lt;=$C$4,CONCATENATE(TEXT(Calc!H718,"#0.000#")," + ",TEXT(INDEX(Calc!L718:P718,$B$4),"#0.000#")),""),"")</f>
        <v/>
      </c>
      <c r="G718" s="41" t="str">
        <f>IFERROR(IF(Calc!J718&lt;=$C$4,Calc!J718,""),"")</f>
        <v/>
      </c>
      <c r="H718" s="33" t="str">
        <f>IFERROR(IF(Calc!J718&lt;=$D$4,"Nice",""),"")</f>
        <v/>
      </c>
      <c r="J718" s="7" t="str">
        <f>CONCATENATE("[",TEXT(Show!A718,"#.0#"),":",TEXT(Show!B718,"#.0#"),"][",TEXT(Show!E718,"#.0#"),":",TEXT(Show!F718,"#.0#"),"]")</f>
        <v>[:][:]</v>
      </c>
    </row>
    <row r="719" spans="1:10" hidden="1" x14ac:dyDescent="0.25">
      <c r="A719" s="40" t="str">
        <f>IFERROR(IF(Calc!E719&lt;=$C$4,Calc!D719,""),"")</f>
        <v/>
      </c>
      <c r="B719" s="40" t="str">
        <f>IFERROR(IF(Calc!E719&lt;=$C$4,CONCATENATE(TEXT(Calc!C719,"#0.000#")," || ",TEXT(INDEX(Calc!L719:P719,$B$4),"#0.000#")),""),"")</f>
        <v/>
      </c>
      <c r="C719" s="41" t="str">
        <f>IFERROR(IF(Calc!E719&lt;=$C$4,Calc!E719,""),"")</f>
        <v/>
      </c>
      <c r="D719" s="33" t="str">
        <f>IFERROR(IF(Calc!E719&lt;=$D$4,"Nice",""),"")</f>
        <v/>
      </c>
      <c r="E719" s="40" t="str">
        <f>IFERROR(IF(Calc!J719&lt;=$C$4,Calc!I719,""),"")</f>
        <v/>
      </c>
      <c r="F719" s="40" t="str">
        <f>IFERROR(IF(Calc!J719&lt;=$C$4,CONCATENATE(TEXT(Calc!H719,"#0.000#")," + ",TEXT(INDEX(Calc!L719:P719,$B$4),"#0.000#")),""),"")</f>
        <v/>
      </c>
      <c r="G719" s="41" t="str">
        <f>IFERROR(IF(Calc!J719&lt;=$C$4,Calc!J719,""),"")</f>
        <v/>
      </c>
      <c r="H719" s="33" t="str">
        <f>IFERROR(IF(Calc!J719&lt;=$D$4,"Nice",""),"")</f>
        <v/>
      </c>
      <c r="J719" s="7" t="str">
        <f>CONCATENATE("[",TEXT(Show!A719,"#.0#"),":",TEXT(Show!B719,"#.0#"),"][",TEXT(Show!E719,"#.0#"),":",TEXT(Show!F719,"#.0#"),"]")</f>
        <v>[:][:]</v>
      </c>
    </row>
    <row r="720" spans="1:10" hidden="1" x14ac:dyDescent="0.25">
      <c r="A720" s="40" t="str">
        <f>IFERROR(IF(Calc!E720&lt;=$C$4,Calc!D720,""),"")</f>
        <v/>
      </c>
      <c r="B720" s="40" t="str">
        <f>IFERROR(IF(Calc!E720&lt;=$C$4,CONCATENATE(TEXT(Calc!C720,"#0.000#")," || ",TEXT(INDEX(Calc!L720:P720,$B$4),"#0.000#")),""),"")</f>
        <v/>
      </c>
      <c r="C720" s="41" t="str">
        <f>IFERROR(IF(Calc!E720&lt;=$C$4,Calc!E720,""),"")</f>
        <v/>
      </c>
      <c r="D720" s="33" t="str">
        <f>IFERROR(IF(Calc!E720&lt;=$D$4,"Nice",""),"")</f>
        <v/>
      </c>
      <c r="E720" s="40" t="str">
        <f>IFERROR(IF(Calc!J720&lt;=$C$4,Calc!I720,""),"")</f>
        <v/>
      </c>
      <c r="F720" s="40" t="str">
        <f>IFERROR(IF(Calc!J720&lt;=$C$4,CONCATENATE(TEXT(Calc!H720,"#0.000#")," + ",TEXT(INDEX(Calc!L720:P720,$B$4),"#0.000#")),""),"")</f>
        <v/>
      </c>
      <c r="G720" s="41" t="str">
        <f>IFERROR(IF(Calc!J720&lt;=$C$4,Calc!J720,""),"")</f>
        <v/>
      </c>
      <c r="H720" s="33" t="str">
        <f>IFERROR(IF(Calc!J720&lt;=$D$4,"Nice",""),"")</f>
        <v/>
      </c>
      <c r="J720" s="7" t="str">
        <f>CONCATENATE("[",TEXT(Show!A720,"#.0#"),":",TEXT(Show!B720,"#.0#"),"][",TEXT(Show!E720,"#.0#"),":",TEXT(Show!F720,"#.0#"),"]")</f>
        <v>[:][:]</v>
      </c>
    </row>
    <row r="721" spans="1:10" hidden="1" x14ac:dyDescent="0.25">
      <c r="A721" s="40" t="str">
        <f>IFERROR(IF(Calc!E721&lt;=$C$4,Calc!D721,""),"")</f>
        <v/>
      </c>
      <c r="B721" s="40" t="str">
        <f>IFERROR(IF(Calc!E721&lt;=$C$4,CONCATENATE(TEXT(Calc!C721,"#0.000#")," || ",TEXT(INDEX(Calc!L721:P721,$B$4),"#0.000#")),""),"")</f>
        <v/>
      </c>
      <c r="C721" s="41" t="str">
        <f>IFERROR(IF(Calc!E721&lt;=$C$4,Calc!E721,""),"")</f>
        <v/>
      </c>
      <c r="D721" s="33" t="str">
        <f>IFERROR(IF(Calc!E721&lt;=$D$4,"Nice",""),"")</f>
        <v/>
      </c>
      <c r="E721" s="40" t="str">
        <f>IFERROR(IF(Calc!J721&lt;=$C$4,Calc!I721,""),"")</f>
        <v/>
      </c>
      <c r="F721" s="40" t="str">
        <f>IFERROR(IF(Calc!J721&lt;=$C$4,CONCATENATE(TEXT(Calc!H721,"#0.000#")," + ",TEXT(INDEX(Calc!L721:P721,$B$4),"#0.000#")),""),"")</f>
        <v/>
      </c>
      <c r="G721" s="41" t="str">
        <f>IFERROR(IF(Calc!J721&lt;=$C$4,Calc!J721,""),"")</f>
        <v/>
      </c>
      <c r="H721" s="33" t="str">
        <f>IFERROR(IF(Calc!J721&lt;=$D$4,"Nice",""),"")</f>
        <v/>
      </c>
      <c r="J721" s="7" t="str">
        <f>CONCATENATE("[",TEXT(Show!A721,"#.0#"),":",TEXT(Show!B721,"#.0#"),"][",TEXT(Show!E721,"#.0#"),":",TEXT(Show!F721,"#.0#"),"]")</f>
        <v>[:][:]</v>
      </c>
    </row>
    <row r="722" spans="1:10" hidden="1" x14ac:dyDescent="0.25">
      <c r="A722" s="40" t="str">
        <f>IFERROR(IF(Calc!E722&lt;=$C$4,Calc!D722,""),"")</f>
        <v/>
      </c>
      <c r="B722" s="40" t="str">
        <f>IFERROR(IF(Calc!E722&lt;=$C$4,CONCATENATE(TEXT(Calc!C722,"#0.000#")," || ",TEXT(INDEX(Calc!L722:P722,$B$4),"#0.000#")),""),"")</f>
        <v/>
      </c>
      <c r="C722" s="41" t="str">
        <f>IFERROR(IF(Calc!E722&lt;=$C$4,Calc!E722,""),"")</f>
        <v/>
      </c>
      <c r="D722" s="33" t="str">
        <f>IFERROR(IF(Calc!E722&lt;=$D$4,"Nice",""),"")</f>
        <v/>
      </c>
      <c r="E722" s="40" t="str">
        <f>IFERROR(IF(Calc!J722&lt;=$C$4,Calc!I722,""),"")</f>
        <v/>
      </c>
      <c r="F722" s="40" t="str">
        <f>IFERROR(IF(Calc!J722&lt;=$C$4,CONCATENATE(TEXT(Calc!H722,"#0.000#")," + ",TEXT(INDEX(Calc!L722:P722,$B$4),"#0.000#")),""),"")</f>
        <v/>
      </c>
      <c r="G722" s="41" t="str">
        <f>IFERROR(IF(Calc!J722&lt;=$C$4,Calc!J722,""),"")</f>
        <v/>
      </c>
      <c r="H722" s="33" t="str">
        <f>IFERROR(IF(Calc!J722&lt;=$D$4,"Nice",""),"")</f>
        <v/>
      </c>
      <c r="J722" s="7" t="str">
        <f>CONCATENATE("[",TEXT(Show!A722,"#.0#"),":",TEXT(Show!B722,"#.0#"),"][",TEXT(Show!E722,"#.0#"),":",TEXT(Show!F722,"#.0#"),"]")</f>
        <v>[:][:]</v>
      </c>
    </row>
    <row r="723" spans="1:10" hidden="1" x14ac:dyDescent="0.25">
      <c r="A723" s="40" t="str">
        <f>IFERROR(IF(Calc!E723&lt;=$C$4,Calc!D723,""),"")</f>
        <v/>
      </c>
      <c r="B723" s="40" t="str">
        <f>IFERROR(IF(Calc!E723&lt;=$C$4,CONCATENATE(TEXT(Calc!C723,"#0.000#")," || ",TEXT(INDEX(Calc!L723:P723,$B$4),"#0.000#")),""),"")</f>
        <v/>
      </c>
      <c r="C723" s="41" t="str">
        <f>IFERROR(IF(Calc!E723&lt;=$C$4,Calc!E723,""),"")</f>
        <v/>
      </c>
      <c r="D723" s="33" t="str">
        <f>IFERROR(IF(Calc!E723&lt;=$D$4,"Nice",""),"")</f>
        <v/>
      </c>
      <c r="E723" s="40" t="str">
        <f>IFERROR(IF(Calc!J723&lt;=$C$4,Calc!I723,""),"")</f>
        <v/>
      </c>
      <c r="F723" s="40" t="str">
        <f>IFERROR(IF(Calc!J723&lt;=$C$4,CONCATENATE(TEXT(Calc!H723,"#0.000#")," + ",TEXT(INDEX(Calc!L723:P723,$B$4),"#0.000#")),""),"")</f>
        <v/>
      </c>
      <c r="G723" s="41" t="str">
        <f>IFERROR(IF(Calc!J723&lt;=$C$4,Calc!J723,""),"")</f>
        <v/>
      </c>
      <c r="H723" s="33" t="str">
        <f>IFERROR(IF(Calc!J723&lt;=$D$4,"Nice",""),"")</f>
        <v/>
      </c>
      <c r="J723" s="7" t="str">
        <f>CONCATENATE("[",TEXT(Show!A723,"#.0#"),":",TEXT(Show!B723,"#.0#"),"][",TEXT(Show!E723,"#.0#"),":",TEXT(Show!F723,"#.0#"),"]")</f>
        <v>[:][:]</v>
      </c>
    </row>
    <row r="724" spans="1:10" hidden="1" x14ac:dyDescent="0.25">
      <c r="A724" s="40" t="str">
        <f>IFERROR(IF(Calc!E724&lt;=$C$4,Calc!D724,""),"")</f>
        <v/>
      </c>
      <c r="B724" s="40" t="str">
        <f>IFERROR(IF(Calc!E724&lt;=$C$4,CONCATENATE(TEXT(Calc!C724,"#0.000#")," || ",TEXT(INDEX(Calc!L724:P724,$B$4),"#0.000#")),""),"")</f>
        <v/>
      </c>
      <c r="C724" s="41" t="str">
        <f>IFERROR(IF(Calc!E724&lt;=$C$4,Calc!E724,""),"")</f>
        <v/>
      </c>
      <c r="D724" s="33" t="str">
        <f>IFERROR(IF(Calc!E724&lt;=$D$4,"Nice",""),"")</f>
        <v/>
      </c>
      <c r="E724" s="40" t="str">
        <f>IFERROR(IF(Calc!J724&lt;=$C$4,Calc!I724,""),"")</f>
        <v/>
      </c>
      <c r="F724" s="40" t="str">
        <f>IFERROR(IF(Calc!J724&lt;=$C$4,CONCATENATE(TEXT(Calc!H724,"#0.000#")," + ",TEXT(INDEX(Calc!L724:P724,$B$4),"#0.000#")),""),"")</f>
        <v/>
      </c>
      <c r="G724" s="41" t="str">
        <f>IFERROR(IF(Calc!J724&lt;=$C$4,Calc!J724,""),"")</f>
        <v/>
      </c>
      <c r="H724" s="33" t="str">
        <f>IFERROR(IF(Calc!J724&lt;=$D$4,"Nice",""),"")</f>
        <v/>
      </c>
      <c r="J724" s="7" t="str">
        <f>CONCATENATE("[",TEXT(Show!A724,"#.0#"),":",TEXT(Show!B724,"#.0#"),"][",TEXT(Show!E724,"#.0#"),":",TEXT(Show!F724,"#.0#"),"]")</f>
        <v>[:][:]</v>
      </c>
    </row>
    <row r="725" spans="1:10" hidden="1" x14ac:dyDescent="0.25">
      <c r="A725" s="40" t="str">
        <f>IFERROR(IF(Calc!E725&lt;=$C$4,Calc!D725,""),"")</f>
        <v/>
      </c>
      <c r="B725" s="40" t="str">
        <f>IFERROR(IF(Calc!E725&lt;=$C$4,CONCATENATE(TEXT(Calc!C725,"#0.000#")," || ",TEXT(INDEX(Calc!L725:P725,$B$4),"#0.000#")),""),"")</f>
        <v/>
      </c>
      <c r="C725" s="41" t="str">
        <f>IFERROR(IF(Calc!E725&lt;=$C$4,Calc!E725,""),"")</f>
        <v/>
      </c>
      <c r="D725" s="33" t="str">
        <f>IFERROR(IF(Calc!E725&lt;=$D$4,"Nice",""),"")</f>
        <v/>
      </c>
      <c r="E725" s="40" t="str">
        <f>IFERROR(IF(Calc!J725&lt;=$C$4,Calc!I725,""),"")</f>
        <v/>
      </c>
      <c r="F725" s="40" t="str">
        <f>IFERROR(IF(Calc!J725&lt;=$C$4,CONCATENATE(TEXT(Calc!H725,"#0.000#")," + ",TEXT(INDEX(Calc!L725:P725,$B$4),"#0.000#")),""),"")</f>
        <v/>
      </c>
      <c r="G725" s="41" t="str">
        <f>IFERROR(IF(Calc!J725&lt;=$C$4,Calc!J725,""),"")</f>
        <v/>
      </c>
      <c r="H725" s="33" t="str">
        <f>IFERROR(IF(Calc!J725&lt;=$D$4,"Nice",""),"")</f>
        <v/>
      </c>
      <c r="J725" s="7" t="str">
        <f>CONCATENATE("[",TEXT(Show!A725,"#.0#"),":",TEXT(Show!B725,"#.0#"),"][",TEXT(Show!E725,"#.0#"),":",TEXT(Show!F725,"#.0#"),"]")</f>
        <v>[:][:]</v>
      </c>
    </row>
    <row r="726" spans="1:10" hidden="1" x14ac:dyDescent="0.25">
      <c r="A726" s="40" t="str">
        <f>IFERROR(IF(Calc!E726&lt;=$C$4,Calc!D726,""),"")</f>
        <v/>
      </c>
      <c r="B726" s="40" t="str">
        <f>IFERROR(IF(Calc!E726&lt;=$C$4,CONCATENATE(TEXT(Calc!C726,"#0.000#")," || ",TEXT(INDEX(Calc!L726:P726,$B$4),"#0.000#")),""),"")</f>
        <v/>
      </c>
      <c r="C726" s="41" t="str">
        <f>IFERROR(IF(Calc!E726&lt;=$C$4,Calc!E726,""),"")</f>
        <v/>
      </c>
      <c r="D726" s="33" t="str">
        <f>IFERROR(IF(Calc!E726&lt;=$D$4,"Nice",""),"")</f>
        <v/>
      </c>
      <c r="E726" s="40" t="str">
        <f>IFERROR(IF(Calc!J726&lt;=$C$4,Calc!I726,""),"")</f>
        <v/>
      </c>
      <c r="F726" s="40" t="str">
        <f>IFERROR(IF(Calc!J726&lt;=$C$4,CONCATENATE(TEXT(Calc!H726,"#0.000#")," + ",TEXT(INDEX(Calc!L726:P726,$B$4),"#0.000#")),""),"")</f>
        <v/>
      </c>
      <c r="G726" s="41" t="str">
        <f>IFERROR(IF(Calc!J726&lt;=$C$4,Calc!J726,""),"")</f>
        <v/>
      </c>
      <c r="H726" s="33" t="str">
        <f>IFERROR(IF(Calc!J726&lt;=$D$4,"Nice",""),"")</f>
        <v/>
      </c>
      <c r="J726" s="7" t="str">
        <f>CONCATENATE("[",TEXT(Show!A726,"#.0#"),":",TEXT(Show!B726,"#.0#"),"][",TEXT(Show!E726,"#.0#"),":",TEXT(Show!F726,"#.0#"),"]")</f>
        <v>[:][:]</v>
      </c>
    </row>
    <row r="727" spans="1:10" hidden="1" x14ac:dyDescent="0.25">
      <c r="A727" s="40" t="str">
        <f>IFERROR(IF(Calc!E727&lt;=$C$4,Calc!D727,""),"")</f>
        <v/>
      </c>
      <c r="B727" s="40" t="str">
        <f>IFERROR(IF(Calc!E727&lt;=$C$4,CONCATENATE(TEXT(Calc!C727,"#0.000#")," || ",TEXT(INDEX(Calc!L727:P727,$B$4),"#0.000#")),""),"")</f>
        <v/>
      </c>
      <c r="C727" s="41" t="str">
        <f>IFERROR(IF(Calc!E727&lt;=$C$4,Calc!E727,""),"")</f>
        <v/>
      </c>
      <c r="D727" s="33" t="str">
        <f>IFERROR(IF(Calc!E727&lt;=$D$4,"Nice",""),"")</f>
        <v/>
      </c>
      <c r="E727" s="40" t="str">
        <f>IFERROR(IF(Calc!J727&lt;=$C$4,Calc!I727,""),"")</f>
        <v/>
      </c>
      <c r="F727" s="40" t="str">
        <f>IFERROR(IF(Calc!J727&lt;=$C$4,CONCATENATE(TEXT(Calc!H727,"#0.000#")," + ",TEXT(INDEX(Calc!L727:P727,$B$4),"#0.000#")),""),"")</f>
        <v/>
      </c>
      <c r="G727" s="41" t="str">
        <f>IFERROR(IF(Calc!J727&lt;=$C$4,Calc!J727,""),"")</f>
        <v/>
      </c>
      <c r="H727" s="33" t="str">
        <f>IFERROR(IF(Calc!J727&lt;=$D$4,"Nice",""),"")</f>
        <v/>
      </c>
      <c r="J727" s="7" t="str">
        <f>CONCATENATE("[",TEXT(Show!A727,"#.0#"),":",TEXT(Show!B727,"#.0#"),"][",TEXT(Show!E727,"#.0#"),":",TEXT(Show!F727,"#.0#"),"]")</f>
        <v>[:][:]</v>
      </c>
    </row>
    <row r="728" spans="1:10" hidden="1" x14ac:dyDescent="0.25">
      <c r="A728" s="40" t="str">
        <f>IFERROR(IF(Calc!E728&lt;=$C$4,Calc!D728,""),"")</f>
        <v/>
      </c>
      <c r="B728" s="40" t="str">
        <f>IFERROR(IF(Calc!E728&lt;=$C$4,CONCATENATE(TEXT(Calc!C728,"#0.000#")," || ",TEXT(INDEX(Calc!L728:P728,$B$4),"#0.000#")),""),"")</f>
        <v/>
      </c>
      <c r="C728" s="41" t="str">
        <f>IFERROR(IF(Calc!E728&lt;=$C$4,Calc!E728,""),"")</f>
        <v/>
      </c>
      <c r="D728" s="33" t="str">
        <f>IFERROR(IF(Calc!E728&lt;=$D$4,"Nice",""),"")</f>
        <v/>
      </c>
      <c r="E728" s="40" t="str">
        <f>IFERROR(IF(Calc!J728&lt;=$C$4,Calc!I728,""),"")</f>
        <v/>
      </c>
      <c r="F728" s="40" t="str">
        <f>IFERROR(IF(Calc!J728&lt;=$C$4,CONCATENATE(TEXT(Calc!H728,"#0.000#")," + ",TEXT(INDEX(Calc!L728:P728,$B$4),"#0.000#")),""),"")</f>
        <v/>
      </c>
      <c r="G728" s="41" t="str">
        <f>IFERROR(IF(Calc!J728&lt;=$C$4,Calc!J728,""),"")</f>
        <v/>
      </c>
      <c r="H728" s="33" t="str">
        <f>IFERROR(IF(Calc!J728&lt;=$D$4,"Nice",""),"")</f>
        <v/>
      </c>
      <c r="J728" s="7" t="str">
        <f>CONCATENATE("[",TEXT(Show!A728,"#.0#"),":",TEXT(Show!B728,"#.0#"),"][",TEXT(Show!E728,"#.0#"),":",TEXT(Show!F728,"#.0#"),"]")</f>
        <v>[:][:]</v>
      </c>
    </row>
    <row r="729" spans="1:10" hidden="1" x14ac:dyDescent="0.25">
      <c r="A729" s="40" t="str">
        <f>IFERROR(IF(Calc!E729&lt;=$C$4,Calc!D729,""),"")</f>
        <v/>
      </c>
      <c r="B729" s="40" t="str">
        <f>IFERROR(IF(Calc!E729&lt;=$C$4,CONCATENATE(TEXT(Calc!C729,"#0.000#")," || ",TEXT(INDEX(Calc!L729:P729,$B$4),"#0.000#")),""),"")</f>
        <v/>
      </c>
      <c r="C729" s="41" t="str">
        <f>IFERROR(IF(Calc!E729&lt;=$C$4,Calc!E729,""),"")</f>
        <v/>
      </c>
      <c r="D729" s="33" t="str">
        <f>IFERROR(IF(Calc!E729&lt;=$D$4,"Nice",""),"")</f>
        <v/>
      </c>
      <c r="E729" s="40" t="str">
        <f>IFERROR(IF(Calc!J729&lt;=$C$4,Calc!I729,""),"")</f>
        <v/>
      </c>
      <c r="F729" s="40" t="str">
        <f>IFERROR(IF(Calc!J729&lt;=$C$4,CONCATENATE(TEXT(Calc!H729,"#0.000#")," + ",TEXT(INDEX(Calc!L729:P729,$B$4),"#0.000#")),""),"")</f>
        <v/>
      </c>
      <c r="G729" s="41" t="str">
        <f>IFERROR(IF(Calc!J729&lt;=$C$4,Calc!J729,""),"")</f>
        <v/>
      </c>
      <c r="H729" s="33" t="str">
        <f>IFERROR(IF(Calc!J729&lt;=$D$4,"Nice",""),"")</f>
        <v/>
      </c>
      <c r="J729" s="7" t="str">
        <f>CONCATENATE("[",TEXT(Show!A729,"#.0#"),":",TEXT(Show!B729,"#.0#"),"][",TEXT(Show!E729,"#.0#"),":",TEXT(Show!F729,"#.0#"),"]")</f>
        <v>[:][:]</v>
      </c>
    </row>
    <row r="730" spans="1:10" hidden="1" x14ac:dyDescent="0.25">
      <c r="A730" s="40" t="str">
        <f>IFERROR(IF(Calc!E730&lt;=$C$4,Calc!D730,""),"")</f>
        <v/>
      </c>
      <c r="B730" s="40" t="str">
        <f>IFERROR(IF(Calc!E730&lt;=$C$4,CONCATENATE(TEXT(Calc!C730,"#0.000#")," || ",TEXT(INDEX(Calc!L730:P730,$B$4),"#0.000#")),""),"")</f>
        <v/>
      </c>
      <c r="C730" s="41" t="str">
        <f>IFERROR(IF(Calc!E730&lt;=$C$4,Calc!E730,""),"")</f>
        <v/>
      </c>
      <c r="D730" s="33" t="str">
        <f>IFERROR(IF(Calc!E730&lt;=$D$4,"Nice",""),"")</f>
        <v/>
      </c>
      <c r="E730" s="40" t="str">
        <f>IFERROR(IF(Calc!J730&lt;=$C$4,Calc!I730,""),"")</f>
        <v/>
      </c>
      <c r="F730" s="40" t="str">
        <f>IFERROR(IF(Calc!J730&lt;=$C$4,CONCATENATE(TEXT(Calc!H730,"#0.000#")," + ",TEXT(INDEX(Calc!L730:P730,$B$4),"#0.000#")),""),"")</f>
        <v/>
      </c>
      <c r="G730" s="41" t="str">
        <f>IFERROR(IF(Calc!J730&lt;=$C$4,Calc!J730,""),"")</f>
        <v/>
      </c>
      <c r="H730" s="33" t="str">
        <f>IFERROR(IF(Calc!J730&lt;=$D$4,"Nice",""),"")</f>
        <v/>
      </c>
      <c r="J730" s="7" t="str">
        <f>CONCATENATE("[",TEXT(Show!A730,"#.0#"),":",TEXT(Show!B730,"#.0#"),"][",TEXT(Show!E730,"#.0#"),":",TEXT(Show!F730,"#.0#"),"]")</f>
        <v>[:][:]</v>
      </c>
    </row>
    <row r="731" spans="1:10" hidden="1" x14ac:dyDescent="0.25">
      <c r="A731" s="40" t="str">
        <f>IFERROR(IF(Calc!E731&lt;=$C$4,Calc!D731,""),"")</f>
        <v/>
      </c>
      <c r="B731" s="40" t="str">
        <f>IFERROR(IF(Calc!E731&lt;=$C$4,CONCATENATE(TEXT(Calc!C731,"#0.000#")," || ",TEXT(INDEX(Calc!L731:P731,$B$4),"#0.000#")),""),"")</f>
        <v/>
      </c>
      <c r="C731" s="41" t="str">
        <f>IFERROR(IF(Calc!E731&lt;=$C$4,Calc!E731,""),"")</f>
        <v/>
      </c>
      <c r="D731" s="33" t="str">
        <f>IFERROR(IF(Calc!E731&lt;=$D$4,"Nice",""),"")</f>
        <v/>
      </c>
      <c r="E731" s="40" t="str">
        <f>IFERROR(IF(Calc!J731&lt;=$C$4,Calc!I731,""),"")</f>
        <v/>
      </c>
      <c r="F731" s="40" t="str">
        <f>IFERROR(IF(Calc!J731&lt;=$C$4,CONCATENATE(TEXT(Calc!H731,"#0.000#")," + ",TEXT(INDEX(Calc!L731:P731,$B$4),"#0.000#")),""),"")</f>
        <v/>
      </c>
      <c r="G731" s="41" t="str">
        <f>IFERROR(IF(Calc!J731&lt;=$C$4,Calc!J731,""),"")</f>
        <v/>
      </c>
      <c r="H731" s="33" t="str">
        <f>IFERROR(IF(Calc!J731&lt;=$D$4,"Nice",""),"")</f>
        <v/>
      </c>
      <c r="J731" s="7" t="str">
        <f>CONCATENATE("[",TEXT(Show!A731,"#.0#"),":",TEXT(Show!B731,"#.0#"),"][",TEXT(Show!E731,"#.0#"),":",TEXT(Show!F731,"#.0#"),"]")</f>
        <v>[:][:]</v>
      </c>
    </row>
    <row r="732" spans="1:10" hidden="1" x14ac:dyDescent="0.25">
      <c r="A732" s="40" t="str">
        <f>IFERROR(IF(Calc!E732&lt;=$C$4,Calc!D732,""),"")</f>
        <v/>
      </c>
      <c r="B732" s="40" t="str">
        <f>IFERROR(IF(Calc!E732&lt;=$C$4,CONCATENATE(TEXT(Calc!C732,"#0.000#")," || ",TEXT(INDEX(Calc!L732:P732,$B$4),"#0.000#")),""),"")</f>
        <v/>
      </c>
      <c r="C732" s="41" t="str">
        <f>IFERROR(IF(Calc!E732&lt;=$C$4,Calc!E732,""),"")</f>
        <v/>
      </c>
      <c r="D732" s="33" t="str">
        <f>IFERROR(IF(Calc!E732&lt;=$D$4,"Nice",""),"")</f>
        <v/>
      </c>
      <c r="E732" s="40" t="str">
        <f>IFERROR(IF(Calc!J732&lt;=$C$4,Calc!I732,""),"")</f>
        <v/>
      </c>
      <c r="F732" s="40" t="str">
        <f>IFERROR(IF(Calc!J732&lt;=$C$4,CONCATENATE(TEXT(Calc!H732,"#0.000#")," + ",TEXT(INDEX(Calc!L732:P732,$B$4),"#0.000#")),""),"")</f>
        <v/>
      </c>
      <c r="G732" s="41" t="str">
        <f>IFERROR(IF(Calc!J732&lt;=$C$4,Calc!J732,""),"")</f>
        <v/>
      </c>
      <c r="H732" s="33" t="str">
        <f>IFERROR(IF(Calc!J732&lt;=$D$4,"Nice",""),"")</f>
        <v/>
      </c>
      <c r="J732" s="7" t="str">
        <f>CONCATENATE("[",TEXT(Show!A732,"#.0#"),":",TEXT(Show!B732,"#.0#"),"][",TEXT(Show!E732,"#.0#"),":",TEXT(Show!F732,"#.0#"),"]")</f>
        <v>[:][:]</v>
      </c>
    </row>
    <row r="733" spans="1:10" hidden="1" x14ac:dyDescent="0.25">
      <c r="A733" s="40" t="str">
        <f>IFERROR(IF(Calc!E733&lt;=$C$4,Calc!D733,""),"")</f>
        <v/>
      </c>
      <c r="B733" s="40" t="str">
        <f>IFERROR(IF(Calc!E733&lt;=$C$4,CONCATENATE(TEXT(Calc!C733,"#0.000#")," || ",TEXT(INDEX(Calc!L733:P733,$B$4),"#0.000#")),""),"")</f>
        <v/>
      </c>
      <c r="C733" s="41" t="str">
        <f>IFERROR(IF(Calc!E733&lt;=$C$4,Calc!E733,""),"")</f>
        <v/>
      </c>
      <c r="D733" s="33" t="str">
        <f>IFERROR(IF(Calc!E733&lt;=$D$4,"Nice",""),"")</f>
        <v/>
      </c>
      <c r="E733" s="40" t="str">
        <f>IFERROR(IF(Calc!J733&lt;=$C$4,Calc!I733,""),"")</f>
        <v/>
      </c>
      <c r="F733" s="40" t="str">
        <f>IFERROR(IF(Calc!J733&lt;=$C$4,CONCATENATE(TEXT(Calc!H733,"#0.000#")," + ",TEXT(INDEX(Calc!L733:P733,$B$4),"#0.000#")),""),"")</f>
        <v/>
      </c>
      <c r="G733" s="41" t="str">
        <f>IFERROR(IF(Calc!J733&lt;=$C$4,Calc!J733,""),"")</f>
        <v/>
      </c>
      <c r="H733" s="33" t="str">
        <f>IFERROR(IF(Calc!J733&lt;=$D$4,"Nice",""),"")</f>
        <v/>
      </c>
      <c r="J733" s="7" t="str">
        <f>CONCATENATE("[",TEXT(Show!A733,"#.0#"),":",TEXT(Show!B733,"#.0#"),"][",TEXT(Show!E733,"#.0#"),":",TEXT(Show!F733,"#.0#"),"]")</f>
        <v>[:][:]</v>
      </c>
    </row>
    <row r="734" spans="1:10" hidden="1" x14ac:dyDescent="0.25">
      <c r="A734" s="40" t="str">
        <f>IFERROR(IF(Calc!E734&lt;=$C$4,Calc!D734,""),"")</f>
        <v/>
      </c>
      <c r="B734" s="40" t="str">
        <f>IFERROR(IF(Calc!E734&lt;=$C$4,CONCATENATE(TEXT(Calc!C734,"#0.000#")," || ",TEXT(INDEX(Calc!L734:P734,$B$4),"#0.000#")),""),"")</f>
        <v/>
      </c>
      <c r="C734" s="41" t="str">
        <f>IFERROR(IF(Calc!E734&lt;=$C$4,Calc!E734,""),"")</f>
        <v/>
      </c>
      <c r="D734" s="33" t="str">
        <f>IFERROR(IF(Calc!E734&lt;=$D$4,"Nice",""),"")</f>
        <v/>
      </c>
      <c r="E734" s="40" t="str">
        <f>IFERROR(IF(Calc!J734&lt;=$C$4,Calc!I734,""),"")</f>
        <v/>
      </c>
      <c r="F734" s="40" t="str">
        <f>IFERROR(IF(Calc!J734&lt;=$C$4,CONCATENATE(TEXT(Calc!H734,"#0.000#")," + ",TEXT(INDEX(Calc!L734:P734,$B$4),"#0.000#")),""),"")</f>
        <v/>
      </c>
      <c r="G734" s="41" t="str">
        <f>IFERROR(IF(Calc!J734&lt;=$C$4,Calc!J734,""),"")</f>
        <v/>
      </c>
      <c r="H734" s="33" t="str">
        <f>IFERROR(IF(Calc!J734&lt;=$D$4,"Nice",""),"")</f>
        <v/>
      </c>
      <c r="J734" s="7" t="str">
        <f>CONCATENATE("[",TEXT(Show!A734,"#.0#"),":",TEXT(Show!B734,"#.0#"),"][",TEXT(Show!E734,"#.0#"),":",TEXT(Show!F734,"#.0#"),"]")</f>
        <v>[:][:]</v>
      </c>
    </row>
    <row r="735" spans="1:10" hidden="1" x14ac:dyDescent="0.25">
      <c r="A735" s="40" t="str">
        <f>IFERROR(IF(Calc!E735&lt;=$C$4,Calc!D735,""),"")</f>
        <v/>
      </c>
      <c r="B735" s="40" t="str">
        <f>IFERROR(IF(Calc!E735&lt;=$C$4,CONCATENATE(TEXT(Calc!C735,"#0.000#")," || ",TEXT(INDEX(Calc!L735:P735,$B$4),"#0.000#")),""),"")</f>
        <v/>
      </c>
      <c r="C735" s="41" t="str">
        <f>IFERROR(IF(Calc!E735&lt;=$C$4,Calc!E735,""),"")</f>
        <v/>
      </c>
      <c r="D735" s="33" t="str">
        <f>IFERROR(IF(Calc!E735&lt;=$D$4,"Nice",""),"")</f>
        <v/>
      </c>
      <c r="E735" s="40" t="str">
        <f>IFERROR(IF(Calc!J735&lt;=$C$4,Calc!I735,""),"")</f>
        <v/>
      </c>
      <c r="F735" s="40" t="str">
        <f>IFERROR(IF(Calc!J735&lt;=$C$4,CONCATENATE(TEXT(Calc!H735,"#0.000#")," + ",TEXT(INDEX(Calc!L735:P735,$B$4),"#0.000#")),""),"")</f>
        <v/>
      </c>
      <c r="G735" s="41" t="str">
        <f>IFERROR(IF(Calc!J735&lt;=$C$4,Calc!J735,""),"")</f>
        <v/>
      </c>
      <c r="H735" s="33" t="str">
        <f>IFERROR(IF(Calc!J735&lt;=$D$4,"Nice",""),"")</f>
        <v/>
      </c>
      <c r="J735" s="7" t="str">
        <f>CONCATENATE("[",TEXT(Show!A735,"#.0#"),":",TEXT(Show!B735,"#.0#"),"][",TEXT(Show!E735,"#.0#"),":",TEXT(Show!F735,"#.0#"),"]")</f>
        <v>[:][:]</v>
      </c>
    </row>
    <row r="736" spans="1:10" hidden="1" x14ac:dyDescent="0.25">
      <c r="A736" s="40" t="str">
        <f>IFERROR(IF(Calc!E736&lt;=$C$4,Calc!D736,""),"")</f>
        <v/>
      </c>
      <c r="B736" s="40" t="str">
        <f>IFERROR(IF(Calc!E736&lt;=$C$4,CONCATENATE(TEXT(Calc!C736,"#0.000#")," || ",TEXT(INDEX(Calc!L736:P736,$B$4),"#0.000#")),""),"")</f>
        <v/>
      </c>
      <c r="C736" s="41" t="str">
        <f>IFERROR(IF(Calc!E736&lt;=$C$4,Calc!E736,""),"")</f>
        <v/>
      </c>
      <c r="D736" s="33" t="str">
        <f>IFERROR(IF(Calc!E736&lt;=$D$4,"Nice",""),"")</f>
        <v/>
      </c>
      <c r="E736" s="40" t="str">
        <f>IFERROR(IF(Calc!J736&lt;=$C$4,Calc!I736,""),"")</f>
        <v/>
      </c>
      <c r="F736" s="40" t="str">
        <f>IFERROR(IF(Calc!J736&lt;=$C$4,CONCATENATE(TEXT(Calc!H736,"#0.000#")," + ",TEXT(INDEX(Calc!L736:P736,$B$4),"#0.000#")),""),"")</f>
        <v/>
      </c>
      <c r="G736" s="41" t="str">
        <f>IFERROR(IF(Calc!J736&lt;=$C$4,Calc!J736,""),"")</f>
        <v/>
      </c>
      <c r="H736" s="33" t="str">
        <f>IFERROR(IF(Calc!J736&lt;=$D$4,"Nice",""),"")</f>
        <v/>
      </c>
      <c r="J736" s="7" t="str">
        <f>CONCATENATE("[",TEXT(Show!A736,"#.0#"),":",TEXT(Show!B736,"#.0#"),"][",TEXT(Show!E736,"#.0#"),":",TEXT(Show!F736,"#.0#"),"]")</f>
        <v>[:][:]</v>
      </c>
    </row>
    <row r="737" spans="1:10" hidden="1" x14ac:dyDescent="0.25">
      <c r="A737" s="40" t="str">
        <f>IFERROR(IF(Calc!E737&lt;=$C$4,Calc!D737,""),"")</f>
        <v/>
      </c>
      <c r="B737" s="40" t="str">
        <f>IFERROR(IF(Calc!E737&lt;=$C$4,CONCATENATE(TEXT(Calc!C737,"#0.000#")," || ",TEXT(INDEX(Calc!L737:P737,$B$4),"#0.000#")),""),"")</f>
        <v/>
      </c>
      <c r="C737" s="41" t="str">
        <f>IFERROR(IF(Calc!E737&lt;=$C$4,Calc!E737,""),"")</f>
        <v/>
      </c>
      <c r="D737" s="33" t="str">
        <f>IFERROR(IF(Calc!E737&lt;=$D$4,"Nice",""),"")</f>
        <v/>
      </c>
      <c r="E737" s="40" t="str">
        <f>IFERROR(IF(Calc!J737&lt;=$C$4,Calc!I737,""),"")</f>
        <v/>
      </c>
      <c r="F737" s="40" t="str">
        <f>IFERROR(IF(Calc!J737&lt;=$C$4,CONCATENATE(TEXT(Calc!H737,"#0.000#")," + ",TEXT(INDEX(Calc!L737:P737,$B$4),"#0.000#")),""),"")</f>
        <v/>
      </c>
      <c r="G737" s="41" t="str">
        <f>IFERROR(IF(Calc!J737&lt;=$C$4,Calc!J737,""),"")</f>
        <v/>
      </c>
      <c r="H737" s="33" t="str">
        <f>IFERROR(IF(Calc!J737&lt;=$D$4,"Nice",""),"")</f>
        <v/>
      </c>
      <c r="J737" s="7" t="str">
        <f>CONCATENATE("[",TEXT(Show!A737,"#.0#"),":",TEXT(Show!B737,"#.0#"),"][",TEXT(Show!E737,"#.0#"),":",TEXT(Show!F737,"#.0#"),"]")</f>
        <v>[:][:]</v>
      </c>
    </row>
    <row r="738" spans="1:10" hidden="1" x14ac:dyDescent="0.25">
      <c r="A738" s="40" t="str">
        <f>IFERROR(IF(Calc!E738&lt;=$C$4,Calc!D738,""),"")</f>
        <v/>
      </c>
      <c r="B738" s="40" t="str">
        <f>IFERROR(IF(Calc!E738&lt;=$C$4,CONCATENATE(TEXT(Calc!C738,"#0.000#")," || ",TEXT(INDEX(Calc!L738:P738,$B$4),"#0.000#")),""),"")</f>
        <v/>
      </c>
      <c r="C738" s="41" t="str">
        <f>IFERROR(IF(Calc!E738&lt;=$C$4,Calc!E738,""),"")</f>
        <v/>
      </c>
      <c r="D738" s="33" t="str">
        <f>IFERROR(IF(Calc!E738&lt;=$D$4,"Nice",""),"")</f>
        <v/>
      </c>
      <c r="E738" s="40" t="str">
        <f>IFERROR(IF(Calc!J738&lt;=$C$4,Calc!I738,""),"")</f>
        <v/>
      </c>
      <c r="F738" s="40" t="str">
        <f>IFERROR(IF(Calc!J738&lt;=$C$4,CONCATENATE(TEXT(Calc!H738,"#0.000#")," + ",TEXT(INDEX(Calc!L738:P738,$B$4),"#0.000#")),""),"")</f>
        <v/>
      </c>
      <c r="G738" s="41" t="str">
        <f>IFERROR(IF(Calc!J738&lt;=$C$4,Calc!J738,""),"")</f>
        <v/>
      </c>
      <c r="H738" s="33" t="str">
        <f>IFERROR(IF(Calc!J738&lt;=$D$4,"Nice",""),"")</f>
        <v/>
      </c>
      <c r="J738" s="7" t="str">
        <f>CONCATENATE("[",TEXT(Show!A738,"#.0#"),":",TEXT(Show!B738,"#.0#"),"][",TEXT(Show!E738,"#.0#"),":",TEXT(Show!F738,"#.0#"),"]")</f>
        <v>[:][:]</v>
      </c>
    </row>
    <row r="739" spans="1:10" hidden="1" x14ac:dyDescent="0.25">
      <c r="A739" s="40" t="str">
        <f>IFERROR(IF(Calc!E739&lt;=$C$4,Calc!D739,""),"")</f>
        <v/>
      </c>
      <c r="B739" s="40" t="str">
        <f>IFERROR(IF(Calc!E739&lt;=$C$4,CONCATENATE(TEXT(Calc!C739,"#0.000#")," || ",TEXT(INDEX(Calc!L739:P739,$B$4),"#0.000#")),""),"")</f>
        <v/>
      </c>
      <c r="C739" s="41" t="str">
        <f>IFERROR(IF(Calc!E739&lt;=$C$4,Calc!E739,""),"")</f>
        <v/>
      </c>
      <c r="D739" s="33" t="str">
        <f>IFERROR(IF(Calc!E739&lt;=$D$4,"Nice",""),"")</f>
        <v/>
      </c>
      <c r="E739" s="40" t="str">
        <f>IFERROR(IF(Calc!J739&lt;=$C$4,Calc!I739,""),"")</f>
        <v/>
      </c>
      <c r="F739" s="40" t="str">
        <f>IFERROR(IF(Calc!J739&lt;=$C$4,CONCATENATE(TEXT(Calc!H739,"#0.000#")," + ",TEXT(INDEX(Calc!L739:P739,$B$4),"#0.000#")),""),"")</f>
        <v/>
      </c>
      <c r="G739" s="41" t="str">
        <f>IFERROR(IF(Calc!J739&lt;=$C$4,Calc!J739,""),"")</f>
        <v/>
      </c>
      <c r="H739" s="33" t="str">
        <f>IFERROR(IF(Calc!J739&lt;=$D$4,"Nice",""),"")</f>
        <v/>
      </c>
      <c r="J739" s="7" t="str">
        <f>CONCATENATE("[",TEXT(Show!A739,"#.0#"),":",TEXT(Show!B739,"#.0#"),"][",TEXT(Show!E739,"#.0#"),":",TEXT(Show!F739,"#.0#"),"]")</f>
        <v>[:][:]</v>
      </c>
    </row>
    <row r="740" spans="1:10" hidden="1" x14ac:dyDescent="0.25">
      <c r="A740" s="40" t="str">
        <f>IFERROR(IF(Calc!E740&lt;=$C$4,Calc!D740,""),"")</f>
        <v/>
      </c>
      <c r="B740" s="40" t="str">
        <f>IFERROR(IF(Calc!E740&lt;=$C$4,CONCATENATE(TEXT(Calc!C740,"#0.000#")," || ",TEXT(INDEX(Calc!L740:P740,$B$4),"#0.000#")),""),"")</f>
        <v/>
      </c>
      <c r="C740" s="41" t="str">
        <f>IFERROR(IF(Calc!E740&lt;=$C$4,Calc!E740,""),"")</f>
        <v/>
      </c>
      <c r="D740" s="33" t="str">
        <f>IFERROR(IF(Calc!E740&lt;=$D$4,"Nice",""),"")</f>
        <v/>
      </c>
      <c r="E740" s="40" t="str">
        <f>IFERROR(IF(Calc!J740&lt;=$C$4,Calc!I740,""),"")</f>
        <v/>
      </c>
      <c r="F740" s="40" t="str">
        <f>IFERROR(IF(Calc!J740&lt;=$C$4,CONCATENATE(TEXT(Calc!H740,"#0.000#")," + ",TEXT(INDEX(Calc!L740:P740,$B$4),"#0.000#")),""),"")</f>
        <v/>
      </c>
      <c r="G740" s="41" t="str">
        <f>IFERROR(IF(Calc!J740&lt;=$C$4,Calc!J740,""),"")</f>
        <v/>
      </c>
      <c r="H740" s="33" t="str">
        <f>IFERROR(IF(Calc!J740&lt;=$D$4,"Nice",""),"")</f>
        <v/>
      </c>
      <c r="J740" s="7" t="str">
        <f>CONCATENATE("[",TEXT(Show!A740,"#.0#"),":",TEXT(Show!B740,"#.0#"),"][",TEXT(Show!E740,"#.0#"),":",TEXT(Show!F740,"#.0#"),"]")</f>
        <v>[:][:]</v>
      </c>
    </row>
    <row r="741" spans="1:10" hidden="1" x14ac:dyDescent="0.25">
      <c r="A741" s="40" t="str">
        <f>IFERROR(IF(Calc!E741&lt;=$C$4,Calc!D741,""),"")</f>
        <v/>
      </c>
      <c r="B741" s="40" t="str">
        <f>IFERROR(IF(Calc!E741&lt;=$C$4,CONCATENATE(TEXT(Calc!C741,"#0.000#")," || ",TEXT(INDEX(Calc!L741:P741,$B$4),"#0.000#")),""),"")</f>
        <v/>
      </c>
      <c r="C741" s="41" t="str">
        <f>IFERROR(IF(Calc!E741&lt;=$C$4,Calc!E741,""),"")</f>
        <v/>
      </c>
      <c r="D741" s="33" t="str">
        <f>IFERROR(IF(Calc!E741&lt;=$D$4,"Nice",""),"")</f>
        <v/>
      </c>
      <c r="E741" s="40" t="str">
        <f>IFERROR(IF(Calc!J741&lt;=$C$4,Calc!I741,""),"")</f>
        <v/>
      </c>
      <c r="F741" s="40" t="str">
        <f>IFERROR(IF(Calc!J741&lt;=$C$4,CONCATENATE(TEXT(Calc!H741,"#0.000#")," + ",TEXT(INDEX(Calc!L741:P741,$B$4),"#0.000#")),""),"")</f>
        <v/>
      </c>
      <c r="G741" s="41" t="str">
        <f>IFERROR(IF(Calc!J741&lt;=$C$4,Calc!J741,""),"")</f>
        <v/>
      </c>
      <c r="H741" s="33" t="str">
        <f>IFERROR(IF(Calc!J741&lt;=$D$4,"Nice",""),"")</f>
        <v/>
      </c>
      <c r="J741" s="7" t="str">
        <f>CONCATENATE("[",TEXT(Show!A741,"#.0#"),":",TEXT(Show!B741,"#.0#"),"][",TEXT(Show!E741,"#.0#"),":",TEXT(Show!F741,"#.0#"),"]")</f>
        <v>[:][:]</v>
      </c>
    </row>
    <row r="742" spans="1:10" hidden="1" x14ac:dyDescent="0.25">
      <c r="A742" s="40" t="str">
        <f>IFERROR(IF(Calc!E742&lt;=$C$4,Calc!D742,""),"")</f>
        <v/>
      </c>
      <c r="B742" s="40" t="str">
        <f>IFERROR(IF(Calc!E742&lt;=$C$4,CONCATENATE(TEXT(Calc!C742,"#0.000#")," || ",TEXT(INDEX(Calc!L742:P742,$B$4),"#0.000#")),""),"")</f>
        <v/>
      </c>
      <c r="C742" s="41" t="str">
        <f>IFERROR(IF(Calc!E742&lt;=$C$4,Calc!E742,""),"")</f>
        <v/>
      </c>
      <c r="D742" s="33" t="str">
        <f>IFERROR(IF(Calc!E742&lt;=$D$4,"Nice",""),"")</f>
        <v/>
      </c>
      <c r="E742" s="40" t="str">
        <f>IFERROR(IF(Calc!J742&lt;=$C$4,Calc!I742,""),"")</f>
        <v/>
      </c>
      <c r="F742" s="40" t="str">
        <f>IFERROR(IF(Calc!J742&lt;=$C$4,CONCATENATE(TEXT(Calc!H742,"#0.000#")," + ",TEXT(INDEX(Calc!L742:P742,$B$4),"#0.000#")),""),"")</f>
        <v/>
      </c>
      <c r="G742" s="41" t="str">
        <f>IFERROR(IF(Calc!J742&lt;=$C$4,Calc!J742,""),"")</f>
        <v/>
      </c>
      <c r="H742" s="33" t="str">
        <f>IFERROR(IF(Calc!J742&lt;=$D$4,"Nice",""),"")</f>
        <v/>
      </c>
      <c r="J742" s="7" t="str">
        <f>CONCATENATE("[",TEXT(Show!A742,"#.0#"),":",TEXT(Show!B742,"#.0#"),"][",TEXT(Show!E742,"#.0#"),":",TEXT(Show!F742,"#.0#"),"]")</f>
        <v>[:][:]</v>
      </c>
    </row>
    <row r="743" spans="1:10" hidden="1" x14ac:dyDescent="0.25">
      <c r="A743" s="40" t="str">
        <f>IFERROR(IF(Calc!E743&lt;=$C$4,Calc!D743,""),"")</f>
        <v/>
      </c>
      <c r="B743" s="40" t="str">
        <f>IFERROR(IF(Calc!E743&lt;=$C$4,CONCATENATE(TEXT(Calc!C743,"#0.000#")," || ",TEXT(INDEX(Calc!L743:P743,$B$4),"#0.000#")),""),"")</f>
        <v/>
      </c>
      <c r="C743" s="41" t="str">
        <f>IFERROR(IF(Calc!E743&lt;=$C$4,Calc!E743,""),"")</f>
        <v/>
      </c>
      <c r="D743" s="33" t="str">
        <f>IFERROR(IF(Calc!E743&lt;=$D$4,"Nice",""),"")</f>
        <v/>
      </c>
      <c r="E743" s="40" t="str">
        <f>IFERROR(IF(Calc!J743&lt;=$C$4,Calc!I743,""),"")</f>
        <v/>
      </c>
      <c r="F743" s="40" t="str">
        <f>IFERROR(IF(Calc!J743&lt;=$C$4,CONCATENATE(TEXT(Calc!H743,"#0.000#")," + ",TEXT(INDEX(Calc!L743:P743,$B$4),"#0.000#")),""),"")</f>
        <v/>
      </c>
      <c r="G743" s="41" t="str">
        <f>IFERROR(IF(Calc!J743&lt;=$C$4,Calc!J743,""),"")</f>
        <v/>
      </c>
      <c r="H743" s="33" t="str">
        <f>IFERROR(IF(Calc!J743&lt;=$D$4,"Nice",""),"")</f>
        <v/>
      </c>
      <c r="J743" s="7" t="str">
        <f>CONCATENATE("[",TEXT(Show!A743,"#.0#"),":",TEXT(Show!B743,"#.0#"),"][",TEXT(Show!E743,"#.0#"),":",TEXT(Show!F743,"#.0#"),"]")</f>
        <v>[:][:]</v>
      </c>
    </row>
    <row r="744" spans="1:10" hidden="1" x14ac:dyDescent="0.25">
      <c r="A744" s="40" t="str">
        <f>IFERROR(IF(Calc!E744&lt;=$C$4,Calc!D744,""),"")</f>
        <v/>
      </c>
      <c r="B744" s="40" t="str">
        <f>IFERROR(IF(Calc!E744&lt;=$C$4,CONCATENATE(TEXT(Calc!C744,"#0.000#")," || ",TEXT(INDEX(Calc!L744:P744,$B$4),"#0.000#")),""),"")</f>
        <v/>
      </c>
      <c r="C744" s="41" t="str">
        <f>IFERROR(IF(Calc!E744&lt;=$C$4,Calc!E744,""),"")</f>
        <v/>
      </c>
      <c r="D744" s="33" t="str">
        <f>IFERROR(IF(Calc!E744&lt;=$D$4,"Nice",""),"")</f>
        <v/>
      </c>
      <c r="E744" s="40" t="str">
        <f>IFERROR(IF(Calc!J744&lt;=$C$4,Calc!I744,""),"")</f>
        <v/>
      </c>
      <c r="F744" s="40" t="str">
        <f>IFERROR(IF(Calc!J744&lt;=$C$4,CONCATENATE(TEXT(Calc!H744,"#0.000#")," + ",TEXT(INDEX(Calc!L744:P744,$B$4),"#0.000#")),""),"")</f>
        <v/>
      </c>
      <c r="G744" s="41" t="str">
        <f>IFERROR(IF(Calc!J744&lt;=$C$4,Calc!J744,""),"")</f>
        <v/>
      </c>
      <c r="H744" s="33" t="str">
        <f>IFERROR(IF(Calc!J744&lt;=$D$4,"Nice",""),"")</f>
        <v/>
      </c>
      <c r="J744" s="7" t="str">
        <f>CONCATENATE("[",TEXT(Show!A744,"#.0#"),":",TEXT(Show!B744,"#.0#"),"][",TEXT(Show!E744,"#.0#"),":",TEXT(Show!F744,"#.0#"),"]")</f>
        <v>[:][:]</v>
      </c>
    </row>
    <row r="745" spans="1:10" hidden="1" x14ac:dyDescent="0.25">
      <c r="A745" s="40" t="str">
        <f>IFERROR(IF(Calc!E745&lt;=$C$4,Calc!D745,""),"")</f>
        <v/>
      </c>
      <c r="B745" s="40" t="str">
        <f>IFERROR(IF(Calc!E745&lt;=$C$4,CONCATENATE(TEXT(Calc!C745,"#0.000#")," || ",TEXT(INDEX(Calc!L745:P745,$B$4),"#0.000#")),""),"")</f>
        <v/>
      </c>
      <c r="C745" s="41" t="str">
        <f>IFERROR(IF(Calc!E745&lt;=$C$4,Calc!E745,""),"")</f>
        <v/>
      </c>
      <c r="D745" s="33" t="str">
        <f>IFERROR(IF(Calc!E745&lt;=$D$4,"Nice",""),"")</f>
        <v/>
      </c>
      <c r="E745" s="40" t="str">
        <f>IFERROR(IF(Calc!J745&lt;=$C$4,Calc!I745,""),"")</f>
        <v/>
      </c>
      <c r="F745" s="40" t="str">
        <f>IFERROR(IF(Calc!J745&lt;=$C$4,CONCATENATE(TEXT(Calc!H745,"#0.000#")," + ",TEXT(INDEX(Calc!L745:P745,$B$4),"#0.000#")),""),"")</f>
        <v/>
      </c>
      <c r="G745" s="41" t="str">
        <f>IFERROR(IF(Calc!J745&lt;=$C$4,Calc!J745,""),"")</f>
        <v/>
      </c>
      <c r="H745" s="33" t="str">
        <f>IFERROR(IF(Calc!J745&lt;=$D$4,"Nice",""),"")</f>
        <v/>
      </c>
      <c r="J745" s="7" t="str">
        <f>CONCATENATE("[",TEXT(Show!A745,"#.0#"),":",TEXT(Show!B745,"#.0#"),"][",TEXT(Show!E745,"#.0#"),":",TEXT(Show!F745,"#.0#"),"]")</f>
        <v>[:][:]</v>
      </c>
    </row>
    <row r="746" spans="1:10" hidden="1" x14ac:dyDescent="0.25">
      <c r="A746" s="40" t="str">
        <f>IFERROR(IF(Calc!E746&lt;=$C$4,Calc!D746,""),"")</f>
        <v/>
      </c>
      <c r="B746" s="40" t="str">
        <f>IFERROR(IF(Calc!E746&lt;=$C$4,CONCATENATE(TEXT(Calc!C746,"#0.000#")," || ",TEXT(INDEX(Calc!L746:P746,$B$4),"#0.000#")),""),"")</f>
        <v/>
      </c>
      <c r="C746" s="41" t="str">
        <f>IFERROR(IF(Calc!E746&lt;=$C$4,Calc!E746,""),"")</f>
        <v/>
      </c>
      <c r="D746" s="33" t="str">
        <f>IFERROR(IF(Calc!E746&lt;=$D$4,"Nice",""),"")</f>
        <v/>
      </c>
      <c r="E746" s="40" t="str">
        <f>IFERROR(IF(Calc!J746&lt;=$C$4,Calc!I746,""),"")</f>
        <v/>
      </c>
      <c r="F746" s="40" t="str">
        <f>IFERROR(IF(Calc!J746&lt;=$C$4,CONCATENATE(TEXT(Calc!H746,"#0.000#")," + ",TEXT(INDEX(Calc!L746:P746,$B$4),"#0.000#")),""),"")</f>
        <v/>
      </c>
      <c r="G746" s="41" t="str">
        <f>IFERROR(IF(Calc!J746&lt;=$C$4,Calc!J746,""),"")</f>
        <v/>
      </c>
      <c r="H746" s="33" t="str">
        <f>IFERROR(IF(Calc!J746&lt;=$D$4,"Nice",""),"")</f>
        <v/>
      </c>
      <c r="J746" s="7" t="str">
        <f>CONCATENATE("[",TEXT(Show!A746,"#.0#"),":",TEXT(Show!B746,"#.0#"),"][",TEXT(Show!E746,"#.0#"),":",TEXT(Show!F746,"#.0#"),"]")</f>
        <v>[:][:]</v>
      </c>
    </row>
    <row r="747" spans="1:10" hidden="1" x14ac:dyDescent="0.25">
      <c r="A747" s="40" t="str">
        <f>IFERROR(IF(Calc!E747&lt;=$C$4,Calc!D747,""),"")</f>
        <v/>
      </c>
      <c r="B747" s="40" t="str">
        <f>IFERROR(IF(Calc!E747&lt;=$C$4,CONCATENATE(TEXT(Calc!C747,"#0.000#")," || ",TEXT(INDEX(Calc!L747:P747,$B$4),"#0.000#")),""),"")</f>
        <v/>
      </c>
      <c r="C747" s="41" t="str">
        <f>IFERROR(IF(Calc!E747&lt;=$C$4,Calc!E747,""),"")</f>
        <v/>
      </c>
      <c r="D747" s="33" t="str">
        <f>IFERROR(IF(Calc!E747&lt;=$D$4,"Nice",""),"")</f>
        <v/>
      </c>
      <c r="E747" s="40" t="str">
        <f>IFERROR(IF(Calc!J747&lt;=$C$4,Calc!I747,""),"")</f>
        <v/>
      </c>
      <c r="F747" s="40" t="str">
        <f>IFERROR(IF(Calc!J747&lt;=$C$4,CONCATENATE(TEXT(Calc!H747,"#0.000#")," + ",TEXT(INDEX(Calc!L747:P747,$B$4),"#0.000#")),""),"")</f>
        <v/>
      </c>
      <c r="G747" s="41" t="str">
        <f>IFERROR(IF(Calc!J747&lt;=$C$4,Calc!J747,""),"")</f>
        <v/>
      </c>
      <c r="H747" s="33" t="str">
        <f>IFERROR(IF(Calc!J747&lt;=$D$4,"Nice",""),"")</f>
        <v/>
      </c>
      <c r="J747" s="7" t="str">
        <f>CONCATENATE("[",TEXT(Show!A747,"#.0#"),":",TEXT(Show!B747,"#.0#"),"][",TEXT(Show!E747,"#.0#"),":",TEXT(Show!F747,"#.0#"),"]")</f>
        <v>[:][:]</v>
      </c>
    </row>
    <row r="748" spans="1:10" hidden="1" x14ac:dyDescent="0.25">
      <c r="A748" s="40" t="str">
        <f>IFERROR(IF(Calc!E748&lt;=$C$4,Calc!D748,""),"")</f>
        <v/>
      </c>
      <c r="B748" s="40" t="str">
        <f>IFERROR(IF(Calc!E748&lt;=$C$4,CONCATENATE(TEXT(Calc!C748,"#0.000#")," || ",TEXT(INDEX(Calc!L748:P748,$B$4),"#0.000#")),""),"")</f>
        <v/>
      </c>
      <c r="C748" s="41" t="str">
        <f>IFERROR(IF(Calc!E748&lt;=$C$4,Calc!E748,""),"")</f>
        <v/>
      </c>
      <c r="D748" s="33" t="str">
        <f>IFERROR(IF(Calc!E748&lt;=$D$4,"Nice",""),"")</f>
        <v/>
      </c>
      <c r="E748" s="40" t="str">
        <f>IFERROR(IF(Calc!J748&lt;=$C$4,Calc!I748,""),"")</f>
        <v/>
      </c>
      <c r="F748" s="40" t="str">
        <f>IFERROR(IF(Calc!J748&lt;=$C$4,CONCATENATE(TEXT(Calc!H748,"#0.000#")," + ",TEXT(INDEX(Calc!L748:P748,$B$4),"#0.000#")),""),"")</f>
        <v/>
      </c>
      <c r="G748" s="41" t="str">
        <f>IFERROR(IF(Calc!J748&lt;=$C$4,Calc!J748,""),"")</f>
        <v/>
      </c>
      <c r="H748" s="33" t="str">
        <f>IFERROR(IF(Calc!J748&lt;=$D$4,"Nice",""),"")</f>
        <v/>
      </c>
      <c r="J748" s="7" t="str">
        <f>CONCATENATE("[",TEXT(Show!A748,"#.0#"),":",TEXT(Show!B748,"#.0#"),"][",TEXT(Show!E748,"#.0#"),":",TEXT(Show!F748,"#.0#"),"]")</f>
        <v>[:][:]</v>
      </c>
    </row>
    <row r="749" spans="1:10" hidden="1" x14ac:dyDescent="0.25">
      <c r="A749" s="40" t="str">
        <f>IFERROR(IF(Calc!E749&lt;=$C$4,Calc!D749,""),"")</f>
        <v/>
      </c>
      <c r="B749" s="40" t="str">
        <f>IFERROR(IF(Calc!E749&lt;=$C$4,CONCATENATE(TEXT(Calc!C749,"#0.000#")," || ",TEXT(INDEX(Calc!L749:P749,$B$4),"#0.000#")),""),"")</f>
        <v/>
      </c>
      <c r="C749" s="41" t="str">
        <f>IFERROR(IF(Calc!E749&lt;=$C$4,Calc!E749,""),"")</f>
        <v/>
      </c>
      <c r="D749" s="33" t="str">
        <f>IFERROR(IF(Calc!E749&lt;=$D$4,"Nice",""),"")</f>
        <v/>
      </c>
      <c r="E749" s="40" t="str">
        <f>IFERROR(IF(Calc!J749&lt;=$C$4,Calc!I749,""),"")</f>
        <v/>
      </c>
      <c r="F749" s="40" t="str">
        <f>IFERROR(IF(Calc!J749&lt;=$C$4,CONCATENATE(TEXT(Calc!H749,"#0.000#")," + ",TEXT(INDEX(Calc!L749:P749,$B$4),"#0.000#")),""),"")</f>
        <v/>
      </c>
      <c r="G749" s="41" t="str">
        <f>IFERROR(IF(Calc!J749&lt;=$C$4,Calc!J749,""),"")</f>
        <v/>
      </c>
      <c r="H749" s="33" t="str">
        <f>IFERROR(IF(Calc!J749&lt;=$D$4,"Nice",""),"")</f>
        <v/>
      </c>
      <c r="J749" s="7" t="str">
        <f>CONCATENATE("[",TEXT(Show!A749,"#.0#"),":",TEXT(Show!B749,"#.0#"),"][",TEXT(Show!E749,"#.0#"),":",TEXT(Show!F749,"#.0#"),"]")</f>
        <v>[:][:]</v>
      </c>
    </row>
    <row r="750" spans="1:10" hidden="1" x14ac:dyDescent="0.25">
      <c r="A750" s="40" t="str">
        <f>IFERROR(IF(Calc!E750&lt;=$C$4,Calc!D750,""),"")</f>
        <v/>
      </c>
      <c r="B750" s="40" t="str">
        <f>IFERROR(IF(Calc!E750&lt;=$C$4,CONCATENATE(TEXT(Calc!C750,"#0.000#")," || ",TEXT(INDEX(Calc!L750:P750,$B$4),"#0.000#")),""),"")</f>
        <v/>
      </c>
      <c r="C750" s="41" t="str">
        <f>IFERROR(IF(Calc!E750&lt;=$C$4,Calc!E750,""),"")</f>
        <v/>
      </c>
      <c r="D750" s="33" t="str">
        <f>IFERROR(IF(Calc!E750&lt;=$D$4,"Nice",""),"")</f>
        <v/>
      </c>
      <c r="E750" s="40" t="str">
        <f>IFERROR(IF(Calc!J750&lt;=$C$4,Calc!I750,""),"")</f>
        <v/>
      </c>
      <c r="F750" s="40" t="str">
        <f>IFERROR(IF(Calc!J750&lt;=$C$4,CONCATENATE(TEXT(Calc!H750,"#0.000#")," + ",TEXT(INDEX(Calc!L750:P750,$B$4),"#0.000#")),""),"")</f>
        <v/>
      </c>
      <c r="G750" s="41" t="str">
        <f>IFERROR(IF(Calc!J750&lt;=$C$4,Calc!J750,""),"")</f>
        <v/>
      </c>
      <c r="H750" s="33" t="str">
        <f>IFERROR(IF(Calc!J750&lt;=$D$4,"Nice",""),"")</f>
        <v/>
      </c>
      <c r="J750" s="7" t="str">
        <f>CONCATENATE("[",TEXT(Show!A750,"#.0#"),":",TEXT(Show!B750,"#.0#"),"][",TEXT(Show!E750,"#.0#"),":",TEXT(Show!F750,"#.0#"),"]")</f>
        <v>[:][:]</v>
      </c>
    </row>
    <row r="751" spans="1:10" hidden="1" x14ac:dyDescent="0.25">
      <c r="A751" s="40" t="str">
        <f>IFERROR(IF(Calc!E751&lt;=$C$4,Calc!D751,""),"")</f>
        <v/>
      </c>
      <c r="B751" s="40" t="str">
        <f>IFERROR(IF(Calc!E751&lt;=$C$4,CONCATENATE(TEXT(Calc!C751,"#0.000#")," || ",TEXT(INDEX(Calc!L751:P751,$B$4),"#0.000#")),""),"")</f>
        <v/>
      </c>
      <c r="C751" s="41" t="str">
        <f>IFERROR(IF(Calc!E751&lt;=$C$4,Calc!E751,""),"")</f>
        <v/>
      </c>
      <c r="D751" s="33" t="str">
        <f>IFERROR(IF(Calc!E751&lt;=$D$4,"Nice",""),"")</f>
        <v/>
      </c>
      <c r="E751" s="40" t="str">
        <f>IFERROR(IF(Calc!J751&lt;=$C$4,Calc!I751,""),"")</f>
        <v/>
      </c>
      <c r="F751" s="40" t="str">
        <f>IFERROR(IF(Calc!J751&lt;=$C$4,CONCATENATE(TEXT(Calc!H751,"#0.000#")," + ",TEXT(INDEX(Calc!L751:P751,$B$4),"#0.000#")),""),"")</f>
        <v/>
      </c>
      <c r="G751" s="41" t="str">
        <f>IFERROR(IF(Calc!J751&lt;=$C$4,Calc!J751,""),"")</f>
        <v/>
      </c>
      <c r="H751" s="33" t="str">
        <f>IFERROR(IF(Calc!J751&lt;=$D$4,"Nice",""),"")</f>
        <v/>
      </c>
      <c r="J751" s="7" t="str">
        <f>CONCATENATE("[",TEXT(Show!A751,"#.0#"),":",TEXT(Show!B751,"#.0#"),"][",TEXT(Show!E751,"#.0#"),":",TEXT(Show!F751,"#.0#"),"]")</f>
        <v>[:][:]</v>
      </c>
    </row>
    <row r="752" spans="1:10" hidden="1" x14ac:dyDescent="0.25">
      <c r="A752" s="40" t="str">
        <f>IFERROR(IF(Calc!E752&lt;=$C$4,Calc!D752,""),"")</f>
        <v/>
      </c>
      <c r="B752" s="40" t="str">
        <f>IFERROR(IF(Calc!E752&lt;=$C$4,CONCATENATE(TEXT(Calc!C752,"#0.000#")," || ",TEXT(INDEX(Calc!L752:P752,$B$4),"#0.000#")),""),"")</f>
        <v/>
      </c>
      <c r="C752" s="41" t="str">
        <f>IFERROR(IF(Calc!E752&lt;=$C$4,Calc!E752,""),"")</f>
        <v/>
      </c>
      <c r="D752" s="33" t="str">
        <f>IFERROR(IF(Calc!E752&lt;=$D$4,"Nice",""),"")</f>
        <v/>
      </c>
      <c r="E752" s="40" t="str">
        <f>IFERROR(IF(Calc!J752&lt;=$C$4,Calc!I752,""),"")</f>
        <v/>
      </c>
      <c r="F752" s="40" t="str">
        <f>IFERROR(IF(Calc!J752&lt;=$C$4,CONCATENATE(TEXT(Calc!H752,"#0.000#")," + ",TEXT(INDEX(Calc!L752:P752,$B$4),"#0.000#")),""),"")</f>
        <v/>
      </c>
      <c r="G752" s="41" t="str">
        <f>IFERROR(IF(Calc!J752&lt;=$C$4,Calc!J752,""),"")</f>
        <v/>
      </c>
      <c r="H752" s="33" t="str">
        <f>IFERROR(IF(Calc!J752&lt;=$D$4,"Nice",""),"")</f>
        <v/>
      </c>
      <c r="J752" s="7" t="str">
        <f>CONCATENATE("[",TEXT(Show!A752,"#.0#"),":",TEXT(Show!B752,"#.0#"),"][",TEXT(Show!E752,"#.0#"),":",TEXT(Show!F752,"#.0#"),"]")</f>
        <v>[:][:]</v>
      </c>
    </row>
    <row r="753" spans="1:10" hidden="1" x14ac:dyDescent="0.25">
      <c r="A753" s="40" t="str">
        <f>IFERROR(IF(Calc!E753&lt;=$C$4,Calc!D753,""),"")</f>
        <v/>
      </c>
      <c r="B753" s="40" t="str">
        <f>IFERROR(IF(Calc!E753&lt;=$C$4,CONCATENATE(TEXT(Calc!C753,"#0.000#")," || ",TEXT(INDEX(Calc!L753:P753,$B$4),"#0.000#")),""),"")</f>
        <v/>
      </c>
      <c r="C753" s="41" t="str">
        <f>IFERROR(IF(Calc!E753&lt;=$C$4,Calc!E753,""),"")</f>
        <v/>
      </c>
      <c r="D753" s="33" t="str">
        <f>IFERROR(IF(Calc!E753&lt;=$D$4,"Nice",""),"")</f>
        <v/>
      </c>
      <c r="E753" s="40" t="str">
        <f>IFERROR(IF(Calc!J753&lt;=$C$4,Calc!I753,""),"")</f>
        <v/>
      </c>
      <c r="F753" s="40" t="str">
        <f>IFERROR(IF(Calc!J753&lt;=$C$4,CONCATENATE(TEXT(Calc!H753,"#0.000#")," + ",TEXT(INDEX(Calc!L753:P753,$B$4),"#0.000#")),""),"")</f>
        <v/>
      </c>
      <c r="G753" s="41" t="str">
        <f>IFERROR(IF(Calc!J753&lt;=$C$4,Calc!J753,""),"")</f>
        <v/>
      </c>
      <c r="H753" s="33" t="str">
        <f>IFERROR(IF(Calc!J753&lt;=$D$4,"Nice",""),"")</f>
        <v/>
      </c>
      <c r="J753" s="7" t="str">
        <f>CONCATENATE("[",TEXT(Show!A753,"#.0#"),":",TEXT(Show!B753,"#.0#"),"][",TEXT(Show!E753,"#.0#"),":",TEXT(Show!F753,"#.0#"),"]")</f>
        <v>[:][:]</v>
      </c>
    </row>
    <row r="754" spans="1:10" hidden="1" x14ac:dyDescent="0.25">
      <c r="A754" s="40" t="str">
        <f>IFERROR(IF(Calc!E754&lt;=$C$4,Calc!D754,""),"")</f>
        <v/>
      </c>
      <c r="B754" s="40" t="str">
        <f>IFERROR(IF(Calc!E754&lt;=$C$4,CONCATENATE(TEXT(Calc!C754,"#0.000#")," || ",TEXT(INDEX(Calc!L754:P754,$B$4),"#0.000#")),""),"")</f>
        <v/>
      </c>
      <c r="C754" s="41" t="str">
        <f>IFERROR(IF(Calc!E754&lt;=$C$4,Calc!E754,""),"")</f>
        <v/>
      </c>
      <c r="D754" s="33" t="str">
        <f>IFERROR(IF(Calc!E754&lt;=$D$4,"Nice",""),"")</f>
        <v/>
      </c>
      <c r="E754" s="40" t="str">
        <f>IFERROR(IF(Calc!J754&lt;=$C$4,Calc!I754,""),"")</f>
        <v/>
      </c>
      <c r="F754" s="40" t="str">
        <f>IFERROR(IF(Calc!J754&lt;=$C$4,CONCATENATE(TEXT(Calc!H754,"#0.000#")," + ",TEXT(INDEX(Calc!L754:P754,$B$4),"#0.000#")),""),"")</f>
        <v/>
      </c>
      <c r="G754" s="41" t="str">
        <f>IFERROR(IF(Calc!J754&lt;=$C$4,Calc!J754,""),"")</f>
        <v/>
      </c>
      <c r="H754" s="33" t="str">
        <f>IFERROR(IF(Calc!J754&lt;=$D$4,"Nice",""),"")</f>
        <v/>
      </c>
      <c r="J754" s="7" t="str">
        <f>CONCATENATE("[",TEXT(Show!A754,"#.0#"),":",TEXT(Show!B754,"#.0#"),"][",TEXT(Show!E754,"#.0#"),":",TEXT(Show!F754,"#.0#"),"]")</f>
        <v>[:][:]</v>
      </c>
    </row>
    <row r="755" spans="1:10" hidden="1" x14ac:dyDescent="0.25">
      <c r="A755" s="40" t="str">
        <f>IFERROR(IF(Calc!E755&lt;=$C$4,Calc!D755,""),"")</f>
        <v/>
      </c>
      <c r="B755" s="40" t="str">
        <f>IFERROR(IF(Calc!E755&lt;=$C$4,CONCATENATE(TEXT(Calc!C755,"#0.000#")," || ",TEXT(INDEX(Calc!L755:P755,$B$4),"#0.000#")),""),"")</f>
        <v/>
      </c>
      <c r="C755" s="41" t="str">
        <f>IFERROR(IF(Calc!E755&lt;=$C$4,Calc!E755,""),"")</f>
        <v/>
      </c>
      <c r="D755" s="33" t="str">
        <f>IFERROR(IF(Calc!E755&lt;=$D$4,"Nice",""),"")</f>
        <v/>
      </c>
      <c r="E755" s="40" t="str">
        <f>IFERROR(IF(Calc!J755&lt;=$C$4,Calc!I755,""),"")</f>
        <v/>
      </c>
      <c r="F755" s="40" t="str">
        <f>IFERROR(IF(Calc!J755&lt;=$C$4,CONCATENATE(TEXT(Calc!H755,"#0.000#")," + ",TEXT(INDEX(Calc!L755:P755,$B$4),"#0.000#")),""),"")</f>
        <v/>
      </c>
      <c r="G755" s="41" t="str">
        <f>IFERROR(IF(Calc!J755&lt;=$C$4,Calc!J755,""),"")</f>
        <v/>
      </c>
      <c r="H755" s="33" t="str">
        <f>IFERROR(IF(Calc!J755&lt;=$D$4,"Nice",""),"")</f>
        <v/>
      </c>
      <c r="J755" s="7" t="str">
        <f>CONCATENATE("[",TEXT(Show!A755,"#.0#"),":",TEXT(Show!B755,"#.0#"),"][",TEXT(Show!E755,"#.0#"),":",TEXT(Show!F755,"#.0#"),"]")</f>
        <v>[:][:]</v>
      </c>
    </row>
    <row r="756" spans="1:10" hidden="1" x14ac:dyDescent="0.25">
      <c r="A756" s="40" t="str">
        <f>IFERROR(IF(Calc!E756&lt;=$C$4,Calc!D756,""),"")</f>
        <v/>
      </c>
      <c r="B756" s="40" t="str">
        <f>IFERROR(IF(Calc!E756&lt;=$C$4,CONCATENATE(TEXT(Calc!C756,"#0.000#")," || ",TEXT(INDEX(Calc!L756:P756,$B$4),"#0.000#")),""),"")</f>
        <v/>
      </c>
      <c r="C756" s="41" t="str">
        <f>IFERROR(IF(Calc!E756&lt;=$C$4,Calc!E756,""),"")</f>
        <v/>
      </c>
      <c r="D756" s="33" t="str">
        <f>IFERROR(IF(Calc!E756&lt;=$D$4,"Nice",""),"")</f>
        <v/>
      </c>
      <c r="E756" s="40" t="str">
        <f>IFERROR(IF(Calc!J756&lt;=$C$4,Calc!I756,""),"")</f>
        <v/>
      </c>
      <c r="F756" s="40" t="str">
        <f>IFERROR(IF(Calc!J756&lt;=$C$4,CONCATENATE(TEXT(Calc!H756,"#0.000#")," + ",TEXT(INDEX(Calc!L756:P756,$B$4),"#0.000#")),""),"")</f>
        <v/>
      </c>
      <c r="G756" s="41" t="str">
        <f>IFERROR(IF(Calc!J756&lt;=$C$4,Calc!J756,""),"")</f>
        <v/>
      </c>
      <c r="H756" s="33" t="str">
        <f>IFERROR(IF(Calc!J756&lt;=$D$4,"Nice",""),"")</f>
        <v/>
      </c>
      <c r="J756" s="7" t="str">
        <f>CONCATENATE("[",TEXT(Show!A756,"#.0#"),":",TEXT(Show!B756,"#.0#"),"][",TEXT(Show!E756,"#.0#"),":",TEXT(Show!F756,"#.0#"),"]")</f>
        <v>[:][:]</v>
      </c>
    </row>
    <row r="757" spans="1:10" hidden="1" x14ac:dyDescent="0.25">
      <c r="A757" s="40" t="str">
        <f>IFERROR(IF(Calc!E757&lt;=$C$4,Calc!D757,""),"")</f>
        <v/>
      </c>
      <c r="B757" s="40" t="str">
        <f>IFERROR(IF(Calc!E757&lt;=$C$4,CONCATENATE(TEXT(Calc!C757,"#0.000#")," || ",TEXT(INDEX(Calc!L757:P757,$B$4),"#0.000#")),""),"")</f>
        <v/>
      </c>
      <c r="C757" s="41" t="str">
        <f>IFERROR(IF(Calc!E757&lt;=$C$4,Calc!E757,""),"")</f>
        <v/>
      </c>
      <c r="D757" s="33" t="str">
        <f>IFERROR(IF(Calc!E757&lt;=$D$4,"Nice",""),"")</f>
        <v/>
      </c>
      <c r="E757" s="40" t="str">
        <f>IFERROR(IF(Calc!J757&lt;=$C$4,Calc!I757,""),"")</f>
        <v/>
      </c>
      <c r="F757" s="40" t="str">
        <f>IFERROR(IF(Calc!J757&lt;=$C$4,CONCATENATE(TEXT(Calc!H757,"#0.000#")," + ",TEXT(INDEX(Calc!L757:P757,$B$4),"#0.000#")),""),"")</f>
        <v/>
      </c>
      <c r="G757" s="41" t="str">
        <f>IFERROR(IF(Calc!J757&lt;=$C$4,Calc!J757,""),"")</f>
        <v/>
      </c>
      <c r="H757" s="33" t="str">
        <f>IFERROR(IF(Calc!J757&lt;=$D$4,"Nice",""),"")</f>
        <v/>
      </c>
      <c r="J757" s="7" t="str">
        <f>CONCATENATE("[",TEXT(Show!A757,"#.0#"),":",TEXT(Show!B757,"#.0#"),"][",TEXT(Show!E757,"#.0#"),":",TEXT(Show!F757,"#.0#"),"]")</f>
        <v>[:][:]</v>
      </c>
    </row>
    <row r="758" spans="1:10" hidden="1" x14ac:dyDescent="0.25">
      <c r="A758" s="40" t="str">
        <f>IFERROR(IF(Calc!E758&lt;=$C$4,Calc!D758,""),"")</f>
        <v/>
      </c>
      <c r="B758" s="40" t="str">
        <f>IFERROR(IF(Calc!E758&lt;=$C$4,CONCATENATE(TEXT(Calc!C758,"#0.000#")," || ",TEXT(INDEX(Calc!L758:P758,$B$4),"#0.000#")),""),"")</f>
        <v/>
      </c>
      <c r="C758" s="41" t="str">
        <f>IFERROR(IF(Calc!E758&lt;=$C$4,Calc!E758,""),"")</f>
        <v/>
      </c>
      <c r="D758" s="33" t="str">
        <f>IFERROR(IF(Calc!E758&lt;=$D$4,"Nice",""),"")</f>
        <v/>
      </c>
      <c r="E758" s="40" t="str">
        <f>IFERROR(IF(Calc!J758&lt;=$C$4,Calc!I758,""),"")</f>
        <v/>
      </c>
      <c r="F758" s="40" t="str">
        <f>IFERROR(IF(Calc!J758&lt;=$C$4,CONCATENATE(TEXT(Calc!H758,"#0.000#")," + ",TEXT(INDEX(Calc!L758:P758,$B$4),"#0.000#")),""),"")</f>
        <v/>
      </c>
      <c r="G758" s="41" t="str">
        <f>IFERROR(IF(Calc!J758&lt;=$C$4,Calc!J758,""),"")</f>
        <v/>
      </c>
      <c r="H758" s="33" t="str">
        <f>IFERROR(IF(Calc!J758&lt;=$D$4,"Nice",""),"")</f>
        <v/>
      </c>
      <c r="J758" s="7" t="str">
        <f>CONCATENATE("[",TEXT(Show!A758,"#.0#"),":",TEXT(Show!B758,"#.0#"),"][",TEXT(Show!E758,"#.0#"),":",TEXT(Show!F758,"#.0#"),"]")</f>
        <v>[:][:]</v>
      </c>
    </row>
    <row r="759" spans="1:10" hidden="1" x14ac:dyDescent="0.25">
      <c r="A759" s="40" t="str">
        <f>IFERROR(IF(Calc!E759&lt;=$C$4,Calc!D759,""),"")</f>
        <v/>
      </c>
      <c r="B759" s="40" t="str">
        <f>IFERROR(IF(Calc!E759&lt;=$C$4,CONCATENATE(TEXT(Calc!C759,"#0.000#")," || ",TEXT(INDEX(Calc!L759:P759,$B$4),"#0.000#")),""),"")</f>
        <v/>
      </c>
      <c r="C759" s="41" t="str">
        <f>IFERROR(IF(Calc!E759&lt;=$C$4,Calc!E759,""),"")</f>
        <v/>
      </c>
      <c r="D759" s="33" t="str">
        <f>IFERROR(IF(Calc!E759&lt;=$D$4,"Nice",""),"")</f>
        <v/>
      </c>
      <c r="E759" s="40" t="str">
        <f>IFERROR(IF(Calc!J759&lt;=$C$4,Calc!I759,""),"")</f>
        <v/>
      </c>
      <c r="F759" s="40" t="str">
        <f>IFERROR(IF(Calc!J759&lt;=$C$4,CONCATENATE(TEXT(Calc!H759,"#0.000#")," + ",TEXT(INDEX(Calc!L759:P759,$B$4),"#0.000#")),""),"")</f>
        <v/>
      </c>
      <c r="G759" s="41" t="str">
        <f>IFERROR(IF(Calc!J759&lt;=$C$4,Calc!J759,""),"")</f>
        <v/>
      </c>
      <c r="H759" s="33" t="str">
        <f>IFERROR(IF(Calc!J759&lt;=$D$4,"Nice",""),"")</f>
        <v/>
      </c>
      <c r="J759" s="7" t="str">
        <f>CONCATENATE("[",TEXT(Show!A759,"#.0#"),":",TEXT(Show!B759,"#.0#"),"][",TEXT(Show!E759,"#.0#"),":",TEXT(Show!F759,"#.0#"),"]")</f>
        <v>[:][:]</v>
      </c>
    </row>
    <row r="760" spans="1:10" hidden="1" x14ac:dyDescent="0.25">
      <c r="A760" s="40" t="str">
        <f>IFERROR(IF(Calc!E760&lt;=$C$4,Calc!D760,""),"")</f>
        <v/>
      </c>
      <c r="B760" s="40" t="str">
        <f>IFERROR(IF(Calc!E760&lt;=$C$4,CONCATENATE(TEXT(Calc!C760,"#0.000#")," || ",TEXT(INDEX(Calc!L760:P760,$B$4),"#0.000#")),""),"")</f>
        <v/>
      </c>
      <c r="C760" s="41" t="str">
        <f>IFERROR(IF(Calc!E760&lt;=$C$4,Calc!E760,""),"")</f>
        <v/>
      </c>
      <c r="D760" s="33" t="str">
        <f>IFERROR(IF(Calc!E760&lt;=$D$4,"Nice",""),"")</f>
        <v/>
      </c>
      <c r="E760" s="40" t="str">
        <f>IFERROR(IF(Calc!J760&lt;=$C$4,Calc!I760,""),"")</f>
        <v/>
      </c>
      <c r="F760" s="40" t="str">
        <f>IFERROR(IF(Calc!J760&lt;=$C$4,CONCATENATE(TEXT(Calc!H760,"#0.000#")," + ",TEXT(INDEX(Calc!L760:P760,$B$4),"#0.000#")),""),"")</f>
        <v/>
      </c>
      <c r="G760" s="41" t="str">
        <f>IFERROR(IF(Calc!J760&lt;=$C$4,Calc!J760,""),"")</f>
        <v/>
      </c>
      <c r="H760" s="33" t="str">
        <f>IFERROR(IF(Calc!J760&lt;=$D$4,"Nice",""),"")</f>
        <v/>
      </c>
      <c r="J760" s="7" t="str">
        <f>CONCATENATE("[",TEXT(Show!A760,"#.0#"),":",TEXT(Show!B760,"#.0#"),"][",TEXT(Show!E760,"#.0#"),":",TEXT(Show!F760,"#.0#"),"]")</f>
        <v>[:][:]</v>
      </c>
    </row>
    <row r="761" spans="1:10" hidden="1" x14ac:dyDescent="0.25">
      <c r="A761" s="40" t="str">
        <f>IFERROR(IF(Calc!E761&lt;=$C$4,Calc!D761,""),"")</f>
        <v/>
      </c>
      <c r="B761" s="40" t="str">
        <f>IFERROR(IF(Calc!E761&lt;=$C$4,CONCATENATE(TEXT(Calc!C761,"#0.000#")," || ",TEXT(INDEX(Calc!L761:P761,$B$4),"#0.000#")),""),"")</f>
        <v/>
      </c>
      <c r="C761" s="41" t="str">
        <f>IFERROR(IF(Calc!E761&lt;=$C$4,Calc!E761,""),"")</f>
        <v/>
      </c>
      <c r="D761" s="33" t="str">
        <f>IFERROR(IF(Calc!E761&lt;=$D$4,"Nice",""),"")</f>
        <v/>
      </c>
      <c r="E761" s="40" t="str">
        <f>IFERROR(IF(Calc!J761&lt;=$C$4,Calc!I761,""),"")</f>
        <v/>
      </c>
      <c r="F761" s="40" t="str">
        <f>IFERROR(IF(Calc!J761&lt;=$C$4,CONCATENATE(TEXT(Calc!H761,"#0.000#")," + ",TEXT(INDEX(Calc!L761:P761,$B$4),"#0.000#")),""),"")</f>
        <v/>
      </c>
      <c r="G761" s="41" t="str">
        <f>IFERROR(IF(Calc!J761&lt;=$C$4,Calc!J761,""),"")</f>
        <v/>
      </c>
      <c r="H761" s="33" t="str">
        <f>IFERROR(IF(Calc!J761&lt;=$D$4,"Nice",""),"")</f>
        <v/>
      </c>
      <c r="J761" s="7" t="str">
        <f>CONCATENATE("[",TEXT(Show!A761,"#.0#"),":",TEXT(Show!B761,"#.0#"),"][",TEXT(Show!E761,"#.0#"),":",TEXT(Show!F761,"#.0#"),"]")</f>
        <v>[:][:]</v>
      </c>
    </row>
    <row r="762" spans="1:10" hidden="1" x14ac:dyDescent="0.25">
      <c r="A762" s="40" t="str">
        <f>IFERROR(IF(Calc!E762&lt;=$C$4,Calc!D762,""),"")</f>
        <v/>
      </c>
      <c r="B762" s="40" t="str">
        <f>IFERROR(IF(Calc!E762&lt;=$C$4,CONCATENATE(TEXT(Calc!C762,"#0.000#")," || ",TEXT(INDEX(Calc!L762:P762,$B$4),"#0.000#")),""),"")</f>
        <v/>
      </c>
      <c r="C762" s="41" t="str">
        <f>IFERROR(IF(Calc!E762&lt;=$C$4,Calc!E762,""),"")</f>
        <v/>
      </c>
      <c r="D762" s="33" t="str">
        <f>IFERROR(IF(Calc!E762&lt;=$D$4,"Nice",""),"")</f>
        <v/>
      </c>
      <c r="E762" s="40" t="str">
        <f>IFERROR(IF(Calc!J762&lt;=$C$4,Calc!I762,""),"")</f>
        <v/>
      </c>
      <c r="F762" s="40" t="str">
        <f>IFERROR(IF(Calc!J762&lt;=$C$4,CONCATENATE(TEXT(Calc!H762,"#0.000#")," + ",TEXT(INDEX(Calc!L762:P762,$B$4),"#0.000#")),""),"")</f>
        <v/>
      </c>
      <c r="G762" s="41" t="str">
        <f>IFERROR(IF(Calc!J762&lt;=$C$4,Calc!J762,""),"")</f>
        <v/>
      </c>
      <c r="H762" s="33" t="str">
        <f>IFERROR(IF(Calc!J762&lt;=$D$4,"Nice",""),"")</f>
        <v/>
      </c>
      <c r="J762" s="7" t="str">
        <f>CONCATENATE("[",TEXT(Show!A762,"#.0#"),":",TEXT(Show!B762,"#.0#"),"][",TEXT(Show!E762,"#.0#"),":",TEXT(Show!F762,"#.0#"),"]")</f>
        <v>[:][:]</v>
      </c>
    </row>
    <row r="763" spans="1:10" hidden="1" x14ac:dyDescent="0.25">
      <c r="A763" s="40" t="str">
        <f>IFERROR(IF(Calc!E763&lt;=$C$4,Calc!D763,""),"")</f>
        <v/>
      </c>
      <c r="B763" s="40" t="str">
        <f>IFERROR(IF(Calc!E763&lt;=$C$4,CONCATENATE(TEXT(Calc!C763,"#0.000#")," || ",TEXT(INDEX(Calc!L763:P763,$B$4),"#0.000#")),""),"")</f>
        <v/>
      </c>
      <c r="C763" s="41" t="str">
        <f>IFERROR(IF(Calc!E763&lt;=$C$4,Calc!E763,""),"")</f>
        <v/>
      </c>
      <c r="D763" s="33" t="str">
        <f>IFERROR(IF(Calc!E763&lt;=$D$4,"Nice",""),"")</f>
        <v/>
      </c>
      <c r="E763" s="40" t="str">
        <f>IFERROR(IF(Calc!J763&lt;=$C$4,Calc!I763,""),"")</f>
        <v/>
      </c>
      <c r="F763" s="40" t="str">
        <f>IFERROR(IF(Calc!J763&lt;=$C$4,CONCATENATE(TEXT(Calc!H763,"#0.000#")," + ",TEXT(INDEX(Calc!L763:P763,$B$4),"#0.000#")),""),"")</f>
        <v/>
      </c>
      <c r="G763" s="41" t="str">
        <f>IFERROR(IF(Calc!J763&lt;=$C$4,Calc!J763,""),"")</f>
        <v/>
      </c>
      <c r="H763" s="33" t="str">
        <f>IFERROR(IF(Calc!J763&lt;=$D$4,"Nice",""),"")</f>
        <v/>
      </c>
      <c r="J763" s="7" t="str">
        <f>CONCATENATE("[",TEXT(Show!A763,"#.0#"),":",TEXT(Show!B763,"#.0#"),"][",TEXT(Show!E763,"#.0#"),":",TEXT(Show!F763,"#.0#"),"]")</f>
        <v>[:][:]</v>
      </c>
    </row>
    <row r="764" spans="1:10" hidden="1" x14ac:dyDescent="0.25">
      <c r="A764" s="40" t="str">
        <f>IFERROR(IF(Calc!E764&lt;=$C$4,Calc!D764,""),"")</f>
        <v/>
      </c>
      <c r="B764" s="40" t="str">
        <f>IFERROR(IF(Calc!E764&lt;=$C$4,CONCATENATE(TEXT(Calc!C764,"#0.000#")," || ",TEXT(INDEX(Calc!L764:P764,$B$4),"#0.000#")),""),"")</f>
        <v/>
      </c>
      <c r="C764" s="41" t="str">
        <f>IFERROR(IF(Calc!E764&lt;=$C$4,Calc!E764,""),"")</f>
        <v/>
      </c>
      <c r="D764" s="33" t="str">
        <f>IFERROR(IF(Calc!E764&lt;=$D$4,"Nice",""),"")</f>
        <v/>
      </c>
      <c r="E764" s="40" t="str">
        <f>IFERROR(IF(Calc!J764&lt;=$C$4,Calc!I764,""),"")</f>
        <v/>
      </c>
      <c r="F764" s="40" t="str">
        <f>IFERROR(IF(Calc!J764&lt;=$C$4,CONCATENATE(TEXT(Calc!H764,"#0.000#")," + ",TEXT(INDEX(Calc!L764:P764,$B$4),"#0.000#")),""),"")</f>
        <v/>
      </c>
      <c r="G764" s="41" t="str">
        <f>IFERROR(IF(Calc!J764&lt;=$C$4,Calc!J764,""),"")</f>
        <v/>
      </c>
      <c r="H764" s="33" t="str">
        <f>IFERROR(IF(Calc!J764&lt;=$D$4,"Nice",""),"")</f>
        <v/>
      </c>
      <c r="J764" s="7" t="str">
        <f>CONCATENATE("[",TEXT(Show!A764,"#.0#"),":",TEXT(Show!B764,"#.0#"),"][",TEXT(Show!E764,"#.0#"),":",TEXT(Show!F764,"#.0#"),"]")</f>
        <v>[:][:]</v>
      </c>
    </row>
    <row r="765" spans="1:10" hidden="1" x14ac:dyDescent="0.25">
      <c r="A765" s="40" t="str">
        <f>IFERROR(IF(Calc!E765&lt;=$C$4,Calc!D765,""),"")</f>
        <v/>
      </c>
      <c r="B765" s="40" t="str">
        <f>IFERROR(IF(Calc!E765&lt;=$C$4,CONCATENATE(TEXT(Calc!C765,"#0.000#")," || ",TEXT(INDEX(Calc!L765:P765,$B$4),"#0.000#")),""),"")</f>
        <v/>
      </c>
      <c r="C765" s="41" t="str">
        <f>IFERROR(IF(Calc!E765&lt;=$C$4,Calc!E765,""),"")</f>
        <v/>
      </c>
      <c r="D765" s="33" t="str">
        <f>IFERROR(IF(Calc!E765&lt;=$D$4,"Nice",""),"")</f>
        <v/>
      </c>
      <c r="E765" s="40" t="str">
        <f>IFERROR(IF(Calc!J765&lt;=$C$4,Calc!I765,""),"")</f>
        <v/>
      </c>
      <c r="F765" s="40" t="str">
        <f>IFERROR(IF(Calc!J765&lt;=$C$4,CONCATENATE(TEXT(Calc!H765,"#0.000#")," + ",TEXT(INDEX(Calc!L765:P765,$B$4),"#0.000#")),""),"")</f>
        <v/>
      </c>
      <c r="G765" s="41" t="str">
        <f>IFERROR(IF(Calc!J765&lt;=$C$4,Calc!J765,""),"")</f>
        <v/>
      </c>
      <c r="H765" s="33" t="str">
        <f>IFERROR(IF(Calc!J765&lt;=$D$4,"Nice",""),"")</f>
        <v/>
      </c>
      <c r="J765" s="7" t="str">
        <f>CONCATENATE("[",TEXT(Show!A765,"#.0#"),":",TEXT(Show!B765,"#.0#"),"][",TEXT(Show!E765,"#.0#"),":",TEXT(Show!F765,"#.0#"),"]")</f>
        <v>[:][:]</v>
      </c>
    </row>
    <row r="766" spans="1:10" hidden="1" x14ac:dyDescent="0.25">
      <c r="A766" s="40" t="str">
        <f>IFERROR(IF(Calc!E766&lt;=$C$4,Calc!D766,""),"")</f>
        <v/>
      </c>
      <c r="B766" s="40" t="str">
        <f>IFERROR(IF(Calc!E766&lt;=$C$4,CONCATENATE(TEXT(Calc!C766,"#0.000#")," || ",TEXT(INDEX(Calc!L766:P766,$B$4),"#0.000#")),""),"")</f>
        <v/>
      </c>
      <c r="C766" s="41" t="str">
        <f>IFERROR(IF(Calc!E766&lt;=$C$4,Calc!E766,""),"")</f>
        <v/>
      </c>
      <c r="D766" s="33" t="str">
        <f>IFERROR(IF(Calc!E766&lt;=$D$4,"Nice",""),"")</f>
        <v/>
      </c>
      <c r="E766" s="40" t="str">
        <f>IFERROR(IF(Calc!J766&lt;=$C$4,Calc!I766,""),"")</f>
        <v/>
      </c>
      <c r="F766" s="40" t="str">
        <f>IFERROR(IF(Calc!J766&lt;=$C$4,CONCATENATE(TEXT(Calc!H766,"#0.000#")," + ",TEXT(INDEX(Calc!L766:P766,$B$4),"#0.000#")),""),"")</f>
        <v/>
      </c>
      <c r="G766" s="41" t="str">
        <f>IFERROR(IF(Calc!J766&lt;=$C$4,Calc!J766,""),"")</f>
        <v/>
      </c>
      <c r="H766" s="33" t="str">
        <f>IFERROR(IF(Calc!J766&lt;=$D$4,"Nice",""),"")</f>
        <v/>
      </c>
      <c r="J766" s="7" t="str">
        <f>CONCATENATE("[",TEXT(Show!A766,"#.0#"),":",TEXT(Show!B766,"#.0#"),"][",TEXT(Show!E766,"#.0#"),":",TEXT(Show!F766,"#.0#"),"]")</f>
        <v>[:][:]</v>
      </c>
    </row>
    <row r="767" spans="1:10" hidden="1" x14ac:dyDescent="0.25">
      <c r="A767" s="40" t="str">
        <f>IFERROR(IF(Calc!E767&lt;=$C$4,Calc!D767,""),"")</f>
        <v/>
      </c>
      <c r="B767" s="40" t="str">
        <f>IFERROR(IF(Calc!E767&lt;=$C$4,CONCATENATE(TEXT(Calc!C767,"#0.000#")," || ",TEXT(INDEX(Calc!L767:P767,$B$4),"#0.000#")),""),"")</f>
        <v/>
      </c>
      <c r="C767" s="41" t="str">
        <f>IFERROR(IF(Calc!E767&lt;=$C$4,Calc!E767,""),"")</f>
        <v/>
      </c>
      <c r="D767" s="33" t="str">
        <f>IFERROR(IF(Calc!E767&lt;=$D$4,"Nice",""),"")</f>
        <v/>
      </c>
      <c r="E767" s="40" t="str">
        <f>IFERROR(IF(Calc!J767&lt;=$C$4,Calc!I767,""),"")</f>
        <v/>
      </c>
      <c r="F767" s="40" t="str">
        <f>IFERROR(IF(Calc!J767&lt;=$C$4,CONCATENATE(TEXT(Calc!H767,"#0.000#")," + ",TEXT(INDEX(Calc!L767:P767,$B$4),"#0.000#")),""),"")</f>
        <v/>
      </c>
      <c r="G767" s="41" t="str">
        <f>IFERROR(IF(Calc!J767&lt;=$C$4,Calc!J767,""),"")</f>
        <v/>
      </c>
      <c r="H767" s="33" t="str">
        <f>IFERROR(IF(Calc!J767&lt;=$D$4,"Nice",""),"")</f>
        <v/>
      </c>
      <c r="J767" s="7" t="str">
        <f>CONCATENATE("[",TEXT(Show!A767,"#.0#"),":",TEXT(Show!B767,"#.0#"),"][",TEXT(Show!E767,"#.0#"),":",TEXT(Show!F767,"#.0#"),"]")</f>
        <v>[:][:]</v>
      </c>
    </row>
    <row r="768" spans="1:10" hidden="1" x14ac:dyDescent="0.25">
      <c r="A768" s="40" t="str">
        <f>IFERROR(IF(Calc!E768&lt;=$C$4,Calc!D768,""),"")</f>
        <v/>
      </c>
      <c r="B768" s="40" t="str">
        <f>IFERROR(IF(Calc!E768&lt;=$C$4,CONCATENATE(TEXT(Calc!C768,"#0.000#")," || ",TEXT(INDEX(Calc!L768:P768,$B$4),"#0.000#")),""),"")</f>
        <v/>
      </c>
      <c r="C768" s="41" t="str">
        <f>IFERROR(IF(Calc!E768&lt;=$C$4,Calc!E768,""),"")</f>
        <v/>
      </c>
      <c r="D768" s="33" t="str">
        <f>IFERROR(IF(Calc!E768&lt;=$D$4,"Nice",""),"")</f>
        <v/>
      </c>
      <c r="E768" s="40" t="str">
        <f>IFERROR(IF(Calc!J768&lt;=$C$4,Calc!I768,""),"")</f>
        <v/>
      </c>
      <c r="F768" s="40" t="str">
        <f>IFERROR(IF(Calc!J768&lt;=$C$4,CONCATENATE(TEXT(Calc!H768,"#0.000#")," + ",TEXT(INDEX(Calc!L768:P768,$B$4),"#0.000#")),""),"")</f>
        <v/>
      </c>
      <c r="G768" s="41" t="str">
        <f>IFERROR(IF(Calc!J768&lt;=$C$4,Calc!J768,""),"")</f>
        <v/>
      </c>
      <c r="H768" s="33" t="str">
        <f>IFERROR(IF(Calc!J768&lt;=$D$4,"Nice",""),"")</f>
        <v/>
      </c>
      <c r="J768" s="7" t="str">
        <f>CONCATENATE("[",TEXT(Show!A768,"#.0#"),":",TEXT(Show!B768,"#.0#"),"][",TEXT(Show!E768,"#.0#"),":",TEXT(Show!F768,"#.0#"),"]")</f>
        <v>[:][:]</v>
      </c>
    </row>
    <row r="769" spans="1:10" hidden="1" x14ac:dyDescent="0.25">
      <c r="A769" s="40" t="str">
        <f>IFERROR(IF(Calc!E769&lt;=$C$4,Calc!D769,""),"")</f>
        <v/>
      </c>
      <c r="B769" s="40" t="str">
        <f>IFERROR(IF(Calc!E769&lt;=$C$4,CONCATENATE(TEXT(Calc!C769,"#0.000#")," || ",TEXT(INDEX(Calc!L769:P769,$B$4),"#0.000#")),""),"")</f>
        <v/>
      </c>
      <c r="C769" s="41" t="str">
        <f>IFERROR(IF(Calc!E769&lt;=$C$4,Calc!E769,""),"")</f>
        <v/>
      </c>
      <c r="D769" s="33" t="str">
        <f>IFERROR(IF(Calc!E769&lt;=$D$4,"Nice",""),"")</f>
        <v/>
      </c>
      <c r="E769" s="40" t="str">
        <f>IFERROR(IF(Calc!J769&lt;=$C$4,Calc!I769,""),"")</f>
        <v/>
      </c>
      <c r="F769" s="40" t="str">
        <f>IFERROR(IF(Calc!J769&lt;=$C$4,CONCATENATE(TEXT(Calc!H769,"#0.000#")," + ",TEXT(INDEX(Calc!L769:P769,$B$4),"#0.000#")),""),"")</f>
        <v/>
      </c>
      <c r="G769" s="41" t="str">
        <f>IFERROR(IF(Calc!J769&lt;=$C$4,Calc!J769,""),"")</f>
        <v/>
      </c>
      <c r="H769" s="33" t="str">
        <f>IFERROR(IF(Calc!J769&lt;=$D$4,"Nice",""),"")</f>
        <v/>
      </c>
      <c r="J769" s="7" t="str">
        <f>CONCATENATE("[",TEXT(Show!A769,"#.0#"),":",TEXT(Show!B769,"#.0#"),"][",TEXT(Show!E769,"#.0#"),":",TEXT(Show!F769,"#.0#"),"]")</f>
        <v>[:][:]</v>
      </c>
    </row>
    <row r="770" spans="1:10" hidden="1" x14ac:dyDescent="0.25">
      <c r="A770" s="40" t="str">
        <f>IFERROR(IF(Calc!E770&lt;=$C$4,Calc!D770,""),"")</f>
        <v/>
      </c>
      <c r="B770" s="40" t="str">
        <f>IFERROR(IF(Calc!E770&lt;=$C$4,CONCATENATE(TEXT(Calc!C770,"#0.000#")," || ",TEXT(INDEX(Calc!L770:P770,$B$4),"#0.000#")),""),"")</f>
        <v/>
      </c>
      <c r="C770" s="41" t="str">
        <f>IFERROR(IF(Calc!E770&lt;=$C$4,Calc!E770,""),"")</f>
        <v/>
      </c>
      <c r="D770" s="33" t="str">
        <f>IFERROR(IF(Calc!E770&lt;=$D$4,"Nice",""),"")</f>
        <v/>
      </c>
      <c r="E770" s="40" t="str">
        <f>IFERROR(IF(Calc!J770&lt;=$C$4,Calc!I770,""),"")</f>
        <v/>
      </c>
      <c r="F770" s="40" t="str">
        <f>IFERROR(IF(Calc!J770&lt;=$C$4,CONCATENATE(TEXT(Calc!H770,"#0.000#")," + ",TEXT(INDEX(Calc!L770:P770,$B$4),"#0.000#")),""),"")</f>
        <v/>
      </c>
      <c r="G770" s="41" t="str">
        <f>IFERROR(IF(Calc!J770&lt;=$C$4,Calc!J770,""),"")</f>
        <v/>
      </c>
      <c r="H770" s="33" t="str">
        <f>IFERROR(IF(Calc!J770&lt;=$D$4,"Nice",""),"")</f>
        <v/>
      </c>
      <c r="J770" s="7" t="str">
        <f>CONCATENATE("[",TEXT(Show!A770,"#.0#"),":",TEXT(Show!B770,"#.0#"),"][",TEXT(Show!E770,"#.0#"),":",TEXT(Show!F770,"#.0#"),"]")</f>
        <v>[:][:]</v>
      </c>
    </row>
    <row r="771" spans="1:10" hidden="1" x14ac:dyDescent="0.25">
      <c r="A771" s="40" t="str">
        <f>IFERROR(IF(Calc!E771&lt;=$C$4,Calc!D771,""),"")</f>
        <v/>
      </c>
      <c r="B771" s="40" t="str">
        <f>IFERROR(IF(Calc!E771&lt;=$C$4,CONCATENATE(TEXT(Calc!C771,"#0.000#")," || ",TEXT(INDEX(Calc!L771:P771,$B$4),"#0.000#")),""),"")</f>
        <v/>
      </c>
      <c r="C771" s="41" t="str">
        <f>IFERROR(IF(Calc!E771&lt;=$C$4,Calc!E771,""),"")</f>
        <v/>
      </c>
      <c r="D771" s="33" t="str">
        <f>IFERROR(IF(Calc!E771&lt;=$D$4,"Nice",""),"")</f>
        <v/>
      </c>
      <c r="E771" s="40" t="str">
        <f>IFERROR(IF(Calc!J771&lt;=$C$4,Calc!I771,""),"")</f>
        <v/>
      </c>
      <c r="F771" s="40" t="str">
        <f>IFERROR(IF(Calc!J771&lt;=$C$4,CONCATENATE(TEXT(Calc!H771,"#0.000#")," + ",TEXT(INDEX(Calc!L771:P771,$B$4),"#0.000#")),""),"")</f>
        <v/>
      </c>
      <c r="G771" s="41" t="str">
        <f>IFERROR(IF(Calc!J771&lt;=$C$4,Calc!J771,""),"")</f>
        <v/>
      </c>
      <c r="H771" s="33" t="str">
        <f>IFERROR(IF(Calc!J771&lt;=$D$4,"Nice",""),"")</f>
        <v/>
      </c>
      <c r="J771" s="7" t="str">
        <f>CONCATENATE("[",TEXT(Show!A771,"#.0#"),":",TEXT(Show!B771,"#.0#"),"][",TEXT(Show!E771,"#.0#"),":",TEXT(Show!F771,"#.0#"),"]")</f>
        <v>[:][:]</v>
      </c>
    </row>
    <row r="772" spans="1:10" hidden="1" x14ac:dyDescent="0.25">
      <c r="A772" s="40" t="str">
        <f>IFERROR(IF(Calc!E772&lt;=$C$4,Calc!D772,""),"")</f>
        <v/>
      </c>
      <c r="B772" s="40" t="str">
        <f>IFERROR(IF(Calc!E772&lt;=$C$4,CONCATENATE(TEXT(Calc!C772,"#0.000#")," || ",TEXT(INDEX(Calc!L772:P772,$B$4),"#0.000#")),""),"")</f>
        <v/>
      </c>
      <c r="C772" s="41" t="str">
        <f>IFERROR(IF(Calc!E772&lt;=$C$4,Calc!E772,""),"")</f>
        <v/>
      </c>
      <c r="D772" s="33" t="str">
        <f>IFERROR(IF(Calc!E772&lt;=$D$4,"Nice",""),"")</f>
        <v/>
      </c>
      <c r="E772" s="40" t="str">
        <f>IFERROR(IF(Calc!J772&lt;=$C$4,Calc!I772,""),"")</f>
        <v/>
      </c>
      <c r="F772" s="40" t="str">
        <f>IFERROR(IF(Calc!J772&lt;=$C$4,CONCATENATE(TEXT(Calc!H772,"#0.000#")," + ",TEXT(INDEX(Calc!L772:P772,$B$4),"#0.000#")),""),"")</f>
        <v/>
      </c>
      <c r="G772" s="41" t="str">
        <f>IFERROR(IF(Calc!J772&lt;=$C$4,Calc!J772,""),"")</f>
        <v/>
      </c>
      <c r="H772" s="33" t="str">
        <f>IFERROR(IF(Calc!J772&lt;=$D$4,"Nice",""),"")</f>
        <v/>
      </c>
      <c r="J772" s="7" t="str">
        <f>CONCATENATE("[",TEXT(Show!A772,"#.0#"),":",TEXT(Show!B772,"#.0#"),"][",TEXT(Show!E772,"#.0#"),":",TEXT(Show!F772,"#.0#"),"]")</f>
        <v>[:][:]</v>
      </c>
    </row>
    <row r="773" spans="1:10" hidden="1" x14ac:dyDescent="0.25">
      <c r="A773" s="40" t="str">
        <f>IFERROR(IF(Calc!E773&lt;=$C$4,Calc!D773,""),"")</f>
        <v/>
      </c>
      <c r="B773" s="40" t="str">
        <f>IFERROR(IF(Calc!E773&lt;=$C$4,CONCATENATE(TEXT(Calc!C773,"#0.000#")," || ",TEXT(INDEX(Calc!L773:P773,$B$4),"#0.000#")),""),"")</f>
        <v/>
      </c>
      <c r="C773" s="41" t="str">
        <f>IFERROR(IF(Calc!E773&lt;=$C$4,Calc!E773,""),"")</f>
        <v/>
      </c>
      <c r="D773" s="33" t="str">
        <f>IFERROR(IF(Calc!E773&lt;=$D$4,"Nice",""),"")</f>
        <v/>
      </c>
      <c r="E773" s="40" t="str">
        <f>IFERROR(IF(Calc!J773&lt;=$C$4,Calc!I773,""),"")</f>
        <v/>
      </c>
      <c r="F773" s="40" t="str">
        <f>IFERROR(IF(Calc!J773&lt;=$C$4,CONCATENATE(TEXT(Calc!H773,"#0.000#")," + ",TEXT(INDEX(Calc!L773:P773,$B$4),"#0.000#")),""),"")</f>
        <v/>
      </c>
      <c r="G773" s="41" t="str">
        <f>IFERROR(IF(Calc!J773&lt;=$C$4,Calc!J773,""),"")</f>
        <v/>
      </c>
      <c r="H773" s="33" t="str">
        <f>IFERROR(IF(Calc!J773&lt;=$D$4,"Nice",""),"")</f>
        <v/>
      </c>
      <c r="J773" s="7" t="str">
        <f>CONCATENATE("[",TEXT(Show!A773,"#.0#"),":",TEXT(Show!B773,"#.0#"),"][",TEXT(Show!E773,"#.0#"),":",TEXT(Show!F773,"#.0#"),"]")</f>
        <v>[:][:]</v>
      </c>
    </row>
    <row r="774" spans="1:10" s="29" customFormat="1" ht="16.5" hidden="1" thickBot="1" x14ac:dyDescent="0.3">
      <c r="A774" s="57" t="str">
        <f>IFERROR(IF(Calc!E774&lt;=$C$4,Calc!D774,""),"")</f>
        <v/>
      </c>
      <c r="B774" s="57" t="str">
        <f>IFERROR(IF(Calc!E774&lt;=$C$4,CONCATENATE(TEXT(Calc!C774,"#0.000#")," || ",TEXT(INDEX(Calc!L774:P774,$B$4),"#0.000#")),""),"")</f>
        <v/>
      </c>
      <c r="C774" s="58" t="str">
        <f>IFERROR(IF(Calc!E774&lt;=$C$4,Calc!E774,""),"")</f>
        <v/>
      </c>
      <c r="D774" s="59" t="str">
        <f>IFERROR(IF(Calc!E774&lt;=$D$4,"Nice",""),"")</f>
        <v/>
      </c>
      <c r="E774" s="57" t="str">
        <f>IFERROR(IF(Calc!J774&lt;=$C$4,Calc!I774,""),"")</f>
        <v/>
      </c>
      <c r="F774" s="57" t="str">
        <f>IFERROR(IF(Calc!J774&lt;=$C$4,CONCATENATE(TEXT(Calc!H774,"#0.000#")," + ",TEXT(INDEX(Calc!L774:P774,$B$4),"#0.000#")),""),"")</f>
        <v/>
      </c>
      <c r="G774" s="58" t="str">
        <f>IFERROR(IF(Calc!J774&lt;=$C$4,Calc!J774,""),"")</f>
        <v/>
      </c>
      <c r="H774" s="59" t="str">
        <f>IFERROR(IF(Calc!J774&lt;=$D$4,"Nice",""),"")</f>
        <v/>
      </c>
      <c r="J774" s="60" t="str">
        <f>CONCATENATE("[",TEXT(Show!A774,"#.0#"),":",TEXT(Show!B774,"#.0#"),"][",TEXT(Show!E774,"#.0#"),":",TEXT(Show!F774,"#.0#"),"]")</f>
        <v>[:][:]</v>
      </c>
    </row>
    <row r="775" spans="1:10" s="34" customFormat="1" ht="16.5" hidden="1" thickTop="1" x14ac:dyDescent="0.25">
      <c r="A775" s="54"/>
      <c r="B775" s="54"/>
      <c r="C775" s="55"/>
      <c r="D775" s="33"/>
      <c r="E775" s="54"/>
      <c r="F775" s="56"/>
      <c r="G775" s="55"/>
      <c r="H775" s="33"/>
      <c r="J775" s="7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9E0FC-4160-4CE4-9985-EA3F3EB03225}">
  <sheetPr codeName="Sheet4"/>
  <dimension ref="B2"/>
  <sheetViews>
    <sheetView workbookViewId="0">
      <selection activeCell="L17" sqref="L17"/>
    </sheetView>
  </sheetViews>
  <sheetFormatPr defaultRowHeight="15" x14ac:dyDescent="0.25"/>
  <sheetData>
    <row r="2" spans="2:2" x14ac:dyDescent="0.25">
      <c r="B2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774"/>
  <sheetViews>
    <sheetView workbookViewId="0">
      <pane ySplit="1" topLeftCell="A74" activePane="bottomLeft" state="frozen"/>
      <selection pane="bottomLeft" activeCell="A105" sqref="A105:XFD105"/>
    </sheetView>
  </sheetViews>
  <sheetFormatPr defaultRowHeight="15" x14ac:dyDescent="0.25"/>
  <cols>
    <col min="1" max="1" width="14.28515625" style="45" customWidth="1"/>
    <col min="2" max="2" width="10.5703125" style="45" customWidth="1"/>
    <col min="3" max="3" width="13.85546875" style="45" customWidth="1"/>
    <col min="4" max="4" width="14.5703125" style="45" customWidth="1"/>
    <col min="5" max="5" width="12.7109375" style="45" customWidth="1"/>
    <col min="6" max="6" width="15" style="46" customWidth="1"/>
    <col min="7" max="7" width="11.42578125" style="46" customWidth="1"/>
    <col min="8" max="8" width="12.140625" style="46" customWidth="1"/>
    <col min="9" max="9" width="12" style="46" customWidth="1"/>
    <col min="10" max="10" width="12.85546875" style="46" customWidth="1"/>
    <col min="11" max="11" width="16.7109375" style="45" customWidth="1"/>
    <col min="12" max="12" width="13.5703125" style="46" customWidth="1"/>
    <col min="13" max="13" width="13.42578125" style="46" customWidth="1"/>
    <col min="14" max="14" width="13.7109375" style="46" customWidth="1"/>
    <col min="15" max="15" width="13.42578125" style="46" customWidth="1"/>
    <col min="16" max="16" width="12.140625" style="46" customWidth="1"/>
    <col min="17" max="17" width="6" style="45" bestFit="1" customWidth="1"/>
    <col min="18" max="18" width="17.140625" style="45" customWidth="1"/>
    <col min="19" max="19" width="6" bestFit="1" customWidth="1"/>
  </cols>
  <sheetData>
    <row r="1" spans="1:18" s="44" customFormat="1" ht="15.75" thickBot="1" x14ac:dyDescent="0.3">
      <c r="A1" s="42" t="s">
        <v>6</v>
      </c>
      <c r="B1" s="42" t="s">
        <v>10</v>
      </c>
      <c r="C1" s="42" t="s">
        <v>7</v>
      </c>
      <c r="D1" s="42" t="s">
        <v>9</v>
      </c>
      <c r="E1" s="42" t="s">
        <v>8</v>
      </c>
      <c r="F1" s="53" t="s">
        <v>6</v>
      </c>
      <c r="G1" s="53" t="s">
        <v>10</v>
      </c>
      <c r="H1" s="53" t="s">
        <v>7</v>
      </c>
      <c r="I1" s="53" t="s">
        <v>9</v>
      </c>
      <c r="J1" s="53" t="s">
        <v>8</v>
      </c>
      <c r="K1" s="42" t="str">
        <f>CONCATENATE("To(",INDEX(Calc!L1:P1,Show!B4),")")</f>
        <v>To(E24, Select=3)</v>
      </c>
      <c r="L1" s="53" t="s">
        <v>1</v>
      </c>
      <c r="M1" s="53" t="s">
        <v>2</v>
      </c>
      <c r="N1" s="53" t="s">
        <v>3</v>
      </c>
      <c r="O1" s="53" t="s">
        <v>4</v>
      </c>
      <c r="P1" s="53" t="s">
        <v>5</v>
      </c>
      <c r="Q1" s="42"/>
      <c r="R1" s="42" t="s">
        <v>17</v>
      </c>
    </row>
    <row r="2" spans="1:18" ht="15.75" thickTop="1" x14ac:dyDescent="0.25"/>
    <row r="5" spans="1:18" s="43" customFormat="1" ht="15.75" thickBot="1" x14ac:dyDescent="0.3">
      <c r="A5" s="47"/>
      <c r="B5" s="47"/>
      <c r="C5" s="47"/>
      <c r="D5" s="47"/>
      <c r="E5" s="47"/>
      <c r="F5" s="48"/>
      <c r="G5" s="48"/>
      <c r="H5" s="48"/>
      <c r="I5" s="48"/>
      <c r="J5" s="48"/>
      <c r="K5" s="52">
        <v>0</v>
      </c>
      <c r="L5" s="48"/>
      <c r="M5" s="48"/>
      <c r="N5" s="48"/>
      <c r="O5" s="48"/>
      <c r="P5" s="48"/>
      <c r="Q5" s="47"/>
      <c r="R5" s="47"/>
    </row>
    <row r="6" spans="1:18" ht="15.75" thickTop="1" x14ac:dyDescent="0.25">
      <c r="A6" s="45">
        <f>1/((1/Show!$A$4)-(1/Calc!K6))</f>
        <v>-0.10025062656641605</v>
      </c>
      <c r="B6" s="45" t="e">
        <f>MATCH(A6*Calc!$R$12,Calc!$K$1:$K$774,1)</f>
        <v>#N/A</v>
      </c>
      <c r="C6" s="45" t="e">
        <f>INDEX(Calc!$K$1:$K$774,B6)</f>
        <v>#N/A</v>
      </c>
      <c r="D6" s="45" t="e">
        <f>1/(1/C6+1/Calc!K6)</f>
        <v>#N/A</v>
      </c>
      <c r="E6" s="45" t="e">
        <f>ABS(Show!$A$4-D6)/(Show!$A$4/100)</f>
        <v>#N/A</v>
      </c>
      <c r="F6" s="46">
        <f>Show!$A$4-Calc!L6</f>
        <v>39.9</v>
      </c>
      <c r="G6" s="46">
        <f>MATCH(F6*Calc!$R$12,Calc!$K$1:$K$774,1)</f>
        <v>256</v>
      </c>
      <c r="H6" s="46">
        <f>INDEX(Calc!$K$1:$K$774,G6)</f>
        <v>38.299999999999997</v>
      </c>
      <c r="I6" s="46">
        <f>H6+Calc!K6</f>
        <v>38.4</v>
      </c>
      <c r="J6" s="46">
        <f>ABS(Show!$A$4-I6)/(Show!$A$4/100)</f>
        <v>4.0000000000000036</v>
      </c>
      <c r="K6" s="45">
        <f>INDEX(Calc!L6:P6,Show!$B$4)</f>
        <v>0.1</v>
      </c>
      <c r="L6" s="50">
        <v>0.1</v>
      </c>
      <c r="M6" s="50">
        <f>L6</f>
        <v>0.1</v>
      </c>
      <c r="N6" s="50">
        <f>L6</f>
        <v>0.1</v>
      </c>
      <c r="O6" s="50">
        <v>0.1</v>
      </c>
      <c r="P6" s="50">
        <f>O6</f>
        <v>0.1</v>
      </c>
      <c r="Q6" s="45">
        <v>96</v>
      </c>
      <c r="R6" s="45">
        <f>EXP((LN(10)/Q6)/2)</f>
        <v>1.0120648306218294</v>
      </c>
    </row>
    <row r="7" spans="1:18" x14ac:dyDescent="0.25">
      <c r="A7" s="45">
        <f>1/((1/Show!$A$4)-(1/Calc!K7))</f>
        <v>-0.10025062656641605</v>
      </c>
      <c r="B7" s="45" t="e">
        <f>MATCH(A7*Calc!$R$12,Calc!$K$1:$K$774,1)</f>
        <v>#N/A</v>
      </c>
      <c r="C7" s="45" t="e">
        <f>INDEX(Calc!$K$1:$K$774,B7)</f>
        <v>#N/A</v>
      </c>
      <c r="D7" s="45" t="e">
        <f>1/(1/C7+1/Calc!K7)</f>
        <v>#N/A</v>
      </c>
      <c r="E7" s="45" t="e">
        <f>ABS(Show!$A$4-D7)/(Show!$A$4/100)</f>
        <v>#N/A</v>
      </c>
      <c r="F7" s="46">
        <f>Show!$A$4-Calc!L7</f>
        <v>39.898000000000003</v>
      </c>
      <c r="G7" s="46">
        <f>MATCH(F7*Calc!$R$12,Calc!$K$1:$K$774,1)</f>
        <v>256</v>
      </c>
      <c r="H7" s="46">
        <f>INDEX(Calc!$K$1:$K$774,G7)</f>
        <v>38.299999999999997</v>
      </c>
      <c r="I7" s="46">
        <f>H7+Calc!K7</f>
        <v>38.4</v>
      </c>
      <c r="J7" s="46">
        <f>ABS(Show!$A$4-I7)/(Show!$A$4/100)</f>
        <v>4.0000000000000036</v>
      </c>
      <c r="K7" s="45">
        <f>INDEX(Calc!L7:P7,Show!$B$4)</f>
        <v>0.1</v>
      </c>
      <c r="L7" s="50">
        <v>0.10199999999999999</v>
      </c>
      <c r="M7" s="50">
        <f>L6</f>
        <v>0.1</v>
      </c>
      <c r="N7" s="50">
        <f>L6</f>
        <v>0.1</v>
      </c>
      <c r="O7" s="50">
        <v>0.1</v>
      </c>
      <c r="P7" s="50">
        <f>O6</f>
        <v>0.1</v>
      </c>
      <c r="Q7" s="45">
        <v>48</v>
      </c>
      <c r="R7" s="45">
        <f>EXP((LN(10)/Q7)/2)</f>
        <v>1.0242752213815922</v>
      </c>
    </row>
    <row r="8" spans="1:18" x14ac:dyDescent="0.25">
      <c r="A8" s="45">
        <f>1/((1/Show!$A$4)-(1/Calc!K8))</f>
        <v>-0.10025062656641605</v>
      </c>
      <c r="B8" s="45" t="e">
        <f>MATCH(A8*Calc!$R$12,Calc!$K$1:$K$774,1)</f>
        <v>#N/A</v>
      </c>
      <c r="C8" s="45" t="e">
        <f>INDEX(Calc!$K$1:$K$774,B8)</f>
        <v>#N/A</v>
      </c>
      <c r="D8" s="45" t="e">
        <f>1/(1/C8+1/Calc!K8)</f>
        <v>#N/A</v>
      </c>
      <c r="E8" s="45" t="e">
        <f>ABS(Show!$A$4-D8)/(Show!$A$4/100)</f>
        <v>#N/A</v>
      </c>
      <c r="F8" s="46">
        <f>Show!$A$4-Calc!L8</f>
        <v>39.895000000000003</v>
      </c>
      <c r="G8" s="46">
        <f>MATCH(F8*Calc!$R$12,Calc!$K$1:$K$774,1)</f>
        <v>256</v>
      </c>
      <c r="H8" s="46">
        <f>INDEX(Calc!$K$1:$K$774,G8)</f>
        <v>38.299999999999997</v>
      </c>
      <c r="I8" s="46">
        <f>H8+Calc!K8</f>
        <v>38.4</v>
      </c>
      <c r="J8" s="46">
        <f>ABS(Show!$A$4-I8)/(Show!$A$4/100)</f>
        <v>4.0000000000000036</v>
      </c>
      <c r="K8" s="45">
        <f>INDEX(Calc!L8:P8,Show!$B$4)</f>
        <v>0.1</v>
      </c>
      <c r="L8" s="50">
        <v>0.105</v>
      </c>
      <c r="M8" s="50">
        <f>L8</f>
        <v>0.105</v>
      </c>
      <c r="N8" s="50">
        <f>L6</f>
        <v>0.1</v>
      </c>
      <c r="O8" s="50">
        <v>0.1</v>
      </c>
      <c r="P8" s="50">
        <f>O6</f>
        <v>0.1</v>
      </c>
      <c r="Q8" s="45">
        <v>24</v>
      </c>
      <c r="R8" s="45">
        <f>EXP((LN(10)/Q8)/2)</f>
        <v>1.0491397291363098</v>
      </c>
    </row>
    <row r="9" spans="1:18" x14ac:dyDescent="0.25">
      <c r="A9" s="45">
        <f>1/((1/Show!$A$4)-(1/Calc!K9))</f>
        <v>-0.11030333416896465</v>
      </c>
      <c r="B9" s="45" t="e">
        <f>MATCH(A9*Calc!$R$12,Calc!$K$1:$K$774,1)</f>
        <v>#N/A</v>
      </c>
      <c r="C9" s="45" t="e">
        <f>INDEX(Calc!$K$1:$K$774,B9)</f>
        <v>#N/A</v>
      </c>
      <c r="D9" s="45" t="e">
        <f>1/(1/C9+1/Calc!K9)</f>
        <v>#N/A</v>
      </c>
      <c r="E9" s="45" t="e">
        <f>ABS(Show!$A$4-D9)/(Show!$A$4/100)</f>
        <v>#N/A</v>
      </c>
      <c r="F9" s="46">
        <f>Show!$A$4-Calc!L9</f>
        <v>39.893000000000001</v>
      </c>
      <c r="G9" s="46">
        <f>MATCH(F9*Calc!$R$12,Calc!$K$1:$K$774,1)</f>
        <v>256</v>
      </c>
      <c r="H9" s="46">
        <f>INDEX(Calc!$K$1:$K$774,G9)</f>
        <v>38.299999999999997</v>
      </c>
      <c r="I9" s="46">
        <f>H9+Calc!K9</f>
        <v>38.409999999999997</v>
      </c>
      <c r="J9" s="46">
        <f>ABS(Show!$A$4-I9)/(Show!$A$4/100)</f>
        <v>3.9750000000000085</v>
      </c>
      <c r="K9" s="45">
        <f>INDEX(Calc!L9:P9,Show!$B$4)</f>
        <v>0.11</v>
      </c>
      <c r="L9" s="50">
        <v>0.107</v>
      </c>
      <c r="M9" s="50">
        <f>L8</f>
        <v>0.105</v>
      </c>
      <c r="N9" s="50">
        <f>L10</f>
        <v>0.11</v>
      </c>
      <c r="O9" s="50">
        <v>0.1</v>
      </c>
      <c r="P9" s="50">
        <f>O6</f>
        <v>0.1</v>
      </c>
      <c r="Q9" s="45">
        <v>12</v>
      </c>
      <c r="R9" s="45">
        <f>EXP((LN(10)/Q9)/2)</f>
        <v>1.1006941712522096</v>
      </c>
    </row>
    <row r="10" spans="1:18" x14ac:dyDescent="0.25">
      <c r="A10" s="45">
        <f>1/((1/Show!$A$4)-(1/Calc!K10))</f>
        <v>-0.11030333416896465</v>
      </c>
      <c r="B10" s="45" t="e">
        <f>MATCH(A10*Calc!$R$12,Calc!$K$1:$K$774,1)</f>
        <v>#N/A</v>
      </c>
      <c r="C10" s="45" t="e">
        <f>INDEX(Calc!$K$1:$K$774,B10)</f>
        <v>#N/A</v>
      </c>
      <c r="D10" s="45" t="e">
        <f>1/(1/C10+1/Calc!K10)</f>
        <v>#N/A</v>
      </c>
      <c r="E10" s="45" t="e">
        <f>ABS(Show!$A$4-D10)/(Show!$A$4/100)</f>
        <v>#N/A</v>
      </c>
      <c r="F10" s="46">
        <f>Show!$A$4-Calc!L10</f>
        <v>39.89</v>
      </c>
      <c r="G10" s="46">
        <f>MATCH(F10*Calc!$R$12,Calc!$K$1:$K$774,1)</f>
        <v>256</v>
      </c>
      <c r="H10" s="46">
        <f>INDEX(Calc!$K$1:$K$774,G10)</f>
        <v>38.299999999999997</v>
      </c>
      <c r="I10" s="46">
        <f>H10+Calc!K10</f>
        <v>38.409999999999997</v>
      </c>
      <c r="J10" s="46">
        <f>ABS(Show!$A$4-I10)/(Show!$A$4/100)</f>
        <v>3.9750000000000085</v>
      </c>
      <c r="K10" s="45">
        <f>INDEX(Calc!L10:P10,Show!$B$4)</f>
        <v>0.11</v>
      </c>
      <c r="L10" s="50">
        <v>0.11</v>
      </c>
      <c r="M10" s="50">
        <f>L10</f>
        <v>0.11</v>
      </c>
      <c r="N10" s="50">
        <f>L10</f>
        <v>0.11</v>
      </c>
      <c r="O10" s="50">
        <v>0.12</v>
      </c>
      <c r="P10" s="50">
        <f>O6</f>
        <v>0.1</v>
      </c>
      <c r="Q10" s="45">
        <v>6</v>
      </c>
      <c r="R10" s="45">
        <f>EXP((LN(10)/Q10)/2)</f>
        <v>1.2115276586285886</v>
      </c>
    </row>
    <row r="11" spans="1:18" x14ac:dyDescent="0.25">
      <c r="A11" s="45">
        <f>1/((1/Show!$A$4)-(1/Calc!K11))</f>
        <v>-0.11030333416896465</v>
      </c>
      <c r="B11" s="45" t="e">
        <f>MATCH(A11*Calc!$R$12,Calc!$K$1:$K$774,1)</f>
        <v>#N/A</v>
      </c>
      <c r="C11" s="45" t="e">
        <f>INDEX(Calc!$K$1:$K$774,B11)</f>
        <v>#N/A</v>
      </c>
      <c r="D11" s="45" t="e">
        <f>1/(1/C11+1/Calc!K11)</f>
        <v>#N/A</v>
      </c>
      <c r="E11" s="45" t="e">
        <f>ABS(Show!$A$4-D11)/(Show!$A$4/100)</f>
        <v>#N/A</v>
      </c>
      <c r="F11" s="46">
        <f>Show!$A$4-Calc!L11</f>
        <v>39.887</v>
      </c>
      <c r="G11" s="46">
        <f>MATCH(F11*Calc!$R$12,Calc!$K$1:$K$774,1)</f>
        <v>256</v>
      </c>
      <c r="H11" s="46">
        <f>INDEX(Calc!$K$1:$K$774,G11)</f>
        <v>38.299999999999997</v>
      </c>
      <c r="I11" s="46">
        <f>H11+Calc!K11</f>
        <v>38.409999999999997</v>
      </c>
      <c r="J11" s="46">
        <f>ABS(Show!$A$4-I11)/(Show!$A$4/100)</f>
        <v>3.9750000000000085</v>
      </c>
      <c r="K11" s="45">
        <f>INDEX(Calc!L11:P11,Show!$B$4)</f>
        <v>0.11</v>
      </c>
      <c r="L11" s="50">
        <v>0.113</v>
      </c>
      <c r="M11" s="50">
        <f>L10</f>
        <v>0.11</v>
      </c>
      <c r="N11" s="50">
        <f>L10</f>
        <v>0.11</v>
      </c>
      <c r="O11" s="50">
        <v>0.12</v>
      </c>
      <c r="P11" s="50">
        <f>O6</f>
        <v>0.1</v>
      </c>
    </row>
    <row r="12" spans="1:18" x14ac:dyDescent="0.25">
      <c r="A12" s="45">
        <f>1/((1/Show!$A$4)-(1/Calc!K12))</f>
        <v>-0.11030333416896465</v>
      </c>
      <c r="B12" s="45" t="e">
        <f>MATCH(A12*Calc!$R$12,Calc!$K$1:$K$774,1)</f>
        <v>#N/A</v>
      </c>
      <c r="C12" s="45" t="e">
        <f>INDEX(Calc!$K$1:$K$774,B12)</f>
        <v>#N/A</v>
      </c>
      <c r="D12" s="45" t="e">
        <f>1/(1/C12+1/Calc!K12)</f>
        <v>#N/A</v>
      </c>
      <c r="E12" s="45" t="e">
        <f>ABS(Show!$A$4-D12)/(Show!$A$4/100)</f>
        <v>#N/A</v>
      </c>
      <c r="F12" s="46">
        <f>Show!$A$4-Calc!L12</f>
        <v>39.884999999999998</v>
      </c>
      <c r="G12" s="46">
        <f>MATCH(F12*Calc!$R$12,Calc!$K$1:$K$774,1)</f>
        <v>256</v>
      </c>
      <c r="H12" s="46">
        <f>INDEX(Calc!$K$1:$K$774,G12)</f>
        <v>38.299999999999997</v>
      </c>
      <c r="I12" s="46">
        <f>H12+Calc!K12</f>
        <v>38.409999999999997</v>
      </c>
      <c r="J12" s="46">
        <f>ABS(Show!$A$4-I12)/(Show!$A$4/100)</f>
        <v>3.9750000000000085</v>
      </c>
      <c r="K12" s="45">
        <f>INDEX(Calc!L12:P12,Show!$B$4)</f>
        <v>0.11</v>
      </c>
      <c r="L12" s="50">
        <v>0.115</v>
      </c>
      <c r="M12" s="50">
        <f>L12</f>
        <v>0.115</v>
      </c>
      <c r="N12" s="50">
        <f>L10</f>
        <v>0.11</v>
      </c>
      <c r="O12" s="50">
        <v>0.12</v>
      </c>
      <c r="P12" s="50">
        <f>O6</f>
        <v>0.1</v>
      </c>
      <c r="R12" s="49">
        <f>INDEX($R$6:$R$10,Show!$B$4)</f>
        <v>1.0491397291363098</v>
      </c>
    </row>
    <row r="13" spans="1:18" x14ac:dyDescent="0.25">
      <c r="A13" s="45">
        <f>1/((1/Show!$A$4)-(1/Calc!K13))</f>
        <v>-0.12136713558514506</v>
      </c>
      <c r="B13" s="45" t="e">
        <f>MATCH(A13*Calc!$R$12,Calc!$K$1:$K$774,1)</f>
        <v>#N/A</v>
      </c>
      <c r="C13" s="45" t="e">
        <f>INDEX(Calc!$K$1:$K$774,B13)</f>
        <v>#N/A</v>
      </c>
      <c r="D13" s="45" t="e">
        <f>1/(1/C13+1/Calc!K13)</f>
        <v>#N/A</v>
      </c>
      <c r="E13" s="45" t="e">
        <f>ABS(Show!$A$4-D13)/(Show!$A$4/100)</f>
        <v>#N/A</v>
      </c>
      <c r="F13" s="46">
        <f>Show!$A$4-Calc!L13</f>
        <v>39.881999999999998</v>
      </c>
      <c r="G13" s="46">
        <f>MATCH(F13*Calc!$R$12,Calc!$K$1:$K$774,1)</f>
        <v>256</v>
      </c>
      <c r="H13" s="46">
        <f>INDEX(Calc!$K$1:$K$774,G13)</f>
        <v>38.299999999999997</v>
      </c>
      <c r="I13" s="46">
        <f>H13+Calc!K13</f>
        <v>38.420999999999999</v>
      </c>
      <c r="J13" s="46">
        <f>ABS(Show!$A$4-I13)/(Show!$A$4/100)</f>
        <v>3.9475000000000016</v>
      </c>
      <c r="K13" s="45">
        <f>INDEX(Calc!L13:P13,Show!$B$4)</f>
        <v>0.121</v>
      </c>
      <c r="L13" s="50">
        <v>0.11800000000000001</v>
      </c>
      <c r="M13" s="50">
        <f>L12</f>
        <v>0.115</v>
      </c>
      <c r="N13" s="50">
        <f>L14</f>
        <v>0.121</v>
      </c>
      <c r="O13" s="50">
        <v>0.12</v>
      </c>
      <c r="P13" s="50">
        <f>O6</f>
        <v>0.1</v>
      </c>
    </row>
    <row r="14" spans="1:18" x14ac:dyDescent="0.25">
      <c r="A14" s="45">
        <f>1/((1/Show!$A$4)-(1/Calc!K14))</f>
        <v>-0.12136713558514506</v>
      </c>
      <c r="B14" s="45" t="e">
        <f>MATCH(A14*Calc!$R$12,Calc!$K$1:$K$774,1)</f>
        <v>#N/A</v>
      </c>
      <c r="C14" s="45" t="e">
        <f>INDEX(Calc!$K$1:$K$774,B14)</f>
        <v>#N/A</v>
      </c>
      <c r="D14" s="45" t="e">
        <f>1/(1/C14+1/Calc!K14)</f>
        <v>#N/A</v>
      </c>
      <c r="E14" s="45" t="e">
        <f>ABS(Show!$A$4-D14)/(Show!$A$4/100)</f>
        <v>#N/A</v>
      </c>
      <c r="F14" s="46">
        <f>Show!$A$4-Calc!L14</f>
        <v>39.878999999999998</v>
      </c>
      <c r="G14" s="46">
        <f>MATCH(F14*Calc!$R$12,Calc!$K$1:$K$774,1)</f>
        <v>256</v>
      </c>
      <c r="H14" s="46">
        <f>INDEX(Calc!$K$1:$K$774,G14)</f>
        <v>38.299999999999997</v>
      </c>
      <c r="I14" s="46">
        <f>H14+Calc!K14</f>
        <v>38.420999999999999</v>
      </c>
      <c r="J14" s="46">
        <f>ABS(Show!$A$4-I14)/(Show!$A$4/100)</f>
        <v>3.9475000000000016</v>
      </c>
      <c r="K14" s="45">
        <f>INDEX(Calc!L14:P14,Show!$B$4)</f>
        <v>0.121</v>
      </c>
      <c r="L14" s="50">
        <v>0.121</v>
      </c>
      <c r="M14" s="50">
        <f>L14</f>
        <v>0.121</v>
      </c>
      <c r="N14" s="50">
        <f>L14</f>
        <v>0.121</v>
      </c>
      <c r="O14" s="50">
        <v>0.12</v>
      </c>
      <c r="P14" s="50">
        <f>O18</f>
        <v>0.15</v>
      </c>
    </row>
    <row r="15" spans="1:18" x14ac:dyDescent="0.25">
      <c r="A15" s="45">
        <f>1/((1/Show!$A$4)-(1/Calc!K15))</f>
        <v>-0.12136713558514506</v>
      </c>
      <c r="B15" s="45" t="e">
        <f>MATCH(A15*Calc!$R$12,Calc!$K$1:$K$774,1)</f>
        <v>#N/A</v>
      </c>
      <c r="C15" s="45" t="e">
        <f>INDEX(Calc!$K$1:$K$774,B15)</f>
        <v>#N/A</v>
      </c>
      <c r="D15" s="45" t="e">
        <f>1/(1/C15+1/Calc!K15)</f>
        <v>#N/A</v>
      </c>
      <c r="E15" s="45" t="e">
        <f>ABS(Show!$A$4-D15)/(Show!$A$4/100)</f>
        <v>#N/A</v>
      </c>
      <c r="F15" s="46">
        <f>Show!$A$4-Calc!L15</f>
        <v>39.875999999999998</v>
      </c>
      <c r="G15" s="46">
        <f>MATCH(F15*Calc!$R$12,Calc!$K$1:$K$774,1)</f>
        <v>256</v>
      </c>
      <c r="H15" s="46">
        <f>INDEX(Calc!$K$1:$K$774,G15)</f>
        <v>38.299999999999997</v>
      </c>
      <c r="I15" s="46">
        <f>H15+Calc!K15</f>
        <v>38.420999999999999</v>
      </c>
      <c r="J15" s="46">
        <f>ABS(Show!$A$4-I15)/(Show!$A$4/100)</f>
        <v>3.9475000000000016</v>
      </c>
      <c r="K15" s="45">
        <f>INDEX(Calc!L15:P15,Show!$B$4)</f>
        <v>0.121</v>
      </c>
      <c r="L15" s="50">
        <v>0.124</v>
      </c>
      <c r="M15" s="50">
        <f>L14</f>
        <v>0.121</v>
      </c>
      <c r="N15" s="50">
        <f>L14</f>
        <v>0.121</v>
      </c>
      <c r="O15" s="50">
        <v>0.12</v>
      </c>
      <c r="P15" s="50">
        <f>O18</f>
        <v>0.15</v>
      </c>
    </row>
    <row r="16" spans="1:18" x14ac:dyDescent="0.25">
      <c r="A16" s="45">
        <f>1/((1/Show!$A$4)-(1/Calc!K16))</f>
        <v>-0.12136713558514506</v>
      </c>
      <c r="B16" s="45" t="e">
        <f>MATCH(A16*Calc!$R$12,Calc!$K$1:$K$774,1)</f>
        <v>#N/A</v>
      </c>
      <c r="C16" s="45" t="e">
        <f>INDEX(Calc!$K$1:$K$774,B16)</f>
        <v>#N/A</v>
      </c>
      <c r="D16" s="45" t="e">
        <f>1/(1/C16+1/Calc!K16)</f>
        <v>#N/A</v>
      </c>
      <c r="E16" s="45" t="e">
        <f>ABS(Show!$A$4-D16)/(Show!$A$4/100)</f>
        <v>#N/A</v>
      </c>
      <c r="F16" s="46">
        <f>Show!$A$4-Calc!L16</f>
        <v>39.872999999999998</v>
      </c>
      <c r="G16" s="46">
        <f>MATCH(F16*Calc!$R$12,Calc!$K$1:$K$774,1)</f>
        <v>256</v>
      </c>
      <c r="H16" s="46">
        <f>INDEX(Calc!$K$1:$K$774,G16)</f>
        <v>38.299999999999997</v>
      </c>
      <c r="I16" s="46">
        <f>H16+Calc!K16</f>
        <v>38.420999999999999</v>
      </c>
      <c r="J16" s="46">
        <f>ABS(Show!$A$4-I16)/(Show!$A$4/100)</f>
        <v>3.9475000000000016</v>
      </c>
      <c r="K16" s="45">
        <f>INDEX(Calc!L16:P16,Show!$B$4)</f>
        <v>0.121</v>
      </c>
      <c r="L16" s="50">
        <v>0.127</v>
      </c>
      <c r="M16" s="50">
        <f>L16</f>
        <v>0.127</v>
      </c>
      <c r="N16" s="50">
        <f>L14</f>
        <v>0.121</v>
      </c>
      <c r="O16" s="50">
        <v>0.12</v>
      </c>
      <c r="P16" s="50">
        <f>O18</f>
        <v>0.15</v>
      </c>
    </row>
    <row r="17" spans="1:16" x14ac:dyDescent="0.25">
      <c r="A17" s="45">
        <f>1/((1/Show!$A$4)-(1/Calc!K17))</f>
        <v>-0.13344370030350916</v>
      </c>
      <c r="B17" s="45" t="e">
        <f>MATCH(A17*Calc!$R$12,Calc!$K$1:$K$774,1)</f>
        <v>#N/A</v>
      </c>
      <c r="C17" s="45" t="e">
        <f>INDEX(Calc!$K$1:$K$774,B17)</f>
        <v>#N/A</v>
      </c>
      <c r="D17" s="45" t="e">
        <f>1/(1/C17+1/Calc!K17)</f>
        <v>#N/A</v>
      </c>
      <c r="E17" s="45" t="e">
        <f>ABS(Show!$A$4-D17)/(Show!$A$4/100)</f>
        <v>#N/A</v>
      </c>
      <c r="F17" s="46">
        <f>Show!$A$4-Calc!L17</f>
        <v>39.869999999999997</v>
      </c>
      <c r="G17" s="46">
        <f>MATCH(F17*Calc!$R$12,Calc!$K$1:$K$774,1)</f>
        <v>256</v>
      </c>
      <c r="H17" s="46">
        <f>INDEX(Calc!$K$1:$K$774,G17)</f>
        <v>38.299999999999997</v>
      </c>
      <c r="I17" s="46">
        <f>H17+Calc!K17</f>
        <v>38.433</v>
      </c>
      <c r="J17" s="46">
        <f>ABS(Show!$A$4-I17)/(Show!$A$4/100)</f>
        <v>3.9175000000000004</v>
      </c>
      <c r="K17" s="45">
        <f>INDEX(Calc!L17:P17,Show!$B$4)</f>
        <v>0.13300000000000001</v>
      </c>
      <c r="L17" s="50">
        <v>0.13</v>
      </c>
      <c r="M17" s="50">
        <f>L16</f>
        <v>0.127</v>
      </c>
      <c r="N17" s="50">
        <f>L18</f>
        <v>0.13300000000000001</v>
      </c>
      <c r="O17" s="50">
        <v>0.12</v>
      </c>
      <c r="P17" s="50">
        <f>O18</f>
        <v>0.15</v>
      </c>
    </row>
    <row r="18" spans="1:16" x14ac:dyDescent="0.25">
      <c r="A18" s="45">
        <f>1/((1/Show!$A$4)-(1/Calc!K18))</f>
        <v>-0.13344370030350916</v>
      </c>
      <c r="B18" s="45" t="e">
        <f>MATCH(A18*Calc!$R$12,Calc!$K$1:$K$774,1)</f>
        <v>#N/A</v>
      </c>
      <c r="C18" s="45" t="e">
        <f>INDEX(Calc!$K$1:$K$774,B18)</f>
        <v>#N/A</v>
      </c>
      <c r="D18" s="45" t="e">
        <f>1/(1/C18+1/Calc!K18)</f>
        <v>#N/A</v>
      </c>
      <c r="E18" s="45" t="e">
        <f>ABS(Show!$A$4-D18)/(Show!$A$4/100)</f>
        <v>#N/A</v>
      </c>
      <c r="F18" s="46">
        <f>Show!$A$4-Calc!L18</f>
        <v>39.866999999999997</v>
      </c>
      <c r="G18" s="46">
        <f>MATCH(F18*Calc!$R$12,Calc!$K$1:$K$774,1)</f>
        <v>256</v>
      </c>
      <c r="H18" s="46">
        <f>INDEX(Calc!$K$1:$K$774,G18)</f>
        <v>38.299999999999997</v>
      </c>
      <c r="I18" s="46">
        <f>H18+Calc!K18</f>
        <v>38.433</v>
      </c>
      <c r="J18" s="46">
        <f>ABS(Show!$A$4-I18)/(Show!$A$4/100)</f>
        <v>3.9175000000000004</v>
      </c>
      <c r="K18" s="45">
        <f>INDEX(Calc!L18:P18,Show!$B$4)</f>
        <v>0.13300000000000001</v>
      </c>
      <c r="L18" s="50">
        <v>0.13300000000000001</v>
      </c>
      <c r="M18" s="50">
        <f>L18</f>
        <v>0.13300000000000001</v>
      </c>
      <c r="N18" s="50">
        <f>L18</f>
        <v>0.13300000000000001</v>
      </c>
      <c r="O18" s="50">
        <v>0.15</v>
      </c>
      <c r="P18" s="50">
        <f>O18</f>
        <v>0.15</v>
      </c>
    </row>
    <row r="19" spans="1:16" x14ac:dyDescent="0.25">
      <c r="A19" s="45">
        <f>1/((1/Show!$A$4)-(1/Calc!K19))</f>
        <v>-0.13344370030350916</v>
      </c>
      <c r="B19" s="45" t="e">
        <f>MATCH(A19*Calc!$R$12,Calc!$K$1:$K$774,1)</f>
        <v>#N/A</v>
      </c>
      <c r="C19" s="45" t="e">
        <f>INDEX(Calc!$K$1:$K$774,B19)</f>
        <v>#N/A</v>
      </c>
      <c r="D19" s="45" t="e">
        <f>1/(1/C19+1/Calc!K19)</f>
        <v>#N/A</v>
      </c>
      <c r="E19" s="45" t="e">
        <f>ABS(Show!$A$4-D19)/(Show!$A$4/100)</f>
        <v>#N/A</v>
      </c>
      <c r="F19" s="46">
        <f>Show!$A$4-Calc!L19</f>
        <v>39.863</v>
      </c>
      <c r="G19" s="46">
        <f>MATCH(F19*Calc!$R$12,Calc!$K$1:$K$774,1)</f>
        <v>256</v>
      </c>
      <c r="H19" s="46">
        <f>INDEX(Calc!$K$1:$K$774,G19)</f>
        <v>38.299999999999997</v>
      </c>
      <c r="I19" s="46">
        <f>H19+Calc!K19</f>
        <v>38.433</v>
      </c>
      <c r="J19" s="46">
        <f>ABS(Show!$A$4-I19)/(Show!$A$4/100)</f>
        <v>3.9175000000000004</v>
      </c>
      <c r="K19" s="45">
        <f>INDEX(Calc!L19:P19,Show!$B$4)</f>
        <v>0.13300000000000001</v>
      </c>
      <c r="L19" s="50">
        <v>0.13699999999999998</v>
      </c>
      <c r="M19" s="50">
        <f>L18</f>
        <v>0.13300000000000001</v>
      </c>
      <c r="N19" s="50">
        <f>L18</f>
        <v>0.13300000000000001</v>
      </c>
      <c r="O19" s="50">
        <v>0.15</v>
      </c>
      <c r="P19" s="50">
        <f>O18</f>
        <v>0.15</v>
      </c>
    </row>
    <row r="20" spans="1:16" x14ac:dyDescent="0.25">
      <c r="A20" s="45">
        <f>1/((1/Show!$A$4)-(1/Calc!K20))</f>
        <v>-0.13344370030350916</v>
      </c>
      <c r="B20" s="45" t="e">
        <f>MATCH(A20*Calc!$R$12,Calc!$K$1:$K$774,1)</f>
        <v>#N/A</v>
      </c>
      <c r="C20" s="45" t="e">
        <f>INDEX(Calc!$K$1:$K$774,B20)</f>
        <v>#N/A</v>
      </c>
      <c r="D20" s="45" t="e">
        <f>1/(1/C20+1/Calc!K20)</f>
        <v>#N/A</v>
      </c>
      <c r="E20" s="45" t="e">
        <f>ABS(Show!$A$4-D20)/(Show!$A$4/100)</f>
        <v>#N/A</v>
      </c>
      <c r="F20" s="46">
        <f>Show!$A$4-Calc!L20</f>
        <v>39.86</v>
      </c>
      <c r="G20" s="46">
        <f>MATCH(F20*Calc!$R$12,Calc!$K$1:$K$774,1)</f>
        <v>256</v>
      </c>
      <c r="H20" s="46">
        <f>INDEX(Calc!$K$1:$K$774,G20)</f>
        <v>38.299999999999997</v>
      </c>
      <c r="I20" s="46">
        <f>H20+Calc!K20</f>
        <v>38.433</v>
      </c>
      <c r="J20" s="46">
        <f>ABS(Show!$A$4-I20)/(Show!$A$4/100)</f>
        <v>3.9175000000000004</v>
      </c>
      <c r="K20" s="45">
        <f>INDEX(Calc!L20:P20,Show!$B$4)</f>
        <v>0.13300000000000001</v>
      </c>
      <c r="L20" s="50">
        <v>0.14000000000000001</v>
      </c>
      <c r="M20" s="50">
        <f>L20</f>
        <v>0.14000000000000001</v>
      </c>
      <c r="N20" s="50">
        <f>L18</f>
        <v>0.13300000000000001</v>
      </c>
      <c r="O20" s="50">
        <v>0.15</v>
      </c>
      <c r="P20" s="50">
        <f>O18</f>
        <v>0.15</v>
      </c>
    </row>
    <row r="21" spans="1:16" x14ac:dyDescent="0.25">
      <c r="A21" s="45">
        <f>1/((1/Show!$A$4)-(1/Calc!K21))</f>
        <v>-0.14754221764986325</v>
      </c>
      <c r="B21" s="45" t="e">
        <f>MATCH(A21*Calc!$R$12,Calc!$K$1:$K$774,1)</f>
        <v>#N/A</v>
      </c>
      <c r="C21" s="45" t="e">
        <f>INDEX(Calc!$K$1:$K$774,B21)</f>
        <v>#N/A</v>
      </c>
      <c r="D21" s="45" t="e">
        <f>1/(1/C21+1/Calc!K21)</f>
        <v>#N/A</v>
      </c>
      <c r="E21" s="45" t="e">
        <f>ABS(Show!$A$4-D21)/(Show!$A$4/100)</f>
        <v>#N/A</v>
      </c>
      <c r="F21" s="46">
        <f>Show!$A$4-Calc!L21</f>
        <v>39.856999999999999</v>
      </c>
      <c r="G21" s="46">
        <f>MATCH(F21*Calc!$R$12,Calc!$K$1:$K$774,1)</f>
        <v>256</v>
      </c>
      <c r="H21" s="46">
        <f>INDEX(Calc!$K$1:$K$774,G21)</f>
        <v>38.299999999999997</v>
      </c>
      <c r="I21" s="46">
        <f>H21+Calc!K21</f>
        <v>38.446999999999996</v>
      </c>
      <c r="J21" s="46">
        <f>ABS(Show!$A$4-I21)/(Show!$A$4/100)</f>
        <v>3.8825000000000109</v>
      </c>
      <c r="K21" s="45">
        <f>INDEX(Calc!L21:P21,Show!$B$4)</f>
        <v>0.14699999999999999</v>
      </c>
      <c r="L21" s="50">
        <v>0.14300000000000002</v>
      </c>
      <c r="M21" s="50">
        <f>L20</f>
        <v>0.14000000000000001</v>
      </c>
      <c r="N21" s="50">
        <f>L22</f>
        <v>0.14699999999999999</v>
      </c>
      <c r="O21" s="50">
        <v>0.15</v>
      </c>
      <c r="P21" s="50">
        <f>O18</f>
        <v>0.15</v>
      </c>
    </row>
    <row r="22" spans="1:16" x14ac:dyDescent="0.25">
      <c r="A22" s="45">
        <f>1/((1/Show!$A$4)-(1/Calc!K22))</f>
        <v>-0.14754221764986325</v>
      </c>
      <c r="B22" s="45" t="e">
        <f>MATCH(A22*Calc!$R$12,Calc!$K$1:$K$774,1)</f>
        <v>#N/A</v>
      </c>
      <c r="C22" s="45" t="e">
        <f>INDEX(Calc!$K$1:$K$774,B22)</f>
        <v>#N/A</v>
      </c>
      <c r="D22" s="45" t="e">
        <f>1/(1/C22+1/Calc!K22)</f>
        <v>#N/A</v>
      </c>
      <c r="E22" s="45" t="e">
        <f>ABS(Show!$A$4-D22)/(Show!$A$4/100)</f>
        <v>#N/A</v>
      </c>
      <c r="F22" s="46">
        <f>Show!$A$4-Calc!L22</f>
        <v>39.853000000000002</v>
      </c>
      <c r="G22" s="46">
        <f>MATCH(F22*Calc!$R$12,Calc!$K$1:$K$774,1)</f>
        <v>256</v>
      </c>
      <c r="H22" s="46">
        <f>INDEX(Calc!$K$1:$K$774,G22)</f>
        <v>38.299999999999997</v>
      </c>
      <c r="I22" s="46">
        <f>H22+Calc!K22</f>
        <v>38.446999999999996</v>
      </c>
      <c r="J22" s="46">
        <f>ABS(Show!$A$4-I22)/(Show!$A$4/100)</f>
        <v>3.8825000000000109</v>
      </c>
      <c r="K22" s="45">
        <f>INDEX(Calc!L22:P22,Show!$B$4)</f>
        <v>0.14699999999999999</v>
      </c>
      <c r="L22" s="50">
        <v>0.14699999999999999</v>
      </c>
      <c r="M22" s="50">
        <f>L22</f>
        <v>0.14699999999999999</v>
      </c>
      <c r="N22" s="50">
        <f>L22</f>
        <v>0.14699999999999999</v>
      </c>
      <c r="O22" s="50">
        <v>0.15</v>
      </c>
      <c r="P22" s="50">
        <f>O18</f>
        <v>0.15</v>
      </c>
    </row>
    <row r="23" spans="1:16" x14ac:dyDescent="0.25">
      <c r="A23" s="45">
        <f>1/((1/Show!$A$4)-(1/Calc!K23))</f>
        <v>-0.14754221764986325</v>
      </c>
      <c r="B23" s="45" t="e">
        <f>MATCH(A23*Calc!$R$12,Calc!$K$1:$K$774,1)</f>
        <v>#N/A</v>
      </c>
      <c r="C23" s="45" t="e">
        <f>INDEX(Calc!$K$1:$K$774,B23)</f>
        <v>#N/A</v>
      </c>
      <c r="D23" s="45" t="e">
        <f>1/(1/C23+1/Calc!K23)</f>
        <v>#N/A</v>
      </c>
      <c r="E23" s="45" t="e">
        <f>ABS(Show!$A$4-D23)/(Show!$A$4/100)</f>
        <v>#N/A</v>
      </c>
      <c r="F23" s="46">
        <f>Show!$A$4-Calc!L23</f>
        <v>39.85</v>
      </c>
      <c r="G23" s="46">
        <f>MATCH(F23*Calc!$R$12,Calc!$K$1:$K$774,1)</f>
        <v>256</v>
      </c>
      <c r="H23" s="46">
        <f>INDEX(Calc!$K$1:$K$774,G23)</f>
        <v>38.299999999999997</v>
      </c>
      <c r="I23" s="46">
        <f>H23+Calc!K23</f>
        <v>38.446999999999996</v>
      </c>
      <c r="J23" s="46">
        <f>ABS(Show!$A$4-I23)/(Show!$A$4/100)</f>
        <v>3.8825000000000109</v>
      </c>
      <c r="K23" s="45">
        <f>INDEX(Calc!L23:P23,Show!$B$4)</f>
        <v>0.14699999999999999</v>
      </c>
      <c r="L23" s="50">
        <v>0.15</v>
      </c>
      <c r="M23" s="50">
        <f>L22</f>
        <v>0.14699999999999999</v>
      </c>
      <c r="N23" s="50">
        <f>L22</f>
        <v>0.14699999999999999</v>
      </c>
      <c r="O23" s="50">
        <v>0.15</v>
      </c>
      <c r="P23" s="50">
        <f>O18</f>
        <v>0.15</v>
      </c>
    </row>
    <row r="24" spans="1:16" x14ac:dyDescent="0.25">
      <c r="A24" s="45">
        <f>1/((1/Show!$A$4)-(1/Calc!K24))</f>
        <v>-0.14754221764986325</v>
      </c>
      <c r="B24" s="45" t="e">
        <f>MATCH(A24*Calc!$R$12,Calc!$K$1:$K$774,1)</f>
        <v>#N/A</v>
      </c>
      <c r="C24" s="45" t="e">
        <f>INDEX(Calc!$K$1:$K$774,B24)</f>
        <v>#N/A</v>
      </c>
      <c r="D24" s="45" t="e">
        <f>1/(1/C24+1/Calc!K24)</f>
        <v>#N/A</v>
      </c>
      <c r="E24" s="45" t="e">
        <f>ABS(Show!$A$4-D24)/(Show!$A$4/100)</f>
        <v>#N/A</v>
      </c>
      <c r="F24" s="46">
        <f>Show!$A$4-Calc!L24</f>
        <v>39.845999999999997</v>
      </c>
      <c r="G24" s="46">
        <f>MATCH(F24*Calc!$R$12,Calc!$K$1:$K$774,1)</f>
        <v>256</v>
      </c>
      <c r="H24" s="46">
        <f>INDEX(Calc!$K$1:$K$774,G24)</f>
        <v>38.299999999999997</v>
      </c>
      <c r="I24" s="46">
        <f>H24+Calc!K24</f>
        <v>38.446999999999996</v>
      </c>
      <c r="J24" s="46">
        <f>ABS(Show!$A$4-I24)/(Show!$A$4/100)</f>
        <v>3.8825000000000109</v>
      </c>
      <c r="K24" s="45">
        <f>INDEX(Calc!L24:P24,Show!$B$4)</f>
        <v>0.14699999999999999</v>
      </c>
      <c r="L24" s="50">
        <v>0.154</v>
      </c>
      <c r="M24" s="50">
        <f>L24</f>
        <v>0.154</v>
      </c>
      <c r="N24" s="50">
        <f>L22</f>
        <v>0.14699999999999999</v>
      </c>
      <c r="O24" s="50">
        <v>0.15</v>
      </c>
      <c r="P24" s="50">
        <f>O18</f>
        <v>0.15</v>
      </c>
    </row>
    <row r="25" spans="1:16" x14ac:dyDescent="0.25">
      <c r="A25" s="45">
        <f>1/((1/Show!$A$4)-(1/Calc!K25))</f>
        <v>-0.1626587680104423</v>
      </c>
      <c r="B25" s="45" t="e">
        <f>MATCH(A25*Calc!$R$12,Calc!$K$1:$K$774,1)</f>
        <v>#N/A</v>
      </c>
      <c r="C25" s="45" t="e">
        <f>INDEX(Calc!$K$1:$K$774,B25)</f>
        <v>#N/A</v>
      </c>
      <c r="D25" s="45" t="e">
        <f>1/(1/C25+1/Calc!K25)</f>
        <v>#N/A</v>
      </c>
      <c r="E25" s="45" t="e">
        <f>ABS(Show!$A$4-D25)/(Show!$A$4/100)</f>
        <v>#N/A</v>
      </c>
      <c r="F25" s="46">
        <f>Show!$A$4-Calc!L25</f>
        <v>39.841999999999999</v>
      </c>
      <c r="G25" s="46">
        <f>MATCH(F25*Calc!$R$12,Calc!$K$1:$K$774,1)</f>
        <v>256</v>
      </c>
      <c r="H25" s="46">
        <f>INDEX(Calc!$K$1:$K$774,G25)</f>
        <v>38.299999999999997</v>
      </c>
      <c r="I25" s="46">
        <f>H25+Calc!K25</f>
        <v>38.461999999999996</v>
      </c>
      <c r="J25" s="46">
        <f>ABS(Show!$A$4-I25)/(Show!$A$4/100)</f>
        <v>3.8450000000000095</v>
      </c>
      <c r="K25" s="45">
        <f>INDEX(Calc!L25:P25,Show!$B$4)</f>
        <v>0.16200000000000001</v>
      </c>
      <c r="L25" s="50">
        <v>0.158</v>
      </c>
      <c r="M25" s="50">
        <f>L24</f>
        <v>0.154</v>
      </c>
      <c r="N25" s="50">
        <f>L26</f>
        <v>0.16200000000000001</v>
      </c>
      <c r="O25" s="50">
        <v>0.15</v>
      </c>
      <c r="P25" s="50">
        <f>O18</f>
        <v>0.15</v>
      </c>
    </row>
    <row r="26" spans="1:16" x14ac:dyDescent="0.25">
      <c r="A26" s="45">
        <f>1/((1/Show!$A$4)-(1/Calc!K26))</f>
        <v>-0.1626587680104423</v>
      </c>
      <c r="B26" s="45" t="e">
        <f>MATCH(A26*Calc!$R$12,Calc!$K$1:$K$774,1)</f>
        <v>#N/A</v>
      </c>
      <c r="C26" s="45" t="e">
        <f>INDEX(Calc!$K$1:$K$774,B26)</f>
        <v>#N/A</v>
      </c>
      <c r="D26" s="45" t="e">
        <f>1/(1/C26+1/Calc!K26)</f>
        <v>#N/A</v>
      </c>
      <c r="E26" s="45" t="e">
        <f>ABS(Show!$A$4-D26)/(Show!$A$4/100)</f>
        <v>#N/A</v>
      </c>
      <c r="F26" s="46">
        <f>Show!$A$4-Calc!L26</f>
        <v>39.838000000000001</v>
      </c>
      <c r="G26" s="46">
        <f>MATCH(F26*Calc!$R$12,Calc!$K$1:$K$774,1)</f>
        <v>256</v>
      </c>
      <c r="H26" s="46">
        <f>INDEX(Calc!$K$1:$K$774,G26)</f>
        <v>38.299999999999997</v>
      </c>
      <c r="I26" s="46">
        <f>H26+Calc!K26</f>
        <v>38.461999999999996</v>
      </c>
      <c r="J26" s="46">
        <f>ABS(Show!$A$4-I26)/(Show!$A$4/100)</f>
        <v>3.8450000000000095</v>
      </c>
      <c r="K26" s="45">
        <f>INDEX(Calc!L26:P26,Show!$B$4)</f>
        <v>0.16200000000000001</v>
      </c>
      <c r="L26" s="50">
        <v>0.16200000000000001</v>
      </c>
      <c r="M26" s="50">
        <f>L26</f>
        <v>0.16200000000000001</v>
      </c>
      <c r="N26" s="50">
        <f>L26</f>
        <v>0.16200000000000001</v>
      </c>
      <c r="O26" s="50">
        <v>0.18</v>
      </c>
      <c r="P26" s="50">
        <f>O18</f>
        <v>0.15</v>
      </c>
    </row>
    <row r="27" spans="1:16" x14ac:dyDescent="0.25">
      <c r="A27" s="45">
        <f>1/((1/Show!$A$4)-(1/Calc!K27))</f>
        <v>-0.1626587680104423</v>
      </c>
      <c r="B27" s="45" t="e">
        <f>MATCH(A27*Calc!$R$12,Calc!$K$1:$K$774,1)</f>
        <v>#N/A</v>
      </c>
      <c r="C27" s="45" t="e">
        <f>INDEX(Calc!$K$1:$K$774,B27)</f>
        <v>#N/A</v>
      </c>
      <c r="D27" s="45" t="e">
        <f>1/(1/C27+1/Calc!K27)</f>
        <v>#N/A</v>
      </c>
      <c r="E27" s="45" t="e">
        <f>ABS(Show!$A$4-D27)/(Show!$A$4/100)</f>
        <v>#N/A</v>
      </c>
      <c r="F27" s="46">
        <f>Show!$A$4-Calc!L27</f>
        <v>39.835000000000001</v>
      </c>
      <c r="G27" s="46">
        <f>MATCH(F27*Calc!$R$12,Calc!$K$1:$K$774,1)</f>
        <v>256</v>
      </c>
      <c r="H27" s="46">
        <f>INDEX(Calc!$K$1:$K$774,G27)</f>
        <v>38.299999999999997</v>
      </c>
      <c r="I27" s="46">
        <f>H27+Calc!K27</f>
        <v>38.461999999999996</v>
      </c>
      <c r="J27" s="46">
        <f>ABS(Show!$A$4-I27)/(Show!$A$4/100)</f>
        <v>3.8450000000000095</v>
      </c>
      <c r="K27" s="45">
        <f>INDEX(Calc!L27:P27,Show!$B$4)</f>
        <v>0.16200000000000001</v>
      </c>
      <c r="L27" s="50">
        <v>0.16500000000000001</v>
      </c>
      <c r="M27" s="50">
        <f>L26</f>
        <v>0.16200000000000001</v>
      </c>
      <c r="N27" s="50">
        <f>L26</f>
        <v>0.16200000000000001</v>
      </c>
      <c r="O27" s="50">
        <v>0.18</v>
      </c>
      <c r="P27" s="50">
        <f>O18</f>
        <v>0.15</v>
      </c>
    </row>
    <row r="28" spans="1:16" x14ac:dyDescent="0.25">
      <c r="A28" s="45">
        <f>1/((1/Show!$A$4)-(1/Calc!K28))</f>
        <v>-0.1626587680104423</v>
      </c>
      <c r="B28" s="45" t="e">
        <f>MATCH(A28*Calc!$R$12,Calc!$K$1:$K$774,1)</f>
        <v>#N/A</v>
      </c>
      <c r="C28" s="45" t="e">
        <f>INDEX(Calc!$K$1:$K$774,B28)</f>
        <v>#N/A</v>
      </c>
      <c r="D28" s="45" t="e">
        <f>1/(1/C28+1/Calc!K28)</f>
        <v>#N/A</v>
      </c>
      <c r="E28" s="45" t="e">
        <f>ABS(Show!$A$4-D28)/(Show!$A$4/100)</f>
        <v>#N/A</v>
      </c>
      <c r="F28" s="46">
        <f>Show!$A$4-Calc!L28</f>
        <v>39.831000000000003</v>
      </c>
      <c r="G28" s="46">
        <f>MATCH(F28*Calc!$R$12,Calc!$K$1:$K$774,1)</f>
        <v>256</v>
      </c>
      <c r="H28" s="46">
        <f>INDEX(Calc!$K$1:$K$774,G28)</f>
        <v>38.299999999999997</v>
      </c>
      <c r="I28" s="46">
        <f>H28+Calc!K28</f>
        <v>38.461999999999996</v>
      </c>
      <c r="J28" s="46">
        <f>ABS(Show!$A$4-I28)/(Show!$A$4/100)</f>
        <v>3.8450000000000095</v>
      </c>
      <c r="K28" s="45">
        <f>INDEX(Calc!L28:P28,Show!$B$4)</f>
        <v>0.16200000000000001</v>
      </c>
      <c r="L28" s="50">
        <v>0.16899999999999998</v>
      </c>
      <c r="M28" s="50">
        <f>L28</f>
        <v>0.16899999999999998</v>
      </c>
      <c r="N28" s="50">
        <f>L26</f>
        <v>0.16200000000000001</v>
      </c>
      <c r="O28" s="50">
        <v>0.18</v>
      </c>
      <c r="P28" s="50">
        <f>O18</f>
        <v>0.15</v>
      </c>
    </row>
    <row r="29" spans="1:16" x14ac:dyDescent="0.25">
      <c r="A29" s="45">
        <f>1/((1/Show!$A$4)-(1/Calc!K29))</f>
        <v>-0.17879564060067302</v>
      </c>
      <c r="B29" s="45" t="e">
        <f>MATCH(A29*Calc!$R$12,Calc!$K$1:$K$774,1)</f>
        <v>#N/A</v>
      </c>
      <c r="C29" s="45" t="e">
        <f>INDEX(Calc!$K$1:$K$774,B29)</f>
        <v>#N/A</v>
      </c>
      <c r="D29" s="45" t="e">
        <f>1/(1/C29+1/Calc!K29)</f>
        <v>#N/A</v>
      </c>
      <c r="E29" s="45" t="e">
        <f>ABS(Show!$A$4-D29)/(Show!$A$4/100)</f>
        <v>#N/A</v>
      </c>
      <c r="F29" s="46">
        <f>Show!$A$4-Calc!L29</f>
        <v>39.826000000000001</v>
      </c>
      <c r="G29" s="46">
        <f>MATCH(F29*Calc!$R$12,Calc!$K$1:$K$774,1)</f>
        <v>256</v>
      </c>
      <c r="H29" s="46">
        <f>INDEX(Calc!$K$1:$K$774,G29)</f>
        <v>38.299999999999997</v>
      </c>
      <c r="I29" s="46">
        <f>H29+Calc!K29</f>
        <v>38.477999999999994</v>
      </c>
      <c r="J29" s="46">
        <f>ABS(Show!$A$4-I29)/(Show!$A$4/100)</f>
        <v>3.8050000000000139</v>
      </c>
      <c r="K29" s="45">
        <f>INDEX(Calc!L29:P29,Show!$B$4)</f>
        <v>0.17800000000000002</v>
      </c>
      <c r="L29" s="50">
        <v>0.17399999999999999</v>
      </c>
      <c r="M29" s="50">
        <f>L28</f>
        <v>0.16899999999999998</v>
      </c>
      <c r="N29" s="50">
        <f>L30</f>
        <v>0.17800000000000002</v>
      </c>
      <c r="O29" s="50">
        <v>0.18</v>
      </c>
      <c r="P29" s="50">
        <f>O18</f>
        <v>0.15</v>
      </c>
    </row>
    <row r="30" spans="1:16" x14ac:dyDescent="0.25">
      <c r="A30" s="45">
        <f>1/((1/Show!$A$4)-(1/Calc!K30))</f>
        <v>-0.17879564060067302</v>
      </c>
      <c r="B30" s="45" t="e">
        <f>MATCH(A30*Calc!$R$12,Calc!$K$1:$K$774,1)</f>
        <v>#N/A</v>
      </c>
      <c r="C30" s="45" t="e">
        <f>INDEX(Calc!$K$1:$K$774,B30)</f>
        <v>#N/A</v>
      </c>
      <c r="D30" s="45" t="e">
        <f>1/(1/C30+1/Calc!K30)</f>
        <v>#N/A</v>
      </c>
      <c r="E30" s="45" t="e">
        <f>ABS(Show!$A$4-D30)/(Show!$A$4/100)</f>
        <v>#N/A</v>
      </c>
      <c r="F30" s="46">
        <f>Show!$A$4-Calc!L30</f>
        <v>39.822000000000003</v>
      </c>
      <c r="G30" s="46">
        <f>MATCH(F30*Calc!$R$12,Calc!$K$1:$K$774,1)</f>
        <v>256</v>
      </c>
      <c r="H30" s="46">
        <f>INDEX(Calc!$K$1:$K$774,G30)</f>
        <v>38.299999999999997</v>
      </c>
      <c r="I30" s="46">
        <f>H30+Calc!K30</f>
        <v>38.477999999999994</v>
      </c>
      <c r="J30" s="46">
        <f>ABS(Show!$A$4-I30)/(Show!$A$4/100)</f>
        <v>3.8050000000000139</v>
      </c>
      <c r="K30" s="45">
        <f>INDEX(Calc!L30:P30,Show!$B$4)</f>
        <v>0.17800000000000002</v>
      </c>
      <c r="L30" s="50">
        <v>0.17800000000000002</v>
      </c>
      <c r="M30" s="50">
        <f>L30</f>
        <v>0.17800000000000002</v>
      </c>
      <c r="N30" s="50">
        <f>L30</f>
        <v>0.17800000000000002</v>
      </c>
      <c r="O30" s="50">
        <v>0.18</v>
      </c>
      <c r="P30" s="50">
        <f>O34</f>
        <v>0.22</v>
      </c>
    </row>
    <row r="31" spans="1:16" x14ac:dyDescent="0.25">
      <c r="A31" s="45">
        <f>1/((1/Show!$A$4)-(1/Calc!K31))</f>
        <v>-0.17879564060067302</v>
      </c>
      <c r="B31" s="45" t="e">
        <f>MATCH(A31*Calc!$R$12,Calc!$K$1:$K$774,1)</f>
        <v>#N/A</v>
      </c>
      <c r="C31" s="45" t="e">
        <f>INDEX(Calc!$K$1:$K$774,B31)</f>
        <v>#N/A</v>
      </c>
      <c r="D31" s="45" t="e">
        <f>1/(1/C31+1/Calc!K31)</f>
        <v>#N/A</v>
      </c>
      <c r="E31" s="45" t="e">
        <f>ABS(Show!$A$4-D31)/(Show!$A$4/100)</f>
        <v>#N/A</v>
      </c>
      <c r="F31" s="46">
        <f>Show!$A$4-Calc!L31</f>
        <v>39.817999999999998</v>
      </c>
      <c r="G31" s="46">
        <f>MATCH(F31*Calc!$R$12,Calc!$K$1:$K$774,1)</f>
        <v>256</v>
      </c>
      <c r="H31" s="46">
        <f>INDEX(Calc!$K$1:$K$774,G31)</f>
        <v>38.299999999999997</v>
      </c>
      <c r="I31" s="46">
        <f>H31+Calc!K31</f>
        <v>38.477999999999994</v>
      </c>
      <c r="J31" s="46">
        <f>ABS(Show!$A$4-I31)/(Show!$A$4/100)</f>
        <v>3.8050000000000139</v>
      </c>
      <c r="K31" s="45">
        <f>INDEX(Calc!L31:P31,Show!$B$4)</f>
        <v>0.17800000000000002</v>
      </c>
      <c r="L31" s="50">
        <v>0.182</v>
      </c>
      <c r="M31" s="50">
        <f>L30</f>
        <v>0.17800000000000002</v>
      </c>
      <c r="N31" s="50">
        <f>L30</f>
        <v>0.17800000000000002</v>
      </c>
      <c r="O31" s="50">
        <v>0.18</v>
      </c>
      <c r="P31" s="50">
        <f>O34</f>
        <v>0.22</v>
      </c>
    </row>
    <row r="32" spans="1:16" x14ac:dyDescent="0.25">
      <c r="A32" s="45">
        <f>1/((1/Show!$A$4)-(1/Calc!K32))</f>
        <v>-0.17879564060067302</v>
      </c>
      <c r="B32" s="45" t="e">
        <f>MATCH(A32*Calc!$R$12,Calc!$K$1:$K$774,1)</f>
        <v>#N/A</v>
      </c>
      <c r="C32" s="45" t="e">
        <f>INDEX(Calc!$K$1:$K$774,B32)</f>
        <v>#N/A</v>
      </c>
      <c r="D32" s="45" t="e">
        <f>1/(1/C32+1/Calc!K32)</f>
        <v>#N/A</v>
      </c>
      <c r="E32" s="45" t="e">
        <f>ABS(Show!$A$4-D32)/(Show!$A$4/100)</f>
        <v>#N/A</v>
      </c>
      <c r="F32" s="46">
        <f>Show!$A$4-Calc!L32</f>
        <v>39.813000000000002</v>
      </c>
      <c r="G32" s="46">
        <f>MATCH(F32*Calc!$R$12,Calc!$K$1:$K$774,1)</f>
        <v>256</v>
      </c>
      <c r="H32" s="46">
        <f>INDEX(Calc!$K$1:$K$774,G32)</f>
        <v>38.299999999999997</v>
      </c>
      <c r="I32" s="46">
        <f>H32+Calc!K32</f>
        <v>38.477999999999994</v>
      </c>
      <c r="J32" s="46">
        <f>ABS(Show!$A$4-I32)/(Show!$A$4/100)</f>
        <v>3.8050000000000139</v>
      </c>
      <c r="K32" s="45">
        <f>INDEX(Calc!L32:P32,Show!$B$4)</f>
        <v>0.17800000000000002</v>
      </c>
      <c r="L32" s="50">
        <v>0.187</v>
      </c>
      <c r="M32" s="50">
        <f>L32</f>
        <v>0.187</v>
      </c>
      <c r="N32" s="50">
        <f>L30</f>
        <v>0.17800000000000002</v>
      </c>
      <c r="O32" s="50">
        <v>0.18</v>
      </c>
      <c r="P32" s="50">
        <f>O34</f>
        <v>0.22</v>
      </c>
    </row>
    <row r="33" spans="1:16" x14ac:dyDescent="0.25">
      <c r="A33" s="45">
        <f>1/((1/Show!$A$4)-(1/Calc!K33))</f>
        <v>-0.19696512913275049</v>
      </c>
      <c r="B33" s="45" t="e">
        <f>MATCH(A33*Calc!$R$12,Calc!$K$1:$K$774,1)</f>
        <v>#N/A</v>
      </c>
      <c r="C33" s="45" t="e">
        <f>INDEX(Calc!$K$1:$K$774,B33)</f>
        <v>#N/A</v>
      </c>
      <c r="D33" s="45" t="e">
        <f>1/(1/C33+1/Calc!K33)</f>
        <v>#N/A</v>
      </c>
      <c r="E33" s="45" t="e">
        <f>ABS(Show!$A$4-D33)/(Show!$A$4/100)</f>
        <v>#N/A</v>
      </c>
      <c r="F33" s="46">
        <f>Show!$A$4-Calc!L33</f>
        <v>39.808999999999997</v>
      </c>
      <c r="G33" s="46">
        <f>MATCH(F33*Calc!$R$12,Calc!$K$1:$K$774,1)</f>
        <v>256</v>
      </c>
      <c r="H33" s="46">
        <f>INDEX(Calc!$K$1:$K$774,G33)</f>
        <v>38.299999999999997</v>
      </c>
      <c r="I33" s="46">
        <f>H33+Calc!K33</f>
        <v>38.495999999999995</v>
      </c>
      <c r="J33" s="46">
        <f>ABS(Show!$A$4-I33)/(Show!$A$4/100)</f>
        <v>3.7600000000000122</v>
      </c>
      <c r="K33" s="45">
        <f>INDEX(Calc!L33:P33,Show!$B$4)</f>
        <v>0.19600000000000001</v>
      </c>
      <c r="L33" s="50">
        <v>0.191</v>
      </c>
      <c r="M33" s="50">
        <f>L32</f>
        <v>0.187</v>
      </c>
      <c r="N33" s="50">
        <f>L34</f>
        <v>0.19600000000000001</v>
      </c>
      <c r="O33" s="50">
        <v>0.18</v>
      </c>
      <c r="P33" s="50">
        <f>O34</f>
        <v>0.22</v>
      </c>
    </row>
    <row r="34" spans="1:16" x14ac:dyDescent="0.25">
      <c r="A34" s="45">
        <f>1/((1/Show!$A$4)-(1/Calc!K34))</f>
        <v>-0.19696512913275049</v>
      </c>
      <c r="B34" s="45" t="e">
        <f>MATCH(A34*Calc!$R$12,Calc!$K$1:$K$774,1)</f>
        <v>#N/A</v>
      </c>
      <c r="C34" s="45" t="e">
        <f>INDEX(Calc!$K$1:$K$774,B34)</f>
        <v>#N/A</v>
      </c>
      <c r="D34" s="45" t="e">
        <f>1/(1/C34+1/Calc!K34)</f>
        <v>#N/A</v>
      </c>
      <c r="E34" s="45" t="e">
        <f>ABS(Show!$A$4-D34)/(Show!$A$4/100)</f>
        <v>#N/A</v>
      </c>
      <c r="F34" s="46">
        <f>Show!$A$4-Calc!L34</f>
        <v>39.804000000000002</v>
      </c>
      <c r="G34" s="46">
        <f>MATCH(F34*Calc!$R$12,Calc!$K$1:$K$774,1)</f>
        <v>256</v>
      </c>
      <c r="H34" s="46">
        <f>INDEX(Calc!$K$1:$K$774,G34)</f>
        <v>38.299999999999997</v>
      </c>
      <c r="I34" s="46">
        <f>H34+Calc!K34</f>
        <v>38.495999999999995</v>
      </c>
      <c r="J34" s="46">
        <f>ABS(Show!$A$4-I34)/(Show!$A$4/100)</f>
        <v>3.7600000000000122</v>
      </c>
      <c r="K34" s="45">
        <f>INDEX(Calc!L34:P34,Show!$B$4)</f>
        <v>0.19600000000000001</v>
      </c>
      <c r="L34" s="50">
        <v>0.19600000000000001</v>
      </c>
      <c r="M34" s="50">
        <f>L34</f>
        <v>0.19600000000000001</v>
      </c>
      <c r="N34" s="50">
        <f>L34</f>
        <v>0.19600000000000001</v>
      </c>
      <c r="O34" s="50">
        <v>0.22</v>
      </c>
      <c r="P34" s="50">
        <f>O34</f>
        <v>0.22</v>
      </c>
    </row>
    <row r="35" spans="1:16" x14ac:dyDescent="0.25">
      <c r="A35" s="45">
        <f>1/((1/Show!$A$4)-(1/Calc!K35))</f>
        <v>-0.19696512913275049</v>
      </c>
      <c r="B35" s="45" t="e">
        <f>MATCH(A35*Calc!$R$12,Calc!$K$1:$K$774,1)</f>
        <v>#N/A</v>
      </c>
      <c r="C35" s="45" t="e">
        <f>INDEX(Calc!$K$1:$K$774,B35)</f>
        <v>#N/A</v>
      </c>
      <c r="D35" s="45" t="e">
        <f>1/(1/C35+1/Calc!K35)</f>
        <v>#N/A</v>
      </c>
      <c r="E35" s="45" t="e">
        <f>ABS(Show!$A$4-D35)/(Show!$A$4/100)</f>
        <v>#N/A</v>
      </c>
      <c r="F35" s="46">
        <f>Show!$A$4-Calc!L35</f>
        <v>39.799999999999997</v>
      </c>
      <c r="G35" s="46">
        <f>MATCH(F35*Calc!$R$12,Calc!$K$1:$K$774,1)</f>
        <v>256</v>
      </c>
      <c r="H35" s="46">
        <f>INDEX(Calc!$K$1:$K$774,G35)</f>
        <v>38.299999999999997</v>
      </c>
      <c r="I35" s="46">
        <f>H35+Calc!K35</f>
        <v>38.495999999999995</v>
      </c>
      <c r="J35" s="46">
        <f>ABS(Show!$A$4-I35)/(Show!$A$4/100)</f>
        <v>3.7600000000000122</v>
      </c>
      <c r="K35" s="45">
        <f>INDEX(Calc!L35:P35,Show!$B$4)</f>
        <v>0.19600000000000001</v>
      </c>
      <c r="L35" s="50">
        <v>0.2</v>
      </c>
      <c r="M35" s="50">
        <f>L34</f>
        <v>0.19600000000000001</v>
      </c>
      <c r="N35" s="50">
        <f>L34</f>
        <v>0.19600000000000001</v>
      </c>
      <c r="O35" s="50">
        <v>0.22</v>
      </c>
      <c r="P35" s="50">
        <f>O34</f>
        <v>0.22</v>
      </c>
    </row>
    <row r="36" spans="1:16" x14ac:dyDescent="0.25">
      <c r="A36" s="45">
        <f>1/((1/Show!$A$4)-(1/Calc!K36))</f>
        <v>-0.19696512913275049</v>
      </c>
      <c r="B36" s="45" t="e">
        <f>MATCH(A36*Calc!$R$12,Calc!$K$1:$K$774,1)</f>
        <v>#N/A</v>
      </c>
      <c r="C36" s="45" t="e">
        <f>INDEX(Calc!$K$1:$K$774,B36)</f>
        <v>#N/A</v>
      </c>
      <c r="D36" s="45" t="e">
        <f>1/(1/C36+1/Calc!K36)</f>
        <v>#N/A</v>
      </c>
      <c r="E36" s="45" t="e">
        <f>ABS(Show!$A$4-D36)/(Show!$A$4/100)</f>
        <v>#N/A</v>
      </c>
      <c r="F36" s="46">
        <f>Show!$A$4-Calc!L36</f>
        <v>39.795000000000002</v>
      </c>
      <c r="G36" s="46">
        <f>MATCH(F36*Calc!$R$12,Calc!$K$1:$K$774,1)</f>
        <v>256</v>
      </c>
      <c r="H36" s="46">
        <f>INDEX(Calc!$K$1:$K$774,G36)</f>
        <v>38.299999999999997</v>
      </c>
      <c r="I36" s="46">
        <f>H36+Calc!K36</f>
        <v>38.495999999999995</v>
      </c>
      <c r="J36" s="46">
        <f>ABS(Show!$A$4-I36)/(Show!$A$4/100)</f>
        <v>3.7600000000000122</v>
      </c>
      <c r="K36" s="45">
        <f>INDEX(Calc!L36:P36,Show!$B$4)</f>
        <v>0.19600000000000001</v>
      </c>
      <c r="L36" s="50">
        <v>0.20499999999999999</v>
      </c>
      <c r="M36" s="50">
        <f>L36</f>
        <v>0.20499999999999999</v>
      </c>
      <c r="N36" s="50">
        <f>L34</f>
        <v>0.19600000000000001</v>
      </c>
      <c r="O36" s="50">
        <v>0.22</v>
      </c>
      <c r="P36" s="50">
        <f>O34</f>
        <v>0.22</v>
      </c>
    </row>
    <row r="37" spans="1:16" x14ac:dyDescent="0.25">
      <c r="A37" s="45">
        <f>1/((1/Show!$A$4)-(1/Calc!K37))</f>
        <v>-0.21616187005152696</v>
      </c>
      <c r="B37" s="45" t="e">
        <f>MATCH(A37*Calc!$R$12,Calc!$K$1:$K$774,1)</f>
        <v>#N/A</v>
      </c>
      <c r="C37" s="45" t="e">
        <f>INDEX(Calc!$K$1:$K$774,B37)</f>
        <v>#N/A</v>
      </c>
      <c r="D37" s="45" t="e">
        <f>1/(1/C37+1/Calc!K37)</f>
        <v>#N/A</v>
      </c>
      <c r="E37" s="45" t="e">
        <f>ABS(Show!$A$4-D37)/(Show!$A$4/100)</f>
        <v>#N/A</v>
      </c>
      <c r="F37" s="46">
        <f>Show!$A$4-Calc!L37</f>
        <v>39.79</v>
      </c>
      <c r="G37" s="46">
        <f>MATCH(F37*Calc!$R$12,Calc!$K$1:$K$774,1)</f>
        <v>256</v>
      </c>
      <c r="H37" s="46">
        <f>INDEX(Calc!$K$1:$K$774,G37)</f>
        <v>38.299999999999997</v>
      </c>
      <c r="I37" s="46">
        <f>H37+Calc!K37</f>
        <v>38.515000000000001</v>
      </c>
      <c r="J37" s="46">
        <f>ABS(Show!$A$4-I37)/(Show!$A$4/100)</f>
        <v>3.7124999999999986</v>
      </c>
      <c r="K37" s="45">
        <f>INDEX(Calc!L37:P37,Show!$B$4)</f>
        <v>0.215</v>
      </c>
      <c r="L37" s="50">
        <v>0.21</v>
      </c>
      <c r="M37" s="50">
        <f>L36</f>
        <v>0.20499999999999999</v>
      </c>
      <c r="N37" s="50">
        <f>L38</f>
        <v>0.215</v>
      </c>
      <c r="O37" s="50">
        <v>0.22</v>
      </c>
      <c r="P37" s="50">
        <f>O34</f>
        <v>0.22</v>
      </c>
    </row>
    <row r="38" spans="1:16" x14ac:dyDescent="0.25">
      <c r="A38" s="45">
        <f>1/((1/Show!$A$4)-(1/Calc!K38))</f>
        <v>-0.21616187005152696</v>
      </c>
      <c r="B38" s="45" t="e">
        <f>MATCH(A38*Calc!$R$12,Calc!$K$1:$K$774,1)</f>
        <v>#N/A</v>
      </c>
      <c r="C38" s="45" t="e">
        <f>INDEX(Calc!$K$1:$K$774,B38)</f>
        <v>#N/A</v>
      </c>
      <c r="D38" s="45" t="e">
        <f>1/(1/C38+1/Calc!K38)</f>
        <v>#N/A</v>
      </c>
      <c r="E38" s="45" t="e">
        <f>ABS(Show!$A$4-D38)/(Show!$A$4/100)</f>
        <v>#N/A</v>
      </c>
      <c r="F38" s="46">
        <f>Show!$A$4-Calc!L38</f>
        <v>39.784999999999997</v>
      </c>
      <c r="G38" s="46">
        <f>MATCH(F38*Calc!$R$12,Calc!$K$1:$K$774,1)</f>
        <v>256</v>
      </c>
      <c r="H38" s="46">
        <f>INDEX(Calc!$K$1:$K$774,G38)</f>
        <v>38.299999999999997</v>
      </c>
      <c r="I38" s="46">
        <f>H38+Calc!K38</f>
        <v>38.515000000000001</v>
      </c>
      <c r="J38" s="46">
        <f>ABS(Show!$A$4-I38)/(Show!$A$4/100)</f>
        <v>3.7124999999999986</v>
      </c>
      <c r="K38" s="45">
        <f>INDEX(Calc!L38:P38,Show!$B$4)</f>
        <v>0.215</v>
      </c>
      <c r="L38" s="50">
        <v>0.215</v>
      </c>
      <c r="M38" s="50">
        <f>L38</f>
        <v>0.215</v>
      </c>
      <c r="N38" s="50">
        <f>L38</f>
        <v>0.215</v>
      </c>
      <c r="O38" s="50">
        <v>0.22</v>
      </c>
      <c r="P38" s="50">
        <f>O34</f>
        <v>0.22</v>
      </c>
    </row>
    <row r="39" spans="1:16" x14ac:dyDescent="0.25">
      <c r="A39" s="45">
        <f>1/((1/Show!$A$4)-(1/Calc!K39))</f>
        <v>-0.21616187005152696</v>
      </c>
      <c r="B39" s="45" t="e">
        <f>MATCH(A39*Calc!$R$12,Calc!$K$1:$K$774,1)</f>
        <v>#N/A</v>
      </c>
      <c r="C39" s="45" t="e">
        <f>INDEX(Calc!$K$1:$K$774,B39)</f>
        <v>#N/A</v>
      </c>
      <c r="D39" s="45" t="e">
        <f>1/(1/C39+1/Calc!K39)</f>
        <v>#N/A</v>
      </c>
      <c r="E39" s="45" t="e">
        <f>ABS(Show!$A$4-D39)/(Show!$A$4/100)</f>
        <v>#N/A</v>
      </c>
      <c r="F39" s="46">
        <f>Show!$A$4-Calc!L39</f>
        <v>39.779000000000003</v>
      </c>
      <c r="G39" s="46">
        <f>MATCH(F39*Calc!$R$12,Calc!$K$1:$K$774,1)</f>
        <v>256</v>
      </c>
      <c r="H39" s="46">
        <f>INDEX(Calc!$K$1:$K$774,G39)</f>
        <v>38.299999999999997</v>
      </c>
      <c r="I39" s="46">
        <f>H39+Calc!K39</f>
        <v>38.515000000000001</v>
      </c>
      <c r="J39" s="46">
        <f>ABS(Show!$A$4-I39)/(Show!$A$4/100)</f>
        <v>3.7124999999999986</v>
      </c>
      <c r="K39" s="45">
        <f>INDEX(Calc!L39:P39,Show!$B$4)</f>
        <v>0.215</v>
      </c>
      <c r="L39" s="50">
        <v>0.221</v>
      </c>
      <c r="M39" s="50">
        <f>L38</f>
        <v>0.215</v>
      </c>
      <c r="N39" s="50">
        <f>L38</f>
        <v>0.215</v>
      </c>
      <c r="O39" s="50">
        <v>0.22</v>
      </c>
      <c r="P39" s="50">
        <f>O34</f>
        <v>0.22</v>
      </c>
    </row>
    <row r="40" spans="1:16" x14ac:dyDescent="0.25">
      <c r="A40" s="45">
        <f>1/((1/Show!$A$4)-(1/Calc!K40))</f>
        <v>-0.21616187005152696</v>
      </c>
      <c r="B40" s="45" t="e">
        <f>MATCH(A40*Calc!$R$12,Calc!$K$1:$K$774,1)</f>
        <v>#N/A</v>
      </c>
      <c r="C40" s="45" t="e">
        <f>INDEX(Calc!$K$1:$K$774,B40)</f>
        <v>#N/A</v>
      </c>
      <c r="D40" s="45" t="e">
        <f>1/(1/C40+1/Calc!K40)</f>
        <v>#N/A</v>
      </c>
      <c r="E40" s="45" t="e">
        <f>ABS(Show!$A$4-D40)/(Show!$A$4/100)</f>
        <v>#N/A</v>
      </c>
      <c r="F40" s="46">
        <f>Show!$A$4-Calc!L40</f>
        <v>39.774000000000001</v>
      </c>
      <c r="G40" s="46">
        <f>MATCH(F40*Calc!$R$12,Calc!$K$1:$K$774,1)</f>
        <v>256</v>
      </c>
      <c r="H40" s="46">
        <f>INDEX(Calc!$K$1:$K$774,G40)</f>
        <v>38.299999999999997</v>
      </c>
      <c r="I40" s="46">
        <f>H40+Calc!K40</f>
        <v>38.515000000000001</v>
      </c>
      <c r="J40" s="46">
        <f>ABS(Show!$A$4-I40)/(Show!$A$4/100)</f>
        <v>3.7124999999999986</v>
      </c>
      <c r="K40" s="45">
        <f>INDEX(Calc!L40:P40,Show!$B$4)</f>
        <v>0.215</v>
      </c>
      <c r="L40" s="50">
        <v>0.22600000000000001</v>
      </c>
      <c r="M40" s="50">
        <f>L40</f>
        <v>0.22600000000000001</v>
      </c>
      <c r="N40" s="50">
        <f>L38</f>
        <v>0.215</v>
      </c>
      <c r="O40" s="50">
        <v>0.22</v>
      </c>
      <c r="P40" s="50">
        <f>O34</f>
        <v>0.22</v>
      </c>
    </row>
    <row r="41" spans="1:16" x14ac:dyDescent="0.25">
      <c r="A41" s="45">
        <f>1/((1/Show!$A$4)-(1/Calc!K41))</f>
        <v>-0.23841259462314213</v>
      </c>
      <c r="B41" s="45" t="e">
        <f>MATCH(A41*Calc!$R$12,Calc!$K$1:$K$774,1)</f>
        <v>#N/A</v>
      </c>
      <c r="C41" s="45" t="e">
        <f>INDEX(Calc!$K$1:$K$774,B41)</f>
        <v>#N/A</v>
      </c>
      <c r="D41" s="45" t="e">
        <f>1/(1/C41+1/Calc!K41)</f>
        <v>#N/A</v>
      </c>
      <c r="E41" s="45" t="e">
        <f>ABS(Show!$A$4-D41)/(Show!$A$4/100)</f>
        <v>#N/A</v>
      </c>
      <c r="F41" s="46">
        <f>Show!$A$4-Calc!L41</f>
        <v>39.768000000000001</v>
      </c>
      <c r="G41" s="46">
        <f>MATCH(F41*Calc!$R$12,Calc!$K$1:$K$774,1)</f>
        <v>256</v>
      </c>
      <c r="H41" s="46">
        <f>INDEX(Calc!$K$1:$K$774,G41)</f>
        <v>38.299999999999997</v>
      </c>
      <c r="I41" s="46">
        <f>H41+Calc!K41</f>
        <v>38.536999999999999</v>
      </c>
      <c r="J41" s="46">
        <f>ABS(Show!$A$4-I41)/(Show!$A$4/100)</f>
        <v>3.6575000000000024</v>
      </c>
      <c r="K41" s="45">
        <f>INDEX(Calc!L41:P41,Show!$B$4)</f>
        <v>0.23699999999999999</v>
      </c>
      <c r="L41" s="50">
        <v>0.23199999999999998</v>
      </c>
      <c r="M41" s="50">
        <f>L40</f>
        <v>0.22600000000000001</v>
      </c>
      <c r="N41" s="50">
        <f>L42</f>
        <v>0.23699999999999999</v>
      </c>
      <c r="O41" s="50">
        <v>0.22</v>
      </c>
      <c r="P41" s="50">
        <f>O34</f>
        <v>0.22</v>
      </c>
    </row>
    <row r="42" spans="1:16" x14ac:dyDescent="0.25">
      <c r="A42" s="45">
        <f>1/((1/Show!$A$4)-(1/Calc!K42))</f>
        <v>-0.23841259462314213</v>
      </c>
      <c r="B42" s="45" t="e">
        <f>MATCH(A42*Calc!$R$12,Calc!$K$1:$K$774,1)</f>
        <v>#N/A</v>
      </c>
      <c r="C42" s="45" t="e">
        <f>INDEX(Calc!$K$1:$K$774,B42)</f>
        <v>#N/A</v>
      </c>
      <c r="D42" s="45" t="e">
        <f>1/(1/C42+1/Calc!K42)</f>
        <v>#N/A</v>
      </c>
      <c r="E42" s="45" t="e">
        <f>ABS(Show!$A$4-D42)/(Show!$A$4/100)</f>
        <v>#N/A</v>
      </c>
      <c r="F42" s="46">
        <f>Show!$A$4-Calc!L42</f>
        <v>39.762999999999998</v>
      </c>
      <c r="G42" s="46">
        <f>MATCH(F42*Calc!$R$12,Calc!$K$1:$K$774,1)</f>
        <v>256</v>
      </c>
      <c r="H42" s="46">
        <f>INDEX(Calc!$K$1:$K$774,G42)</f>
        <v>38.299999999999997</v>
      </c>
      <c r="I42" s="46">
        <f>H42+Calc!K42</f>
        <v>38.536999999999999</v>
      </c>
      <c r="J42" s="46">
        <f>ABS(Show!$A$4-I42)/(Show!$A$4/100)</f>
        <v>3.6575000000000024</v>
      </c>
      <c r="K42" s="45">
        <f>INDEX(Calc!L42:P42,Show!$B$4)</f>
        <v>0.23699999999999999</v>
      </c>
      <c r="L42" s="50">
        <v>0.23699999999999999</v>
      </c>
      <c r="M42" s="50">
        <f>L42</f>
        <v>0.23699999999999999</v>
      </c>
      <c r="N42" s="50">
        <f>L42</f>
        <v>0.23699999999999999</v>
      </c>
      <c r="O42" s="50">
        <v>0.27</v>
      </c>
      <c r="P42" s="50">
        <f>O34</f>
        <v>0.22</v>
      </c>
    </row>
    <row r="43" spans="1:16" x14ac:dyDescent="0.25">
      <c r="A43" s="45">
        <f>1/((1/Show!$A$4)-(1/Calc!K43))</f>
        <v>-0.23841259462314213</v>
      </c>
      <c r="B43" s="45" t="e">
        <f>MATCH(A43*Calc!$R$12,Calc!$K$1:$K$774,1)</f>
        <v>#N/A</v>
      </c>
      <c r="C43" s="45" t="e">
        <f>INDEX(Calc!$K$1:$K$774,B43)</f>
        <v>#N/A</v>
      </c>
      <c r="D43" s="45" t="e">
        <f>1/(1/C43+1/Calc!K43)</f>
        <v>#N/A</v>
      </c>
      <c r="E43" s="45" t="e">
        <f>ABS(Show!$A$4-D43)/(Show!$A$4/100)</f>
        <v>#N/A</v>
      </c>
      <c r="F43" s="46">
        <f>Show!$A$4-Calc!L43</f>
        <v>39.756999999999998</v>
      </c>
      <c r="G43" s="46">
        <f>MATCH(F43*Calc!$R$12,Calc!$K$1:$K$774,1)</f>
        <v>256</v>
      </c>
      <c r="H43" s="46">
        <f>INDEX(Calc!$K$1:$K$774,G43)</f>
        <v>38.299999999999997</v>
      </c>
      <c r="I43" s="46">
        <f>H43+Calc!K43</f>
        <v>38.536999999999999</v>
      </c>
      <c r="J43" s="46">
        <f>ABS(Show!$A$4-I43)/(Show!$A$4/100)</f>
        <v>3.6575000000000024</v>
      </c>
      <c r="K43" s="45">
        <f>INDEX(Calc!L43:P43,Show!$B$4)</f>
        <v>0.23699999999999999</v>
      </c>
      <c r="L43" s="50">
        <v>0.24299999999999999</v>
      </c>
      <c r="M43" s="50">
        <f>L42</f>
        <v>0.23699999999999999</v>
      </c>
      <c r="N43" s="50">
        <f>L42</f>
        <v>0.23699999999999999</v>
      </c>
      <c r="O43" s="50">
        <v>0.27</v>
      </c>
      <c r="P43" s="50">
        <f>O34</f>
        <v>0.22</v>
      </c>
    </row>
    <row r="44" spans="1:16" x14ac:dyDescent="0.25">
      <c r="A44" s="45">
        <f>1/((1/Show!$A$4)-(1/Calc!K44))</f>
        <v>-0.23841259462314213</v>
      </c>
      <c r="B44" s="45" t="e">
        <f>MATCH(A44*Calc!$R$12,Calc!$K$1:$K$774,1)</f>
        <v>#N/A</v>
      </c>
      <c r="C44" s="45" t="e">
        <f>INDEX(Calc!$K$1:$K$774,B44)</f>
        <v>#N/A</v>
      </c>
      <c r="D44" s="45" t="e">
        <f>1/(1/C44+1/Calc!K44)</f>
        <v>#N/A</v>
      </c>
      <c r="E44" s="45" t="e">
        <f>ABS(Show!$A$4-D44)/(Show!$A$4/100)</f>
        <v>#N/A</v>
      </c>
      <c r="F44" s="46">
        <f>Show!$A$4-Calc!L44</f>
        <v>39.750999999999998</v>
      </c>
      <c r="G44" s="46">
        <f>MATCH(F44*Calc!$R$12,Calc!$K$1:$K$774,1)</f>
        <v>256</v>
      </c>
      <c r="H44" s="46">
        <f>INDEX(Calc!$K$1:$K$774,G44)</f>
        <v>38.299999999999997</v>
      </c>
      <c r="I44" s="46">
        <f>H44+Calc!K44</f>
        <v>38.536999999999999</v>
      </c>
      <c r="J44" s="46">
        <f>ABS(Show!$A$4-I44)/(Show!$A$4/100)</f>
        <v>3.6575000000000024</v>
      </c>
      <c r="K44" s="45">
        <f>INDEX(Calc!L44:P44,Show!$B$4)</f>
        <v>0.23699999999999999</v>
      </c>
      <c r="L44" s="50">
        <v>0.249</v>
      </c>
      <c r="M44" s="50">
        <f>L44</f>
        <v>0.249</v>
      </c>
      <c r="N44" s="50">
        <f>L42</f>
        <v>0.23699999999999999</v>
      </c>
      <c r="O44" s="50">
        <v>0.27</v>
      </c>
      <c r="P44" s="50">
        <f>O34</f>
        <v>0.22</v>
      </c>
    </row>
    <row r="45" spans="1:16" x14ac:dyDescent="0.25">
      <c r="A45" s="45">
        <f>1/((1/Show!$A$4)-(1/Calc!K45))</f>
        <v>-0.26271421022169655</v>
      </c>
      <c r="B45" s="45" t="e">
        <f>MATCH(A45*Calc!$R$12,Calc!$K$1:$K$774,1)</f>
        <v>#N/A</v>
      </c>
      <c r="C45" s="45" t="e">
        <f>INDEX(Calc!$K$1:$K$774,B45)</f>
        <v>#N/A</v>
      </c>
      <c r="D45" s="45" t="e">
        <f>1/(1/C45+1/Calc!K45)</f>
        <v>#N/A</v>
      </c>
      <c r="E45" s="45" t="e">
        <f>ABS(Show!$A$4-D45)/(Show!$A$4/100)</f>
        <v>#N/A</v>
      </c>
      <c r="F45" s="46">
        <f>Show!$A$4-Calc!L45</f>
        <v>39.744999999999997</v>
      </c>
      <c r="G45" s="46">
        <f>MATCH(F45*Calc!$R$12,Calc!$K$1:$K$774,1)</f>
        <v>256</v>
      </c>
      <c r="H45" s="46">
        <f>INDEX(Calc!$K$1:$K$774,G45)</f>
        <v>38.299999999999997</v>
      </c>
      <c r="I45" s="46">
        <f>H45+Calc!K45</f>
        <v>38.561</v>
      </c>
      <c r="J45" s="46">
        <f>ABS(Show!$A$4-I45)/(Show!$A$4/100)</f>
        <v>3.5975000000000001</v>
      </c>
      <c r="K45" s="45">
        <f>INDEX(Calc!L45:P45,Show!$B$4)</f>
        <v>0.26100000000000001</v>
      </c>
      <c r="L45" s="50">
        <v>0.255</v>
      </c>
      <c r="M45" s="50">
        <f>L44</f>
        <v>0.249</v>
      </c>
      <c r="N45" s="50">
        <f>L46</f>
        <v>0.26100000000000001</v>
      </c>
      <c r="O45" s="50">
        <v>0.27</v>
      </c>
      <c r="P45" s="50">
        <f>O34</f>
        <v>0.22</v>
      </c>
    </row>
    <row r="46" spans="1:16" x14ac:dyDescent="0.25">
      <c r="A46" s="45">
        <f>1/((1/Show!$A$4)-(1/Calc!K46))</f>
        <v>-0.26271421022169655</v>
      </c>
      <c r="B46" s="45" t="e">
        <f>MATCH(A46*Calc!$R$12,Calc!$K$1:$K$774,1)</f>
        <v>#N/A</v>
      </c>
      <c r="C46" s="45" t="e">
        <f>INDEX(Calc!$K$1:$K$774,B46)</f>
        <v>#N/A</v>
      </c>
      <c r="D46" s="45" t="e">
        <f>1/(1/C46+1/Calc!K46)</f>
        <v>#N/A</v>
      </c>
      <c r="E46" s="45" t="e">
        <f>ABS(Show!$A$4-D46)/(Show!$A$4/100)</f>
        <v>#N/A</v>
      </c>
      <c r="F46" s="46">
        <f>Show!$A$4-Calc!L46</f>
        <v>39.738999999999997</v>
      </c>
      <c r="G46" s="46">
        <f>MATCH(F46*Calc!$R$12,Calc!$K$1:$K$774,1)</f>
        <v>256</v>
      </c>
      <c r="H46" s="46">
        <f>INDEX(Calc!$K$1:$K$774,G46)</f>
        <v>38.299999999999997</v>
      </c>
      <c r="I46" s="46">
        <f>H46+Calc!K46</f>
        <v>38.561</v>
      </c>
      <c r="J46" s="46">
        <f>ABS(Show!$A$4-I46)/(Show!$A$4/100)</f>
        <v>3.5975000000000001</v>
      </c>
      <c r="K46" s="45">
        <f>INDEX(Calc!L46:P46,Show!$B$4)</f>
        <v>0.26100000000000001</v>
      </c>
      <c r="L46" s="50">
        <v>0.26100000000000001</v>
      </c>
      <c r="M46" s="50">
        <f>L46</f>
        <v>0.26100000000000001</v>
      </c>
      <c r="N46" s="50">
        <f>L46</f>
        <v>0.26100000000000001</v>
      </c>
      <c r="O46" s="50">
        <v>0.27</v>
      </c>
      <c r="P46" s="50">
        <f>O50</f>
        <v>0.33</v>
      </c>
    </row>
    <row r="47" spans="1:16" x14ac:dyDescent="0.25">
      <c r="A47" s="45">
        <f>1/((1/Show!$A$4)-(1/Calc!K47))</f>
        <v>-0.26271421022169655</v>
      </c>
      <c r="B47" s="45" t="e">
        <f>MATCH(A47*Calc!$R$12,Calc!$K$1:$K$774,1)</f>
        <v>#N/A</v>
      </c>
      <c r="C47" s="45" t="e">
        <f>INDEX(Calc!$K$1:$K$774,B47)</f>
        <v>#N/A</v>
      </c>
      <c r="D47" s="45" t="e">
        <f>1/(1/C47+1/Calc!K47)</f>
        <v>#N/A</v>
      </c>
      <c r="E47" s="45" t="e">
        <f>ABS(Show!$A$4-D47)/(Show!$A$4/100)</f>
        <v>#N/A</v>
      </c>
      <c r="F47" s="46">
        <f>Show!$A$4-Calc!L47</f>
        <v>39.732999999999997</v>
      </c>
      <c r="G47" s="46">
        <f>MATCH(F47*Calc!$R$12,Calc!$K$1:$K$774,1)</f>
        <v>256</v>
      </c>
      <c r="H47" s="46">
        <f>INDEX(Calc!$K$1:$K$774,G47)</f>
        <v>38.299999999999997</v>
      </c>
      <c r="I47" s="46">
        <f>H47+Calc!K47</f>
        <v>38.561</v>
      </c>
      <c r="J47" s="46">
        <f>ABS(Show!$A$4-I47)/(Show!$A$4/100)</f>
        <v>3.5975000000000001</v>
      </c>
      <c r="K47" s="45">
        <f>INDEX(Calc!L47:P47,Show!$B$4)</f>
        <v>0.26100000000000001</v>
      </c>
      <c r="L47" s="50">
        <v>0.26700000000000002</v>
      </c>
      <c r="M47" s="50">
        <f>L46</f>
        <v>0.26100000000000001</v>
      </c>
      <c r="N47" s="50">
        <f>L46</f>
        <v>0.26100000000000001</v>
      </c>
      <c r="O47" s="50">
        <v>0.27</v>
      </c>
      <c r="P47" s="50">
        <f>O50</f>
        <v>0.33</v>
      </c>
    </row>
    <row r="48" spans="1:16" x14ac:dyDescent="0.25">
      <c r="A48" s="45">
        <f>1/((1/Show!$A$4)-(1/Calc!K48))</f>
        <v>-0.26271421022169655</v>
      </c>
      <c r="B48" s="45" t="e">
        <f>MATCH(A48*Calc!$R$12,Calc!$K$1:$K$774,1)</f>
        <v>#N/A</v>
      </c>
      <c r="C48" s="45" t="e">
        <f>INDEX(Calc!$K$1:$K$774,B48)</f>
        <v>#N/A</v>
      </c>
      <c r="D48" s="45" t="e">
        <f>1/(1/C48+1/Calc!K48)</f>
        <v>#N/A</v>
      </c>
      <c r="E48" s="45" t="e">
        <f>ABS(Show!$A$4-D48)/(Show!$A$4/100)</f>
        <v>#N/A</v>
      </c>
      <c r="F48" s="46">
        <f>Show!$A$4-Calc!L48</f>
        <v>39.725999999999999</v>
      </c>
      <c r="G48" s="46">
        <f>MATCH(F48*Calc!$R$12,Calc!$K$1:$K$774,1)</f>
        <v>256</v>
      </c>
      <c r="H48" s="46">
        <f>INDEX(Calc!$K$1:$K$774,G48)</f>
        <v>38.299999999999997</v>
      </c>
      <c r="I48" s="46">
        <f>H48+Calc!K48</f>
        <v>38.561</v>
      </c>
      <c r="J48" s="46">
        <f>ABS(Show!$A$4-I48)/(Show!$A$4/100)</f>
        <v>3.5975000000000001</v>
      </c>
      <c r="K48" s="45">
        <f>INDEX(Calc!L48:P48,Show!$B$4)</f>
        <v>0.26100000000000001</v>
      </c>
      <c r="L48" s="50">
        <v>0.27399999999999997</v>
      </c>
      <c r="M48" s="50">
        <f>L48</f>
        <v>0.27399999999999997</v>
      </c>
      <c r="N48" s="50">
        <f>L46</f>
        <v>0.26100000000000001</v>
      </c>
      <c r="O48" s="50">
        <v>0.27</v>
      </c>
      <c r="P48" s="50">
        <f>O50</f>
        <v>0.33</v>
      </c>
    </row>
    <row r="49" spans="1:16" x14ac:dyDescent="0.25">
      <c r="A49" s="45">
        <f>1/((1/Show!$A$4)-(1/Calc!K49))</f>
        <v>-0.28907410671568501</v>
      </c>
      <c r="B49" s="45" t="e">
        <f>MATCH(A49*Calc!$R$12,Calc!$K$1:$K$774,1)</f>
        <v>#N/A</v>
      </c>
      <c r="C49" s="45" t="e">
        <f>INDEX(Calc!$K$1:$K$774,B49)</f>
        <v>#N/A</v>
      </c>
      <c r="D49" s="45" t="e">
        <f>1/(1/C49+1/Calc!K49)</f>
        <v>#N/A</v>
      </c>
      <c r="E49" s="45" t="e">
        <f>ABS(Show!$A$4-D49)/(Show!$A$4/100)</f>
        <v>#N/A</v>
      </c>
      <c r="F49" s="46">
        <f>Show!$A$4-Calc!L49</f>
        <v>39.72</v>
      </c>
      <c r="G49" s="46">
        <f>MATCH(F49*Calc!$R$12,Calc!$K$1:$K$774,1)</f>
        <v>256</v>
      </c>
      <c r="H49" s="46">
        <f>INDEX(Calc!$K$1:$K$774,G49)</f>
        <v>38.299999999999997</v>
      </c>
      <c r="I49" s="46">
        <f>H49+Calc!K49</f>
        <v>38.586999999999996</v>
      </c>
      <c r="J49" s="46">
        <f>ABS(Show!$A$4-I49)/(Show!$A$4/100)</f>
        <v>3.5325000000000095</v>
      </c>
      <c r="K49" s="45">
        <f>INDEX(Calc!L49:P49,Show!$B$4)</f>
        <v>0.28699999999999998</v>
      </c>
      <c r="L49" s="50">
        <v>0.28000000000000003</v>
      </c>
      <c r="M49" s="50">
        <f>L48</f>
        <v>0.27399999999999997</v>
      </c>
      <c r="N49" s="50">
        <f>L50</f>
        <v>0.28699999999999998</v>
      </c>
      <c r="O49" s="50">
        <v>0.27</v>
      </c>
      <c r="P49" s="50">
        <f>O50</f>
        <v>0.33</v>
      </c>
    </row>
    <row r="50" spans="1:16" x14ac:dyDescent="0.25">
      <c r="A50" s="45">
        <f>1/((1/Show!$A$4)-(1/Calc!K50))</f>
        <v>-0.28907410671568501</v>
      </c>
      <c r="B50" s="45" t="e">
        <f>MATCH(A50*Calc!$R$12,Calc!$K$1:$K$774,1)</f>
        <v>#N/A</v>
      </c>
      <c r="C50" s="45" t="e">
        <f>INDEX(Calc!$K$1:$K$774,B50)</f>
        <v>#N/A</v>
      </c>
      <c r="D50" s="45" t="e">
        <f>1/(1/C50+1/Calc!K50)</f>
        <v>#N/A</v>
      </c>
      <c r="E50" s="45" t="e">
        <f>ABS(Show!$A$4-D50)/(Show!$A$4/100)</f>
        <v>#N/A</v>
      </c>
      <c r="F50" s="46">
        <f>Show!$A$4-Calc!L50</f>
        <v>39.713000000000001</v>
      </c>
      <c r="G50" s="46">
        <f>MATCH(F50*Calc!$R$12,Calc!$K$1:$K$774,1)</f>
        <v>256</v>
      </c>
      <c r="H50" s="46">
        <f>INDEX(Calc!$K$1:$K$774,G50)</f>
        <v>38.299999999999997</v>
      </c>
      <c r="I50" s="46">
        <f>H50+Calc!K50</f>
        <v>38.586999999999996</v>
      </c>
      <c r="J50" s="46">
        <f>ABS(Show!$A$4-I50)/(Show!$A$4/100)</f>
        <v>3.5325000000000095</v>
      </c>
      <c r="K50" s="45">
        <f>INDEX(Calc!L50:P50,Show!$B$4)</f>
        <v>0.28699999999999998</v>
      </c>
      <c r="L50" s="50">
        <v>0.28699999999999998</v>
      </c>
      <c r="M50" s="50">
        <f>L50</f>
        <v>0.28699999999999998</v>
      </c>
      <c r="N50" s="50">
        <f>L50</f>
        <v>0.28699999999999998</v>
      </c>
      <c r="O50" s="50">
        <v>0.33</v>
      </c>
      <c r="P50" s="50">
        <f>O50</f>
        <v>0.33</v>
      </c>
    </row>
    <row r="51" spans="1:16" x14ac:dyDescent="0.25">
      <c r="A51" s="45">
        <f>1/((1/Show!$A$4)-(1/Calc!K51))</f>
        <v>-0.28907410671568501</v>
      </c>
      <c r="B51" s="45" t="e">
        <f>MATCH(A51*Calc!$R$12,Calc!$K$1:$K$774,1)</f>
        <v>#N/A</v>
      </c>
      <c r="C51" s="45" t="e">
        <f>INDEX(Calc!$K$1:$K$774,B51)</f>
        <v>#N/A</v>
      </c>
      <c r="D51" s="45" t="e">
        <f>1/(1/C51+1/Calc!K51)</f>
        <v>#N/A</v>
      </c>
      <c r="E51" s="45" t="e">
        <f>ABS(Show!$A$4-D51)/(Show!$A$4/100)</f>
        <v>#N/A</v>
      </c>
      <c r="F51" s="46">
        <f>Show!$A$4-Calc!L51</f>
        <v>39.706000000000003</v>
      </c>
      <c r="G51" s="46">
        <f>MATCH(F51*Calc!$R$12,Calc!$K$1:$K$774,1)</f>
        <v>256</v>
      </c>
      <c r="H51" s="46">
        <f>INDEX(Calc!$K$1:$K$774,G51)</f>
        <v>38.299999999999997</v>
      </c>
      <c r="I51" s="46">
        <f>H51+Calc!K51</f>
        <v>38.586999999999996</v>
      </c>
      <c r="J51" s="46">
        <f>ABS(Show!$A$4-I51)/(Show!$A$4/100)</f>
        <v>3.5325000000000095</v>
      </c>
      <c r="K51" s="45">
        <f>INDEX(Calc!L51:P51,Show!$B$4)</f>
        <v>0.28699999999999998</v>
      </c>
      <c r="L51" s="50">
        <v>0.29399999999999998</v>
      </c>
      <c r="M51" s="50">
        <f>L50</f>
        <v>0.28699999999999998</v>
      </c>
      <c r="N51" s="50">
        <f>L50</f>
        <v>0.28699999999999998</v>
      </c>
      <c r="O51" s="50">
        <v>0.33</v>
      </c>
      <c r="P51" s="50">
        <f>O50</f>
        <v>0.33</v>
      </c>
    </row>
    <row r="52" spans="1:16" x14ac:dyDescent="0.25">
      <c r="A52" s="45">
        <f>1/((1/Show!$A$4)-(1/Calc!K52))</f>
        <v>-0.28907410671568501</v>
      </c>
      <c r="B52" s="45" t="e">
        <f>MATCH(A52*Calc!$R$12,Calc!$K$1:$K$774,1)</f>
        <v>#N/A</v>
      </c>
      <c r="C52" s="45" t="e">
        <f>INDEX(Calc!$K$1:$K$774,B52)</f>
        <v>#N/A</v>
      </c>
      <c r="D52" s="45" t="e">
        <f>1/(1/C52+1/Calc!K52)</f>
        <v>#N/A</v>
      </c>
      <c r="E52" s="45" t="e">
        <f>ABS(Show!$A$4-D52)/(Show!$A$4/100)</f>
        <v>#N/A</v>
      </c>
      <c r="F52" s="46">
        <f>Show!$A$4-Calc!L52</f>
        <v>39.698999999999998</v>
      </c>
      <c r="G52" s="46">
        <f>MATCH(F52*Calc!$R$12,Calc!$K$1:$K$774,1)</f>
        <v>256</v>
      </c>
      <c r="H52" s="46">
        <f>INDEX(Calc!$K$1:$K$774,G52)</f>
        <v>38.299999999999997</v>
      </c>
      <c r="I52" s="46">
        <f>H52+Calc!K52</f>
        <v>38.586999999999996</v>
      </c>
      <c r="J52" s="46">
        <f>ABS(Show!$A$4-I52)/(Show!$A$4/100)</f>
        <v>3.5325000000000095</v>
      </c>
      <c r="K52" s="45">
        <f>INDEX(Calc!L52:P52,Show!$B$4)</f>
        <v>0.28699999999999998</v>
      </c>
      <c r="L52" s="50">
        <v>0.30099999999999999</v>
      </c>
      <c r="M52" s="50">
        <f>L52</f>
        <v>0.30099999999999999</v>
      </c>
      <c r="N52" s="50">
        <f>L50</f>
        <v>0.28699999999999998</v>
      </c>
      <c r="O52" s="50">
        <v>0.33</v>
      </c>
      <c r="P52" s="50">
        <f>O50</f>
        <v>0.33</v>
      </c>
    </row>
    <row r="53" spans="1:16" x14ac:dyDescent="0.25">
      <c r="A53" s="45">
        <f>1/((1/Show!$A$4)-(1/Calc!K53))</f>
        <v>-0.3185162786009475</v>
      </c>
      <c r="B53" s="45" t="e">
        <f>MATCH(A53*Calc!$R$12,Calc!$K$1:$K$774,1)</f>
        <v>#N/A</v>
      </c>
      <c r="C53" s="45" t="e">
        <f>INDEX(Calc!$K$1:$K$774,B53)</f>
        <v>#N/A</v>
      </c>
      <c r="D53" s="45" t="e">
        <f>1/(1/C53+1/Calc!K53)</f>
        <v>#N/A</v>
      </c>
      <c r="E53" s="45" t="e">
        <f>ABS(Show!$A$4-D53)/(Show!$A$4/100)</f>
        <v>#N/A</v>
      </c>
      <c r="F53" s="46">
        <f>Show!$A$4-Calc!L53</f>
        <v>39.691000000000003</v>
      </c>
      <c r="G53" s="46">
        <f>MATCH(F53*Calc!$R$12,Calc!$K$1:$K$774,1)</f>
        <v>256</v>
      </c>
      <c r="H53" s="46">
        <f>INDEX(Calc!$K$1:$K$774,G53)</f>
        <v>38.299999999999997</v>
      </c>
      <c r="I53" s="46">
        <f>H53+Calc!K53</f>
        <v>38.616</v>
      </c>
      <c r="J53" s="46">
        <f>ABS(Show!$A$4-I53)/(Show!$A$4/100)</f>
        <v>3.4600000000000009</v>
      </c>
      <c r="K53" s="45">
        <f>INDEX(Calc!L53:P53,Show!$B$4)</f>
        <v>0.316</v>
      </c>
      <c r="L53" s="50">
        <v>0.309</v>
      </c>
      <c r="M53" s="50">
        <f>L52</f>
        <v>0.30099999999999999</v>
      </c>
      <c r="N53" s="50">
        <f>L54</f>
        <v>0.316</v>
      </c>
      <c r="O53" s="50">
        <v>0.33</v>
      </c>
      <c r="P53" s="50">
        <f>O50</f>
        <v>0.33</v>
      </c>
    </row>
    <row r="54" spans="1:16" x14ac:dyDescent="0.25">
      <c r="A54" s="45">
        <f>1/((1/Show!$A$4)-(1/Calc!K54))</f>
        <v>-0.3185162786009475</v>
      </c>
      <c r="B54" s="45" t="e">
        <f>MATCH(A54*Calc!$R$12,Calc!$K$1:$K$774,1)</f>
        <v>#N/A</v>
      </c>
      <c r="C54" s="45" t="e">
        <f>INDEX(Calc!$K$1:$K$774,B54)</f>
        <v>#N/A</v>
      </c>
      <c r="D54" s="45" t="e">
        <f>1/(1/C54+1/Calc!K54)</f>
        <v>#N/A</v>
      </c>
      <c r="E54" s="45" t="e">
        <f>ABS(Show!$A$4-D54)/(Show!$A$4/100)</f>
        <v>#N/A</v>
      </c>
      <c r="F54" s="46">
        <f>Show!$A$4-Calc!L54</f>
        <v>39.683999999999997</v>
      </c>
      <c r="G54" s="46">
        <f>MATCH(F54*Calc!$R$12,Calc!$K$1:$K$774,1)</f>
        <v>256</v>
      </c>
      <c r="H54" s="46">
        <f>INDEX(Calc!$K$1:$K$774,G54)</f>
        <v>38.299999999999997</v>
      </c>
      <c r="I54" s="46">
        <f>H54+Calc!K54</f>
        <v>38.616</v>
      </c>
      <c r="J54" s="46">
        <f>ABS(Show!$A$4-I54)/(Show!$A$4/100)</f>
        <v>3.4600000000000009</v>
      </c>
      <c r="K54" s="45">
        <f>INDEX(Calc!L54:P54,Show!$B$4)</f>
        <v>0.316</v>
      </c>
      <c r="L54" s="50">
        <v>0.316</v>
      </c>
      <c r="M54" s="50">
        <f>L54</f>
        <v>0.316</v>
      </c>
      <c r="N54" s="50">
        <f>L54</f>
        <v>0.316</v>
      </c>
      <c r="O54" s="50">
        <v>0.33</v>
      </c>
      <c r="P54" s="50">
        <f>O50</f>
        <v>0.33</v>
      </c>
    </row>
    <row r="55" spans="1:16" x14ac:dyDescent="0.25">
      <c r="A55" s="45">
        <f>1/((1/Show!$A$4)-(1/Calc!K55))</f>
        <v>-0.3185162786009475</v>
      </c>
      <c r="B55" s="45" t="e">
        <f>MATCH(A55*Calc!$R$12,Calc!$K$1:$K$774,1)</f>
        <v>#N/A</v>
      </c>
      <c r="C55" s="45" t="e">
        <f>INDEX(Calc!$K$1:$K$774,B55)</f>
        <v>#N/A</v>
      </c>
      <c r="D55" s="45" t="e">
        <f>1/(1/C55+1/Calc!K55)</f>
        <v>#N/A</v>
      </c>
      <c r="E55" s="45" t="e">
        <f>ABS(Show!$A$4-D55)/(Show!$A$4/100)</f>
        <v>#N/A</v>
      </c>
      <c r="F55" s="46">
        <f>Show!$A$4-Calc!L55</f>
        <v>39.676000000000002</v>
      </c>
      <c r="G55" s="46">
        <f>MATCH(F55*Calc!$R$12,Calc!$K$1:$K$774,1)</f>
        <v>256</v>
      </c>
      <c r="H55" s="46">
        <f>INDEX(Calc!$K$1:$K$774,G55)</f>
        <v>38.299999999999997</v>
      </c>
      <c r="I55" s="46">
        <f>H55+Calc!K55</f>
        <v>38.616</v>
      </c>
      <c r="J55" s="46">
        <f>ABS(Show!$A$4-I55)/(Show!$A$4/100)</f>
        <v>3.4600000000000009</v>
      </c>
      <c r="K55" s="45">
        <f>INDEX(Calc!L55:P55,Show!$B$4)</f>
        <v>0.316</v>
      </c>
      <c r="L55" s="50">
        <v>0.32400000000000001</v>
      </c>
      <c r="M55" s="50">
        <f>L54</f>
        <v>0.316</v>
      </c>
      <c r="N55" s="50">
        <f>L54</f>
        <v>0.316</v>
      </c>
      <c r="O55" s="50">
        <v>0.33</v>
      </c>
      <c r="P55" s="50">
        <f>O50</f>
        <v>0.33</v>
      </c>
    </row>
    <row r="56" spans="1:16" x14ac:dyDescent="0.25">
      <c r="A56" s="45">
        <f>1/((1/Show!$A$4)-(1/Calc!K56))</f>
        <v>-0.3185162786009475</v>
      </c>
      <c r="B56" s="45" t="e">
        <f>MATCH(A56*Calc!$R$12,Calc!$K$1:$K$774,1)</f>
        <v>#N/A</v>
      </c>
      <c r="C56" s="45" t="e">
        <f>INDEX(Calc!$K$1:$K$774,B56)</f>
        <v>#N/A</v>
      </c>
      <c r="D56" s="45" t="e">
        <f>1/(1/C56+1/Calc!K56)</f>
        <v>#N/A</v>
      </c>
      <c r="E56" s="45" t="e">
        <f>ABS(Show!$A$4-D56)/(Show!$A$4/100)</f>
        <v>#N/A</v>
      </c>
      <c r="F56" s="46">
        <f>Show!$A$4-Calc!L56</f>
        <v>39.667999999999999</v>
      </c>
      <c r="G56" s="46">
        <f>MATCH(F56*Calc!$R$12,Calc!$K$1:$K$774,1)</f>
        <v>256</v>
      </c>
      <c r="H56" s="46">
        <f>INDEX(Calc!$K$1:$K$774,G56)</f>
        <v>38.299999999999997</v>
      </c>
      <c r="I56" s="46">
        <f>H56+Calc!K56</f>
        <v>38.616</v>
      </c>
      <c r="J56" s="46">
        <f>ABS(Show!$A$4-I56)/(Show!$A$4/100)</f>
        <v>3.4600000000000009</v>
      </c>
      <c r="K56" s="45">
        <f>INDEX(Calc!L56:P56,Show!$B$4)</f>
        <v>0.316</v>
      </c>
      <c r="L56" s="50">
        <v>0.33200000000000002</v>
      </c>
      <c r="M56" s="50">
        <f>L56</f>
        <v>0.33200000000000002</v>
      </c>
      <c r="N56" s="50">
        <f>L54</f>
        <v>0.316</v>
      </c>
      <c r="O56" s="50">
        <v>0.33</v>
      </c>
      <c r="P56" s="50">
        <f>O50</f>
        <v>0.33</v>
      </c>
    </row>
    <row r="57" spans="1:16" x14ac:dyDescent="0.25">
      <c r="A57" s="45">
        <f>1/((1/Show!$A$4)-(1/Calc!K57))</f>
        <v>-0.35105417129022493</v>
      </c>
      <c r="B57" s="45" t="e">
        <f>MATCH(A57*Calc!$R$12,Calc!$K$1:$K$774,1)</f>
        <v>#N/A</v>
      </c>
      <c r="C57" s="45" t="e">
        <f>INDEX(Calc!$K$1:$K$774,B57)</f>
        <v>#N/A</v>
      </c>
      <c r="D57" s="45" t="e">
        <f>1/(1/C57+1/Calc!K57)</f>
        <v>#N/A</v>
      </c>
      <c r="E57" s="45" t="e">
        <f>ABS(Show!$A$4-D57)/(Show!$A$4/100)</f>
        <v>#N/A</v>
      </c>
      <c r="F57" s="46">
        <f>Show!$A$4-Calc!L57</f>
        <v>39.659999999999997</v>
      </c>
      <c r="G57" s="46">
        <f>MATCH(F57*Calc!$R$12,Calc!$K$1:$K$774,1)</f>
        <v>256</v>
      </c>
      <c r="H57" s="46">
        <f>INDEX(Calc!$K$1:$K$774,G57)</f>
        <v>38.299999999999997</v>
      </c>
      <c r="I57" s="46">
        <f>H57+Calc!K57</f>
        <v>38.647999999999996</v>
      </c>
      <c r="J57" s="46">
        <f>ABS(Show!$A$4-I57)/(Show!$A$4/100)</f>
        <v>3.3800000000000097</v>
      </c>
      <c r="K57" s="45">
        <f>INDEX(Calc!L57:P57,Show!$B$4)</f>
        <v>0.34799999999999998</v>
      </c>
      <c r="L57" s="50">
        <v>0.34</v>
      </c>
      <c r="M57" s="50">
        <f>L56</f>
        <v>0.33200000000000002</v>
      </c>
      <c r="N57" s="50">
        <f>L58</f>
        <v>0.34799999999999998</v>
      </c>
      <c r="O57" s="50">
        <v>0.33</v>
      </c>
      <c r="P57" s="50">
        <f>O50</f>
        <v>0.33</v>
      </c>
    </row>
    <row r="58" spans="1:16" x14ac:dyDescent="0.25">
      <c r="A58" s="45">
        <f>1/((1/Show!$A$4)-(1/Calc!K58))</f>
        <v>-0.35105417129022493</v>
      </c>
      <c r="B58" s="45" t="e">
        <f>MATCH(A58*Calc!$R$12,Calc!$K$1:$K$774,1)</f>
        <v>#N/A</v>
      </c>
      <c r="C58" s="45" t="e">
        <f>INDEX(Calc!$K$1:$K$774,B58)</f>
        <v>#N/A</v>
      </c>
      <c r="D58" s="45" t="e">
        <f>1/(1/C58+1/Calc!K58)</f>
        <v>#N/A</v>
      </c>
      <c r="E58" s="45" t="e">
        <f>ABS(Show!$A$4-D58)/(Show!$A$4/100)</f>
        <v>#N/A</v>
      </c>
      <c r="F58" s="46">
        <f>Show!$A$4-Calc!L58</f>
        <v>39.652000000000001</v>
      </c>
      <c r="G58" s="46">
        <f>MATCH(F58*Calc!$R$12,Calc!$K$1:$K$774,1)</f>
        <v>256</v>
      </c>
      <c r="H58" s="46">
        <f>INDEX(Calc!$K$1:$K$774,G58)</f>
        <v>38.299999999999997</v>
      </c>
      <c r="I58" s="46">
        <f>H58+Calc!K58</f>
        <v>38.647999999999996</v>
      </c>
      <c r="J58" s="46">
        <f>ABS(Show!$A$4-I58)/(Show!$A$4/100)</f>
        <v>3.3800000000000097</v>
      </c>
      <c r="K58" s="45">
        <f>INDEX(Calc!L58:P58,Show!$B$4)</f>
        <v>0.34799999999999998</v>
      </c>
      <c r="L58" s="50">
        <v>0.34799999999999998</v>
      </c>
      <c r="M58" s="50">
        <f>L58</f>
        <v>0.34799999999999998</v>
      </c>
      <c r="N58" s="50">
        <f>L58</f>
        <v>0.34799999999999998</v>
      </c>
      <c r="O58" s="50">
        <v>0.39</v>
      </c>
      <c r="P58" s="50">
        <f>O50</f>
        <v>0.33</v>
      </c>
    </row>
    <row r="59" spans="1:16" x14ac:dyDescent="0.25">
      <c r="A59" s="45">
        <f>1/((1/Show!$A$4)-(1/Calc!K59))</f>
        <v>-0.35105417129022493</v>
      </c>
      <c r="B59" s="45" t="e">
        <f>MATCH(A59*Calc!$R$12,Calc!$K$1:$K$774,1)</f>
        <v>#N/A</v>
      </c>
      <c r="C59" s="45" t="e">
        <f>INDEX(Calc!$K$1:$K$774,B59)</f>
        <v>#N/A</v>
      </c>
      <c r="D59" s="45" t="e">
        <f>1/(1/C59+1/Calc!K59)</f>
        <v>#N/A</v>
      </c>
      <c r="E59" s="45" t="e">
        <f>ABS(Show!$A$4-D59)/(Show!$A$4/100)</f>
        <v>#N/A</v>
      </c>
      <c r="F59" s="46">
        <f>Show!$A$4-Calc!L59</f>
        <v>39.643000000000001</v>
      </c>
      <c r="G59" s="46">
        <f>MATCH(F59*Calc!$R$12,Calc!$K$1:$K$774,1)</f>
        <v>256</v>
      </c>
      <c r="H59" s="46">
        <f>INDEX(Calc!$K$1:$K$774,G59)</f>
        <v>38.299999999999997</v>
      </c>
      <c r="I59" s="46">
        <f>H59+Calc!K59</f>
        <v>38.647999999999996</v>
      </c>
      <c r="J59" s="46">
        <f>ABS(Show!$A$4-I59)/(Show!$A$4/100)</f>
        <v>3.3800000000000097</v>
      </c>
      <c r="K59" s="45">
        <f>INDEX(Calc!L59:P59,Show!$B$4)</f>
        <v>0.34799999999999998</v>
      </c>
      <c r="L59" s="50">
        <v>0.35700000000000004</v>
      </c>
      <c r="M59" s="50">
        <f>L58</f>
        <v>0.34799999999999998</v>
      </c>
      <c r="N59" s="50">
        <f>L58</f>
        <v>0.34799999999999998</v>
      </c>
      <c r="O59" s="50">
        <v>0.39</v>
      </c>
      <c r="P59" s="50">
        <f>O50</f>
        <v>0.33</v>
      </c>
    </row>
    <row r="60" spans="1:16" x14ac:dyDescent="0.25">
      <c r="A60" s="45">
        <f>1/((1/Show!$A$4)-(1/Calc!K60))</f>
        <v>-0.35105417129022493</v>
      </c>
      <c r="B60" s="45" t="e">
        <f>MATCH(A60*Calc!$R$12,Calc!$K$1:$K$774,1)</f>
        <v>#N/A</v>
      </c>
      <c r="C60" s="45" t="e">
        <f>INDEX(Calc!$K$1:$K$774,B60)</f>
        <v>#N/A</v>
      </c>
      <c r="D60" s="45" t="e">
        <f>1/(1/C60+1/Calc!K60)</f>
        <v>#N/A</v>
      </c>
      <c r="E60" s="45" t="e">
        <f>ABS(Show!$A$4-D60)/(Show!$A$4/100)</f>
        <v>#N/A</v>
      </c>
      <c r="F60" s="46">
        <f>Show!$A$4-Calc!L60</f>
        <v>39.634999999999998</v>
      </c>
      <c r="G60" s="46">
        <f>MATCH(F60*Calc!$R$12,Calc!$K$1:$K$774,1)</f>
        <v>256</v>
      </c>
      <c r="H60" s="46">
        <f>INDEX(Calc!$K$1:$K$774,G60)</f>
        <v>38.299999999999997</v>
      </c>
      <c r="I60" s="46">
        <f>H60+Calc!K60</f>
        <v>38.647999999999996</v>
      </c>
      <c r="J60" s="46">
        <f>ABS(Show!$A$4-I60)/(Show!$A$4/100)</f>
        <v>3.3800000000000097</v>
      </c>
      <c r="K60" s="45">
        <f>INDEX(Calc!L60:P60,Show!$B$4)</f>
        <v>0.34799999999999998</v>
      </c>
      <c r="L60" s="50">
        <v>0.36499999999999999</v>
      </c>
      <c r="M60" s="50">
        <f>L60</f>
        <v>0.36499999999999999</v>
      </c>
      <c r="N60" s="50">
        <f>L58</f>
        <v>0.34799999999999998</v>
      </c>
      <c r="O60" s="50">
        <v>0.39</v>
      </c>
      <c r="P60" s="50">
        <f>O50</f>
        <v>0.33</v>
      </c>
    </row>
    <row r="61" spans="1:16" x14ac:dyDescent="0.25">
      <c r="A61" s="45">
        <f>1/((1/Show!$A$4)-(1/Calc!K61))</f>
        <v>-0.38670267814322129</v>
      </c>
      <c r="B61" s="45" t="e">
        <f>MATCH(A61*Calc!$R$12,Calc!$K$1:$K$774,1)</f>
        <v>#N/A</v>
      </c>
      <c r="C61" s="45" t="e">
        <f>INDEX(Calc!$K$1:$K$774,B61)</f>
        <v>#N/A</v>
      </c>
      <c r="D61" s="45" t="e">
        <f>1/(1/C61+1/Calc!K61)</f>
        <v>#N/A</v>
      </c>
      <c r="E61" s="45" t="e">
        <f>ABS(Show!$A$4-D61)/(Show!$A$4/100)</f>
        <v>#N/A</v>
      </c>
      <c r="F61" s="46">
        <f>Show!$A$4-Calc!L61</f>
        <v>39.625999999999998</v>
      </c>
      <c r="G61" s="46">
        <f>MATCH(F61*Calc!$R$12,Calc!$K$1:$K$774,1)</f>
        <v>256</v>
      </c>
      <c r="H61" s="46">
        <f>INDEX(Calc!$K$1:$K$774,G61)</f>
        <v>38.299999999999997</v>
      </c>
      <c r="I61" s="46">
        <f>H61+Calc!K61</f>
        <v>38.683</v>
      </c>
      <c r="J61" s="46">
        <f>ABS(Show!$A$4-I61)/(Show!$A$4/100)</f>
        <v>3.2925000000000004</v>
      </c>
      <c r="K61" s="45">
        <f>INDEX(Calc!L61:P61,Show!$B$4)</f>
        <v>0.38299999999999995</v>
      </c>
      <c r="L61" s="50">
        <v>0.374</v>
      </c>
      <c r="M61" s="50">
        <f>L60</f>
        <v>0.36499999999999999</v>
      </c>
      <c r="N61" s="50">
        <f>L62</f>
        <v>0.38299999999999995</v>
      </c>
      <c r="O61" s="50">
        <v>0.39</v>
      </c>
      <c r="P61" s="50">
        <f>O50</f>
        <v>0.33</v>
      </c>
    </row>
    <row r="62" spans="1:16" x14ac:dyDescent="0.25">
      <c r="A62" s="45">
        <f>1/((1/Show!$A$4)-(1/Calc!K62))</f>
        <v>-0.38670267814322129</v>
      </c>
      <c r="B62" s="45" t="e">
        <f>MATCH(A62*Calc!$R$12,Calc!$K$1:$K$774,1)</f>
        <v>#N/A</v>
      </c>
      <c r="C62" s="45" t="e">
        <f>INDEX(Calc!$K$1:$K$774,B62)</f>
        <v>#N/A</v>
      </c>
      <c r="D62" s="45" t="e">
        <f>1/(1/C62+1/Calc!K62)</f>
        <v>#N/A</v>
      </c>
      <c r="E62" s="45" t="e">
        <f>ABS(Show!$A$4-D62)/(Show!$A$4/100)</f>
        <v>#N/A</v>
      </c>
      <c r="F62" s="46">
        <f>Show!$A$4-Calc!L62</f>
        <v>39.616999999999997</v>
      </c>
      <c r="G62" s="46">
        <f>MATCH(F62*Calc!$R$12,Calc!$K$1:$K$774,1)</f>
        <v>256</v>
      </c>
      <c r="H62" s="46">
        <f>INDEX(Calc!$K$1:$K$774,G62)</f>
        <v>38.299999999999997</v>
      </c>
      <c r="I62" s="46">
        <f>H62+Calc!K62</f>
        <v>38.683</v>
      </c>
      <c r="J62" s="46">
        <f>ABS(Show!$A$4-I62)/(Show!$A$4/100)</f>
        <v>3.2925000000000004</v>
      </c>
      <c r="K62" s="45">
        <f>INDEX(Calc!L62:P62,Show!$B$4)</f>
        <v>0.38299999999999995</v>
      </c>
      <c r="L62" s="50">
        <v>0.38299999999999995</v>
      </c>
      <c r="M62" s="50">
        <f>L62</f>
        <v>0.38299999999999995</v>
      </c>
      <c r="N62" s="50">
        <f>L62</f>
        <v>0.38299999999999995</v>
      </c>
      <c r="O62" s="50">
        <v>0.39</v>
      </c>
      <c r="P62" s="50">
        <f>O66</f>
        <v>0.47</v>
      </c>
    </row>
    <row r="63" spans="1:16" x14ac:dyDescent="0.25">
      <c r="A63" s="45">
        <f>1/((1/Show!$A$4)-(1/Calc!K63))</f>
        <v>-0.38670267814322129</v>
      </c>
      <c r="B63" s="45" t="e">
        <f>MATCH(A63*Calc!$R$12,Calc!$K$1:$K$774,1)</f>
        <v>#N/A</v>
      </c>
      <c r="C63" s="45" t="e">
        <f>INDEX(Calc!$K$1:$K$774,B63)</f>
        <v>#N/A</v>
      </c>
      <c r="D63" s="45" t="e">
        <f>1/(1/C63+1/Calc!K63)</f>
        <v>#N/A</v>
      </c>
      <c r="E63" s="45" t="e">
        <f>ABS(Show!$A$4-D63)/(Show!$A$4/100)</f>
        <v>#N/A</v>
      </c>
      <c r="F63" s="46">
        <f>Show!$A$4-Calc!L63</f>
        <v>39.607999999999997</v>
      </c>
      <c r="G63" s="46">
        <f>MATCH(F63*Calc!$R$12,Calc!$K$1:$K$774,1)</f>
        <v>256</v>
      </c>
      <c r="H63" s="46">
        <f>INDEX(Calc!$K$1:$K$774,G63)</f>
        <v>38.299999999999997</v>
      </c>
      <c r="I63" s="46">
        <f>H63+Calc!K63</f>
        <v>38.683</v>
      </c>
      <c r="J63" s="46">
        <f>ABS(Show!$A$4-I63)/(Show!$A$4/100)</f>
        <v>3.2925000000000004</v>
      </c>
      <c r="K63" s="45">
        <f>INDEX(Calc!L63:P63,Show!$B$4)</f>
        <v>0.38299999999999995</v>
      </c>
      <c r="L63" s="50">
        <v>0.39200000000000002</v>
      </c>
      <c r="M63" s="50">
        <f>L62</f>
        <v>0.38299999999999995</v>
      </c>
      <c r="N63" s="50">
        <f>L62</f>
        <v>0.38299999999999995</v>
      </c>
      <c r="O63" s="50">
        <v>0.39</v>
      </c>
      <c r="P63" s="50">
        <f>O66</f>
        <v>0.47</v>
      </c>
    </row>
    <row r="64" spans="1:16" x14ac:dyDescent="0.25">
      <c r="A64" s="45">
        <f>1/((1/Show!$A$4)-(1/Calc!K64))</f>
        <v>-0.38670267814322129</v>
      </c>
      <c r="B64" s="45" t="e">
        <f>MATCH(A64*Calc!$R$12,Calc!$K$1:$K$774,1)</f>
        <v>#N/A</v>
      </c>
      <c r="C64" s="45" t="e">
        <f>INDEX(Calc!$K$1:$K$774,B64)</f>
        <v>#N/A</v>
      </c>
      <c r="D64" s="45" t="e">
        <f>1/(1/C64+1/Calc!K64)</f>
        <v>#N/A</v>
      </c>
      <c r="E64" s="45" t="e">
        <f>ABS(Show!$A$4-D64)/(Show!$A$4/100)</f>
        <v>#N/A</v>
      </c>
      <c r="F64" s="46">
        <f>Show!$A$4-Calc!L64</f>
        <v>39.597999999999999</v>
      </c>
      <c r="G64" s="46">
        <f>MATCH(F64*Calc!$R$12,Calc!$K$1:$K$774,1)</f>
        <v>256</v>
      </c>
      <c r="H64" s="46">
        <f>INDEX(Calc!$K$1:$K$774,G64)</f>
        <v>38.299999999999997</v>
      </c>
      <c r="I64" s="46">
        <f>H64+Calc!K64</f>
        <v>38.683</v>
      </c>
      <c r="J64" s="46">
        <f>ABS(Show!$A$4-I64)/(Show!$A$4/100)</f>
        <v>3.2925000000000004</v>
      </c>
      <c r="K64" s="45">
        <f>INDEX(Calc!L64:P64,Show!$B$4)</f>
        <v>0.38299999999999995</v>
      </c>
      <c r="L64" s="50">
        <v>0.40200000000000002</v>
      </c>
      <c r="M64" s="50">
        <f>L64</f>
        <v>0.40200000000000002</v>
      </c>
      <c r="N64" s="50">
        <f>L62</f>
        <v>0.38299999999999995</v>
      </c>
      <c r="O64" s="50">
        <v>0.39</v>
      </c>
      <c r="P64" s="50">
        <f>O66</f>
        <v>0.47</v>
      </c>
    </row>
    <row r="65" spans="1:16" x14ac:dyDescent="0.25">
      <c r="A65" s="45">
        <f>1/((1/Show!$A$4)-(1/Calc!K65))</f>
        <v>-0.42649957046844211</v>
      </c>
      <c r="B65" s="45" t="e">
        <f>MATCH(A65*Calc!$R$12,Calc!$K$1:$K$774,1)</f>
        <v>#N/A</v>
      </c>
      <c r="C65" s="45" t="e">
        <f>INDEX(Calc!$K$1:$K$774,B65)</f>
        <v>#N/A</v>
      </c>
      <c r="D65" s="45" t="e">
        <f>1/(1/C65+1/Calc!K65)</f>
        <v>#N/A</v>
      </c>
      <c r="E65" s="45" t="e">
        <f>ABS(Show!$A$4-D65)/(Show!$A$4/100)</f>
        <v>#N/A</v>
      </c>
      <c r="F65" s="46">
        <f>Show!$A$4-Calc!L65</f>
        <v>39.588000000000001</v>
      </c>
      <c r="G65" s="46">
        <f>MATCH(F65*Calc!$R$12,Calc!$K$1:$K$774,1)</f>
        <v>256</v>
      </c>
      <c r="H65" s="46">
        <f>INDEX(Calc!$K$1:$K$774,G65)</f>
        <v>38.299999999999997</v>
      </c>
      <c r="I65" s="46">
        <f>H65+Calc!K65</f>
        <v>38.721999999999994</v>
      </c>
      <c r="J65" s="46">
        <f>ABS(Show!$A$4-I65)/(Show!$A$4/100)</f>
        <v>3.1950000000000145</v>
      </c>
      <c r="K65" s="45">
        <f>INDEX(Calc!L65:P65,Show!$B$4)</f>
        <v>0.42200000000000004</v>
      </c>
      <c r="L65" s="50">
        <v>0.41200000000000003</v>
      </c>
      <c r="M65" s="50">
        <f>L64</f>
        <v>0.40200000000000002</v>
      </c>
      <c r="N65" s="50">
        <f>L66</f>
        <v>0.42200000000000004</v>
      </c>
      <c r="O65" s="50">
        <v>0.39</v>
      </c>
      <c r="P65" s="50">
        <f>O66</f>
        <v>0.47</v>
      </c>
    </row>
    <row r="66" spans="1:16" x14ac:dyDescent="0.25">
      <c r="A66" s="45">
        <f>1/((1/Show!$A$4)-(1/Calc!K66))</f>
        <v>-0.42649957046844211</v>
      </c>
      <c r="B66" s="45" t="e">
        <f>MATCH(A66*Calc!$R$12,Calc!$K$1:$K$774,1)</f>
        <v>#N/A</v>
      </c>
      <c r="C66" s="45" t="e">
        <f>INDEX(Calc!$K$1:$K$774,B66)</f>
        <v>#N/A</v>
      </c>
      <c r="D66" s="45" t="e">
        <f>1/(1/C66+1/Calc!K66)</f>
        <v>#N/A</v>
      </c>
      <c r="E66" s="45" t="e">
        <f>ABS(Show!$A$4-D66)/(Show!$A$4/100)</f>
        <v>#N/A</v>
      </c>
      <c r="F66" s="46">
        <f>Show!$A$4-Calc!L66</f>
        <v>39.578000000000003</v>
      </c>
      <c r="G66" s="46">
        <f>MATCH(F66*Calc!$R$12,Calc!$K$1:$K$774,1)</f>
        <v>256</v>
      </c>
      <c r="H66" s="46">
        <f>INDEX(Calc!$K$1:$K$774,G66)</f>
        <v>38.299999999999997</v>
      </c>
      <c r="I66" s="46">
        <f>H66+Calc!K66</f>
        <v>38.721999999999994</v>
      </c>
      <c r="J66" s="46">
        <f>ABS(Show!$A$4-I66)/(Show!$A$4/100)</f>
        <v>3.1950000000000145</v>
      </c>
      <c r="K66" s="45">
        <f>INDEX(Calc!L66:P66,Show!$B$4)</f>
        <v>0.42200000000000004</v>
      </c>
      <c r="L66" s="50">
        <v>0.42200000000000004</v>
      </c>
      <c r="M66" s="50">
        <f>L66</f>
        <v>0.42200000000000004</v>
      </c>
      <c r="N66" s="50">
        <f>L66</f>
        <v>0.42200000000000004</v>
      </c>
      <c r="O66" s="50">
        <v>0.47</v>
      </c>
      <c r="P66" s="50">
        <f>O66</f>
        <v>0.47</v>
      </c>
    </row>
    <row r="67" spans="1:16" x14ac:dyDescent="0.25">
      <c r="A67" s="45">
        <f>1/((1/Show!$A$4)-(1/Calc!K67))</f>
        <v>-0.42649957046844211</v>
      </c>
      <c r="B67" s="45" t="e">
        <f>MATCH(A67*Calc!$R$12,Calc!$K$1:$K$774,1)</f>
        <v>#N/A</v>
      </c>
      <c r="C67" s="45" t="e">
        <f>INDEX(Calc!$K$1:$K$774,B67)</f>
        <v>#N/A</v>
      </c>
      <c r="D67" s="45" t="e">
        <f>1/(1/C67+1/Calc!K67)</f>
        <v>#N/A</v>
      </c>
      <c r="E67" s="45" t="e">
        <f>ABS(Show!$A$4-D67)/(Show!$A$4/100)</f>
        <v>#N/A</v>
      </c>
      <c r="F67" s="46">
        <f>Show!$A$4-Calc!L67</f>
        <v>39.567999999999998</v>
      </c>
      <c r="G67" s="46">
        <f>MATCH(F67*Calc!$R$12,Calc!$K$1:$K$774,1)</f>
        <v>256</v>
      </c>
      <c r="H67" s="46">
        <f>INDEX(Calc!$K$1:$K$774,G67)</f>
        <v>38.299999999999997</v>
      </c>
      <c r="I67" s="46">
        <f>H67+Calc!K67</f>
        <v>38.721999999999994</v>
      </c>
      <c r="J67" s="46">
        <f>ABS(Show!$A$4-I67)/(Show!$A$4/100)</f>
        <v>3.1950000000000145</v>
      </c>
      <c r="K67" s="45">
        <f>INDEX(Calc!L67:P67,Show!$B$4)</f>
        <v>0.42200000000000004</v>
      </c>
      <c r="L67" s="50">
        <v>0.43200000000000005</v>
      </c>
      <c r="M67" s="50">
        <f>L66</f>
        <v>0.42200000000000004</v>
      </c>
      <c r="N67" s="50">
        <f>L66</f>
        <v>0.42200000000000004</v>
      </c>
      <c r="O67" s="50">
        <v>0.47</v>
      </c>
      <c r="P67" s="50">
        <f>O66</f>
        <v>0.47</v>
      </c>
    </row>
    <row r="68" spans="1:16" x14ac:dyDescent="0.25">
      <c r="A68" s="45">
        <f>1/((1/Show!$A$4)-(1/Calc!K68))</f>
        <v>-0.42649957046844211</v>
      </c>
      <c r="B68" s="45" t="e">
        <f>MATCH(A68*Calc!$R$12,Calc!$K$1:$K$774,1)</f>
        <v>#N/A</v>
      </c>
      <c r="C68" s="45" t="e">
        <f>INDEX(Calc!$K$1:$K$774,B68)</f>
        <v>#N/A</v>
      </c>
      <c r="D68" s="45" t="e">
        <f>1/(1/C68+1/Calc!K68)</f>
        <v>#N/A</v>
      </c>
      <c r="E68" s="45" t="e">
        <f>ABS(Show!$A$4-D68)/(Show!$A$4/100)</f>
        <v>#N/A</v>
      </c>
      <c r="F68" s="46">
        <f>Show!$A$4-Calc!L68</f>
        <v>39.558</v>
      </c>
      <c r="G68" s="46">
        <f>MATCH(F68*Calc!$R$12,Calc!$K$1:$K$774,1)</f>
        <v>256</v>
      </c>
      <c r="H68" s="46">
        <f>INDEX(Calc!$K$1:$K$774,G68)</f>
        <v>38.299999999999997</v>
      </c>
      <c r="I68" s="46">
        <f>H68+Calc!K68</f>
        <v>38.721999999999994</v>
      </c>
      <c r="J68" s="46">
        <f>ABS(Show!$A$4-I68)/(Show!$A$4/100)</f>
        <v>3.1950000000000145</v>
      </c>
      <c r="K68" s="45">
        <f>INDEX(Calc!L68:P68,Show!$B$4)</f>
        <v>0.42200000000000004</v>
      </c>
      <c r="L68" s="50">
        <v>0.442</v>
      </c>
      <c r="M68" s="50">
        <f>L68</f>
        <v>0.442</v>
      </c>
      <c r="N68" s="50">
        <f>L66</f>
        <v>0.42200000000000004</v>
      </c>
      <c r="O68" s="50">
        <v>0.47</v>
      </c>
      <c r="P68" s="50">
        <f>O66</f>
        <v>0.47</v>
      </c>
    </row>
    <row r="69" spans="1:16" x14ac:dyDescent="0.25">
      <c r="A69" s="45">
        <f>1/((1/Show!$A$4)-(1/Calc!K69))</f>
        <v>-0.46944556859571018</v>
      </c>
      <c r="B69" s="45" t="e">
        <f>MATCH(A69*Calc!$R$12,Calc!$K$1:$K$774,1)</f>
        <v>#N/A</v>
      </c>
      <c r="C69" s="45" t="e">
        <f>INDEX(Calc!$K$1:$K$774,B69)</f>
        <v>#N/A</v>
      </c>
      <c r="D69" s="45" t="e">
        <f>1/(1/C69+1/Calc!K69)</f>
        <v>#N/A</v>
      </c>
      <c r="E69" s="45" t="e">
        <f>ABS(Show!$A$4-D69)/(Show!$A$4/100)</f>
        <v>#N/A</v>
      </c>
      <c r="F69" s="46">
        <f>Show!$A$4-Calc!L69</f>
        <v>39.546999999999997</v>
      </c>
      <c r="G69" s="46">
        <f>MATCH(F69*Calc!$R$12,Calc!$K$1:$K$774,1)</f>
        <v>256</v>
      </c>
      <c r="H69" s="46">
        <f>INDEX(Calc!$K$1:$K$774,G69)</f>
        <v>38.299999999999997</v>
      </c>
      <c r="I69" s="46">
        <f>H69+Calc!K69</f>
        <v>38.763999999999996</v>
      </c>
      <c r="J69" s="46">
        <f>ABS(Show!$A$4-I69)/(Show!$A$4/100)</f>
        <v>3.0900000000000105</v>
      </c>
      <c r="K69" s="45">
        <f>INDEX(Calc!L69:P69,Show!$B$4)</f>
        <v>0.46399999999999997</v>
      </c>
      <c r="L69" s="50">
        <v>0.45299999999999996</v>
      </c>
      <c r="M69" s="50">
        <f>L68</f>
        <v>0.442</v>
      </c>
      <c r="N69" s="50">
        <f>L70</f>
        <v>0.46399999999999997</v>
      </c>
      <c r="O69" s="50">
        <v>0.47</v>
      </c>
      <c r="P69" s="50">
        <f>O66</f>
        <v>0.47</v>
      </c>
    </row>
    <row r="70" spans="1:16" x14ac:dyDescent="0.25">
      <c r="A70" s="45">
        <f>1/((1/Show!$A$4)-(1/Calc!K70))</f>
        <v>-0.46944556859571018</v>
      </c>
      <c r="B70" s="45" t="e">
        <f>MATCH(A70*Calc!$R$12,Calc!$K$1:$K$774,1)</f>
        <v>#N/A</v>
      </c>
      <c r="C70" s="45" t="e">
        <f>INDEX(Calc!$K$1:$K$774,B70)</f>
        <v>#N/A</v>
      </c>
      <c r="D70" s="45" t="e">
        <f>1/(1/C70+1/Calc!K70)</f>
        <v>#N/A</v>
      </c>
      <c r="E70" s="45" t="e">
        <f>ABS(Show!$A$4-D70)/(Show!$A$4/100)</f>
        <v>#N/A</v>
      </c>
      <c r="F70" s="46">
        <f>Show!$A$4-Calc!L70</f>
        <v>39.536000000000001</v>
      </c>
      <c r="G70" s="46">
        <f>MATCH(F70*Calc!$R$12,Calc!$K$1:$K$774,1)</f>
        <v>256</v>
      </c>
      <c r="H70" s="46">
        <f>INDEX(Calc!$K$1:$K$774,G70)</f>
        <v>38.299999999999997</v>
      </c>
      <c r="I70" s="46">
        <f>H70+Calc!K70</f>
        <v>38.763999999999996</v>
      </c>
      <c r="J70" s="46">
        <f>ABS(Show!$A$4-I70)/(Show!$A$4/100)</f>
        <v>3.0900000000000105</v>
      </c>
      <c r="K70" s="45">
        <f>INDEX(Calc!L70:P70,Show!$B$4)</f>
        <v>0.46399999999999997</v>
      </c>
      <c r="L70" s="50">
        <v>0.46399999999999997</v>
      </c>
      <c r="M70" s="50">
        <f>L70</f>
        <v>0.46399999999999997</v>
      </c>
      <c r="N70" s="50">
        <f>L70</f>
        <v>0.46399999999999997</v>
      </c>
      <c r="O70" s="50">
        <v>0.47</v>
      </c>
      <c r="P70" s="50">
        <f>O66</f>
        <v>0.47</v>
      </c>
    </row>
    <row r="71" spans="1:16" x14ac:dyDescent="0.25">
      <c r="A71" s="45">
        <f>1/((1/Show!$A$4)-(1/Calc!K71))</f>
        <v>-0.46944556859571018</v>
      </c>
      <c r="B71" s="45" t="e">
        <f>MATCH(A71*Calc!$R$12,Calc!$K$1:$K$774,1)</f>
        <v>#N/A</v>
      </c>
      <c r="C71" s="45" t="e">
        <f>INDEX(Calc!$K$1:$K$774,B71)</f>
        <v>#N/A</v>
      </c>
      <c r="D71" s="45" t="e">
        <f>1/(1/C71+1/Calc!K71)</f>
        <v>#N/A</v>
      </c>
      <c r="E71" s="45" t="e">
        <f>ABS(Show!$A$4-D71)/(Show!$A$4/100)</f>
        <v>#N/A</v>
      </c>
      <c r="F71" s="46">
        <f>Show!$A$4-Calc!L71</f>
        <v>39.524999999999999</v>
      </c>
      <c r="G71" s="46">
        <f>MATCH(F71*Calc!$R$12,Calc!$K$1:$K$774,1)</f>
        <v>256</v>
      </c>
      <c r="H71" s="46">
        <f>INDEX(Calc!$K$1:$K$774,G71)</f>
        <v>38.299999999999997</v>
      </c>
      <c r="I71" s="46">
        <f>H71+Calc!K71</f>
        <v>38.763999999999996</v>
      </c>
      <c r="J71" s="46">
        <f>ABS(Show!$A$4-I71)/(Show!$A$4/100)</f>
        <v>3.0900000000000105</v>
      </c>
      <c r="K71" s="45">
        <f>INDEX(Calc!L71:P71,Show!$B$4)</f>
        <v>0.46399999999999997</v>
      </c>
      <c r="L71" s="50">
        <v>0.47499999999999998</v>
      </c>
      <c r="M71" s="50">
        <f>L70</f>
        <v>0.46399999999999997</v>
      </c>
      <c r="N71" s="50">
        <f>L70</f>
        <v>0.46399999999999997</v>
      </c>
      <c r="O71" s="50">
        <v>0.47</v>
      </c>
      <c r="P71" s="50">
        <f>O66</f>
        <v>0.47</v>
      </c>
    </row>
    <row r="72" spans="1:16" x14ac:dyDescent="0.25">
      <c r="A72" s="45">
        <f>1/((1/Show!$A$4)-(1/Calc!K72))</f>
        <v>-0.46944556859571018</v>
      </c>
      <c r="B72" s="45" t="e">
        <f>MATCH(A72*Calc!$R$12,Calc!$K$1:$K$774,1)</f>
        <v>#N/A</v>
      </c>
      <c r="C72" s="45" t="e">
        <f>INDEX(Calc!$K$1:$K$774,B72)</f>
        <v>#N/A</v>
      </c>
      <c r="D72" s="45" t="e">
        <f>1/(1/C72+1/Calc!K72)</f>
        <v>#N/A</v>
      </c>
      <c r="E72" s="45" t="e">
        <f>ABS(Show!$A$4-D72)/(Show!$A$4/100)</f>
        <v>#N/A</v>
      </c>
      <c r="F72" s="46">
        <f>Show!$A$4-Calc!L72</f>
        <v>39.512999999999998</v>
      </c>
      <c r="G72" s="46">
        <f>MATCH(F72*Calc!$R$12,Calc!$K$1:$K$774,1)</f>
        <v>256</v>
      </c>
      <c r="H72" s="46">
        <f>INDEX(Calc!$K$1:$K$774,G72)</f>
        <v>38.299999999999997</v>
      </c>
      <c r="I72" s="46">
        <f>H72+Calc!K72</f>
        <v>38.763999999999996</v>
      </c>
      <c r="J72" s="46">
        <f>ABS(Show!$A$4-I72)/(Show!$A$4/100)</f>
        <v>3.0900000000000105</v>
      </c>
      <c r="K72" s="45">
        <f>INDEX(Calc!L72:P72,Show!$B$4)</f>
        <v>0.46399999999999997</v>
      </c>
      <c r="L72" s="50">
        <v>0.48700000000000004</v>
      </c>
      <c r="M72" s="50">
        <f>L72</f>
        <v>0.48700000000000004</v>
      </c>
      <c r="N72" s="50">
        <f>L70</f>
        <v>0.46399999999999997</v>
      </c>
      <c r="O72" s="50">
        <v>0.47</v>
      </c>
      <c r="P72" s="50">
        <f>O66</f>
        <v>0.47</v>
      </c>
    </row>
    <row r="73" spans="1:16" x14ac:dyDescent="0.25">
      <c r="A73" s="45">
        <f>1/((1/Show!$A$4)-(1/Calc!K73))</f>
        <v>-0.51761249968345613</v>
      </c>
      <c r="B73" s="45" t="e">
        <f>MATCH(A73*Calc!$R$12,Calc!$K$1:$K$774,1)</f>
        <v>#N/A</v>
      </c>
      <c r="C73" s="45" t="e">
        <f>INDEX(Calc!$K$1:$K$774,B73)</f>
        <v>#N/A</v>
      </c>
      <c r="D73" s="45" t="e">
        <f>1/(1/C73+1/Calc!K73)</f>
        <v>#N/A</v>
      </c>
      <c r="E73" s="45" t="e">
        <f>ABS(Show!$A$4-D73)/(Show!$A$4/100)</f>
        <v>#N/A</v>
      </c>
      <c r="F73" s="46">
        <f>Show!$A$4-Calc!L73</f>
        <v>39.500999999999998</v>
      </c>
      <c r="G73" s="46">
        <f>MATCH(F73*Calc!$R$12,Calc!$K$1:$K$774,1)</f>
        <v>256</v>
      </c>
      <c r="H73" s="46">
        <f>INDEX(Calc!$K$1:$K$774,G73)</f>
        <v>38.299999999999997</v>
      </c>
      <c r="I73" s="46">
        <f>H73+Calc!K73</f>
        <v>38.811</v>
      </c>
      <c r="J73" s="46">
        <f>ABS(Show!$A$4-I73)/(Show!$A$4/100)</f>
        <v>2.9725000000000001</v>
      </c>
      <c r="K73" s="45">
        <f>INDEX(Calc!L73:P73,Show!$B$4)</f>
        <v>0.51100000000000001</v>
      </c>
      <c r="L73" s="50">
        <v>0.499</v>
      </c>
      <c r="M73" s="50">
        <f>L72</f>
        <v>0.48700000000000004</v>
      </c>
      <c r="N73" s="50">
        <f>L74</f>
        <v>0.51100000000000001</v>
      </c>
      <c r="O73" s="50">
        <v>0.47</v>
      </c>
      <c r="P73" s="50">
        <f>O66</f>
        <v>0.47</v>
      </c>
    </row>
    <row r="74" spans="1:16" x14ac:dyDescent="0.25">
      <c r="A74" s="45">
        <f>1/((1/Show!$A$4)-(1/Calc!K74))</f>
        <v>-0.51761249968345613</v>
      </c>
      <c r="B74" s="45" t="e">
        <f>MATCH(A74*Calc!$R$12,Calc!$K$1:$K$774,1)</f>
        <v>#N/A</v>
      </c>
      <c r="C74" s="45" t="e">
        <f>INDEX(Calc!$K$1:$K$774,B74)</f>
        <v>#N/A</v>
      </c>
      <c r="D74" s="45" t="e">
        <f>1/(1/C74+1/Calc!K74)</f>
        <v>#N/A</v>
      </c>
      <c r="E74" s="45" t="e">
        <f>ABS(Show!$A$4-D74)/(Show!$A$4/100)</f>
        <v>#N/A</v>
      </c>
      <c r="F74" s="46">
        <f>Show!$A$4-Calc!L74</f>
        <v>39.488999999999997</v>
      </c>
      <c r="G74" s="46">
        <f>MATCH(F74*Calc!$R$12,Calc!$K$1:$K$774,1)</f>
        <v>256</v>
      </c>
      <c r="H74" s="46">
        <f>INDEX(Calc!$K$1:$K$774,G74)</f>
        <v>38.299999999999997</v>
      </c>
      <c r="I74" s="46">
        <f>H74+Calc!K74</f>
        <v>38.811</v>
      </c>
      <c r="J74" s="46">
        <f>ABS(Show!$A$4-I74)/(Show!$A$4/100)</f>
        <v>2.9725000000000001</v>
      </c>
      <c r="K74" s="45">
        <f>INDEX(Calc!L74:P74,Show!$B$4)</f>
        <v>0.51100000000000001</v>
      </c>
      <c r="L74" s="50">
        <v>0.51100000000000001</v>
      </c>
      <c r="M74" s="50">
        <f>L74</f>
        <v>0.51100000000000001</v>
      </c>
      <c r="N74" s="50">
        <f>L74</f>
        <v>0.51100000000000001</v>
      </c>
      <c r="O74" s="50">
        <v>0.56000000000000005</v>
      </c>
      <c r="P74" s="50">
        <f>O66</f>
        <v>0.47</v>
      </c>
    </row>
    <row r="75" spans="1:16" x14ac:dyDescent="0.25">
      <c r="A75" s="45">
        <f>1/((1/Show!$A$4)-(1/Calc!K75))</f>
        <v>-0.51761249968345613</v>
      </c>
      <c r="B75" s="45" t="e">
        <f>MATCH(A75*Calc!$R$12,Calc!$K$1:$K$774,1)</f>
        <v>#N/A</v>
      </c>
      <c r="C75" s="45" t="e">
        <f>INDEX(Calc!$K$1:$K$774,B75)</f>
        <v>#N/A</v>
      </c>
      <c r="D75" s="45" t="e">
        <f>1/(1/C75+1/Calc!K75)</f>
        <v>#N/A</v>
      </c>
      <c r="E75" s="45" t="e">
        <f>ABS(Show!$A$4-D75)/(Show!$A$4/100)</f>
        <v>#N/A</v>
      </c>
      <c r="F75" s="46">
        <f>Show!$A$4-Calc!L75</f>
        <v>39.476999999999997</v>
      </c>
      <c r="G75" s="46">
        <f>MATCH(F75*Calc!$R$12,Calc!$K$1:$K$774,1)</f>
        <v>256</v>
      </c>
      <c r="H75" s="46">
        <f>INDEX(Calc!$K$1:$K$774,G75)</f>
        <v>38.299999999999997</v>
      </c>
      <c r="I75" s="46">
        <f>H75+Calc!K75</f>
        <v>38.811</v>
      </c>
      <c r="J75" s="46">
        <f>ABS(Show!$A$4-I75)/(Show!$A$4/100)</f>
        <v>2.9725000000000001</v>
      </c>
      <c r="K75" s="45">
        <f>INDEX(Calc!L75:P75,Show!$B$4)</f>
        <v>0.51100000000000001</v>
      </c>
      <c r="L75" s="50">
        <v>0.52300000000000002</v>
      </c>
      <c r="M75" s="50">
        <f>L74</f>
        <v>0.51100000000000001</v>
      </c>
      <c r="N75" s="50">
        <f>L74</f>
        <v>0.51100000000000001</v>
      </c>
      <c r="O75" s="50">
        <v>0.56000000000000005</v>
      </c>
      <c r="P75" s="50">
        <f>O66</f>
        <v>0.47</v>
      </c>
    </row>
    <row r="76" spans="1:16" x14ac:dyDescent="0.25">
      <c r="A76" s="45">
        <f>1/((1/Show!$A$4)-(1/Calc!K76))</f>
        <v>-0.51761249968345613</v>
      </c>
      <c r="B76" s="45" t="e">
        <f>MATCH(A76*Calc!$R$12,Calc!$K$1:$K$774,1)</f>
        <v>#N/A</v>
      </c>
      <c r="C76" s="45" t="e">
        <f>INDEX(Calc!$K$1:$K$774,B76)</f>
        <v>#N/A</v>
      </c>
      <c r="D76" s="45" t="e">
        <f>1/(1/C76+1/Calc!K76)</f>
        <v>#N/A</v>
      </c>
      <c r="E76" s="45" t="e">
        <f>ABS(Show!$A$4-D76)/(Show!$A$4/100)</f>
        <v>#N/A</v>
      </c>
      <c r="F76" s="46">
        <f>Show!$A$4-Calc!L76</f>
        <v>39.463999999999999</v>
      </c>
      <c r="G76" s="46">
        <f>MATCH(F76*Calc!$R$12,Calc!$K$1:$K$774,1)</f>
        <v>256</v>
      </c>
      <c r="H76" s="46">
        <f>INDEX(Calc!$K$1:$K$774,G76)</f>
        <v>38.299999999999997</v>
      </c>
      <c r="I76" s="46">
        <f>H76+Calc!K76</f>
        <v>38.811</v>
      </c>
      <c r="J76" s="46">
        <f>ABS(Show!$A$4-I76)/(Show!$A$4/100)</f>
        <v>2.9725000000000001</v>
      </c>
      <c r="K76" s="45">
        <f>INDEX(Calc!L76:P76,Show!$B$4)</f>
        <v>0.51100000000000001</v>
      </c>
      <c r="L76" s="50">
        <v>0.53600000000000003</v>
      </c>
      <c r="M76" s="50">
        <f>L76</f>
        <v>0.53600000000000003</v>
      </c>
      <c r="N76" s="50">
        <f>L74</f>
        <v>0.51100000000000001</v>
      </c>
      <c r="O76" s="50">
        <v>0.56000000000000005</v>
      </c>
      <c r="P76" s="50">
        <f>O66</f>
        <v>0.47</v>
      </c>
    </row>
    <row r="77" spans="1:16" x14ac:dyDescent="0.25">
      <c r="A77" s="45">
        <f>1/((1/Show!$A$4)-(1/Calc!K77))</f>
        <v>-0.57000862112683204</v>
      </c>
      <c r="B77" s="45" t="e">
        <f>MATCH(A77*Calc!$R$12,Calc!$K$1:$K$774,1)</f>
        <v>#N/A</v>
      </c>
      <c r="C77" s="45" t="e">
        <f>INDEX(Calc!$K$1:$K$774,B77)</f>
        <v>#N/A</v>
      </c>
      <c r="D77" s="45" t="e">
        <f>1/(1/C77+1/Calc!K77)</f>
        <v>#N/A</v>
      </c>
      <c r="E77" s="45" t="e">
        <f>ABS(Show!$A$4-D77)/(Show!$A$4/100)</f>
        <v>#N/A</v>
      </c>
      <c r="F77" s="46">
        <f>Show!$A$4-Calc!L77</f>
        <v>39.451000000000001</v>
      </c>
      <c r="G77" s="46">
        <f>MATCH(F77*Calc!$R$12,Calc!$K$1:$K$774,1)</f>
        <v>256</v>
      </c>
      <c r="H77" s="46">
        <f>INDEX(Calc!$K$1:$K$774,G77)</f>
        <v>38.299999999999997</v>
      </c>
      <c r="I77" s="46">
        <f>H77+Calc!K77</f>
        <v>38.861999999999995</v>
      </c>
      <c r="J77" s="46">
        <f>ABS(Show!$A$4-I77)/(Show!$A$4/100)</f>
        <v>2.8450000000000131</v>
      </c>
      <c r="K77" s="45">
        <f>INDEX(Calc!L77:P77,Show!$B$4)</f>
        <v>0.56200000000000006</v>
      </c>
      <c r="L77" s="50">
        <v>0.54899999999999993</v>
      </c>
      <c r="M77" s="50">
        <f>L76</f>
        <v>0.53600000000000003</v>
      </c>
      <c r="N77" s="50">
        <f>L78</f>
        <v>0.56200000000000006</v>
      </c>
      <c r="O77" s="50">
        <v>0.56000000000000005</v>
      </c>
      <c r="P77" s="50">
        <f>O66</f>
        <v>0.47</v>
      </c>
    </row>
    <row r="78" spans="1:16" x14ac:dyDescent="0.25">
      <c r="A78" s="45">
        <f>1/((1/Show!$A$4)-(1/Calc!K78))</f>
        <v>-0.57000862112683204</v>
      </c>
      <c r="B78" s="45" t="e">
        <f>MATCH(A78*Calc!$R$12,Calc!$K$1:$K$774,1)</f>
        <v>#N/A</v>
      </c>
      <c r="C78" s="45" t="e">
        <f>INDEX(Calc!$K$1:$K$774,B78)</f>
        <v>#N/A</v>
      </c>
      <c r="D78" s="45" t="e">
        <f>1/(1/C78+1/Calc!K78)</f>
        <v>#N/A</v>
      </c>
      <c r="E78" s="45" t="e">
        <f>ABS(Show!$A$4-D78)/(Show!$A$4/100)</f>
        <v>#N/A</v>
      </c>
      <c r="F78" s="46">
        <f>Show!$A$4-Calc!L78</f>
        <v>39.438000000000002</v>
      </c>
      <c r="G78" s="46">
        <f>MATCH(F78*Calc!$R$12,Calc!$K$1:$K$774,1)</f>
        <v>256</v>
      </c>
      <c r="H78" s="46">
        <f>INDEX(Calc!$K$1:$K$774,G78)</f>
        <v>38.299999999999997</v>
      </c>
      <c r="I78" s="46">
        <f>H78+Calc!K78</f>
        <v>38.861999999999995</v>
      </c>
      <c r="J78" s="46">
        <f>ABS(Show!$A$4-I78)/(Show!$A$4/100)</f>
        <v>2.8450000000000131</v>
      </c>
      <c r="K78" s="45">
        <f>INDEX(Calc!L78:P78,Show!$B$4)</f>
        <v>0.56200000000000006</v>
      </c>
      <c r="L78" s="50">
        <v>0.56200000000000006</v>
      </c>
      <c r="M78" s="50">
        <f>L78</f>
        <v>0.56200000000000006</v>
      </c>
      <c r="N78" s="50">
        <f>L78</f>
        <v>0.56200000000000006</v>
      </c>
      <c r="O78" s="50">
        <v>0.56000000000000005</v>
      </c>
      <c r="P78" s="50">
        <f>O82</f>
        <v>0.68</v>
      </c>
    </row>
    <row r="79" spans="1:16" x14ac:dyDescent="0.25">
      <c r="A79" s="45">
        <f>1/((1/Show!$A$4)-(1/Calc!K79))</f>
        <v>-0.57000862112683204</v>
      </c>
      <c r="B79" s="45" t="e">
        <f>MATCH(A79*Calc!$R$12,Calc!$K$1:$K$774,1)</f>
        <v>#N/A</v>
      </c>
      <c r="C79" s="45" t="e">
        <f>INDEX(Calc!$K$1:$K$774,B79)</f>
        <v>#N/A</v>
      </c>
      <c r="D79" s="45" t="e">
        <f>1/(1/C79+1/Calc!K79)</f>
        <v>#N/A</v>
      </c>
      <c r="E79" s="45" t="e">
        <f>ABS(Show!$A$4-D79)/(Show!$A$4/100)</f>
        <v>#N/A</v>
      </c>
      <c r="F79" s="46">
        <f>Show!$A$4-Calc!L79</f>
        <v>39.423999999999999</v>
      </c>
      <c r="G79" s="46">
        <f>MATCH(F79*Calc!$R$12,Calc!$K$1:$K$774,1)</f>
        <v>256</v>
      </c>
      <c r="H79" s="46">
        <f>INDEX(Calc!$K$1:$K$774,G79)</f>
        <v>38.299999999999997</v>
      </c>
      <c r="I79" s="46">
        <f>H79+Calc!K79</f>
        <v>38.861999999999995</v>
      </c>
      <c r="J79" s="46">
        <f>ABS(Show!$A$4-I79)/(Show!$A$4/100)</f>
        <v>2.8450000000000131</v>
      </c>
      <c r="K79" s="45">
        <f>INDEX(Calc!L79:P79,Show!$B$4)</f>
        <v>0.56200000000000006</v>
      </c>
      <c r="L79" s="50">
        <v>0.57600000000000007</v>
      </c>
      <c r="M79" s="50">
        <f>L78</f>
        <v>0.56200000000000006</v>
      </c>
      <c r="N79" s="50">
        <f>L78</f>
        <v>0.56200000000000006</v>
      </c>
      <c r="O79" s="50">
        <v>0.56000000000000005</v>
      </c>
      <c r="P79" s="50">
        <f>O82</f>
        <v>0.68</v>
      </c>
    </row>
    <row r="80" spans="1:16" x14ac:dyDescent="0.25">
      <c r="A80" s="45">
        <f>1/((1/Show!$A$4)-(1/Calc!K80))</f>
        <v>-0.57000862112683204</v>
      </c>
      <c r="B80" s="45" t="e">
        <f>MATCH(A80*Calc!$R$12,Calc!$K$1:$K$774,1)</f>
        <v>#N/A</v>
      </c>
      <c r="C80" s="45" t="e">
        <f>INDEX(Calc!$K$1:$K$774,B80)</f>
        <v>#N/A</v>
      </c>
      <c r="D80" s="45" t="e">
        <f>1/(1/C80+1/Calc!K80)</f>
        <v>#N/A</v>
      </c>
      <c r="E80" s="45" t="e">
        <f>ABS(Show!$A$4-D80)/(Show!$A$4/100)</f>
        <v>#N/A</v>
      </c>
      <c r="F80" s="46">
        <f>Show!$A$4-Calc!L80</f>
        <v>39.409999999999997</v>
      </c>
      <c r="G80" s="46">
        <f>MATCH(F80*Calc!$R$12,Calc!$K$1:$K$774,1)</f>
        <v>256</v>
      </c>
      <c r="H80" s="46">
        <f>INDEX(Calc!$K$1:$K$774,G80)</f>
        <v>38.299999999999997</v>
      </c>
      <c r="I80" s="46">
        <f>H80+Calc!K80</f>
        <v>38.861999999999995</v>
      </c>
      <c r="J80" s="46">
        <f>ABS(Show!$A$4-I80)/(Show!$A$4/100)</f>
        <v>2.8450000000000131</v>
      </c>
      <c r="K80" s="45">
        <f>INDEX(Calc!L80:P80,Show!$B$4)</f>
        <v>0.56200000000000006</v>
      </c>
      <c r="L80" s="50">
        <v>0.59</v>
      </c>
      <c r="M80" s="50">
        <f>L80</f>
        <v>0.59</v>
      </c>
      <c r="N80" s="50">
        <f>L78</f>
        <v>0.56200000000000006</v>
      </c>
      <c r="O80" s="50">
        <v>0.56000000000000005</v>
      </c>
      <c r="P80" s="50">
        <f>O82</f>
        <v>0.68</v>
      </c>
    </row>
    <row r="81" spans="1:16" x14ac:dyDescent="0.25">
      <c r="A81" s="45">
        <f>1/((1/Show!$A$4)-(1/Calc!K81))</f>
        <v>-0.62872959041161969</v>
      </c>
      <c r="B81" s="45" t="e">
        <f>MATCH(A81*Calc!$R$12,Calc!$K$1:$K$774,1)</f>
        <v>#N/A</v>
      </c>
      <c r="C81" s="45" t="e">
        <f>INDEX(Calc!$K$1:$K$774,B81)</f>
        <v>#N/A</v>
      </c>
      <c r="D81" s="45" t="e">
        <f>1/(1/C81+1/Calc!K81)</f>
        <v>#N/A</v>
      </c>
      <c r="E81" s="45" t="e">
        <f>ABS(Show!$A$4-D81)/(Show!$A$4/100)</f>
        <v>#N/A</v>
      </c>
      <c r="F81" s="46">
        <f>Show!$A$4-Calc!L81</f>
        <v>39.396000000000001</v>
      </c>
      <c r="G81" s="46">
        <f>MATCH(F81*Calc!$R$12,Calc!$K$1:$K$774,1)</f>
        <v>256</v>
      </c>
      <c r="H81" s="46">
        <f>INDEX(Calc!$K$1:$K$774,G81)</f>
        <v>38.299999999999997</v>
      </c>
      <c r="I81" s="46">
        <f>H81+Calc!K81</f>
        <v>38.918999999999997</v>
      </c>
      <c r="J81" s="46">
        <f>ABS(Show!$A$4-I81)/(Show!$A$4/100)</f>
        <v>2.7025000000000077</v>
      </c>
      <c r="K81" s="45">
        <f>INDEX(Calc!L81:P81,Show!$B$4)</f>
        <v>0.61899999999999999</v>
      </c>
      <c r="L81" s="50">
        <v>0.60399999999999998</v>
      </c>
      <c r="M81" s="50">
        <f>L80</f>
        <v>0.59</v>
      </c>
      <c r="N81" s="50">
        <f>L82</f>
        <v>0.61899999999999999</v>
      </c>
      <c r="O81" s="50">
        <v>0.56000000000000005</v>
      </c>
      <c r="P81" s="50">
        <f>O82</f>
        <v>0.68</v>
      </c>
    </row>
    <row r="82" spans="1:16" x14ac:dyDescent="0.25">
      <c r="A82" s="45">
        <f>1/((1/Show!$A$4)-(1/Calc!K82))</f>
        <v>-0.62872959041161969</v>
      </c>
      <c r="B82" s="45" t="e">
        <f>MATCH(A82*Calc!$R$12,Calc!$K$1:$K$774,1)</f>
        <v>#N/A</v>
      </c>
      <c r="C82" s="45" t="e">
        <f>INDEX(Calc!$K$1:$K$774,B82)</f>
        <v>#N/A</v>
      </c>
      <c r="D82" s="45" t="e">
        <f>1/(1/C82+1/Calc!K82)</f>
        <v>#N/A</v>
      </c>
      <c r="E82" s="45" t="e">
        <f>ABS(Show!$A$4-D82)/(Show!$A$4/100)</f>
        <v>#N/A</v>
      </c>
      <c r="F82" s="46">
        <f>Show!$A$4-Calc!L82</f>
        <v>39.381</v>
      </c>
      <c r="G82" s="46">
        <f>MATCH(F82*Calc!$R$12,Calc!$K$1:$K$774,1)</f>
        <v>256</v>
      </c>
      <c r="H82" s="46">
        <f>INDEX(Calc!$K$1:$K$774,G82)</f>
        <v>38.299999999999997</v>
      </c>
      <c r="I82" s="46">
        <f>H82+Calc!K82</f>
        <v>38.918999999999997</v>
      </c>
      <c r="J82" s="46">
        <f>ABS(Show!$A$4-I82)/(Show!$A$4/100)</f>
        <v>2.7025000000000077</v>
      </c>
      <c r="K82" s="45">
        <f>INDEX(Calc!L82:P82,Show!$B$4)</f>
        <v>0.61899999999999999</v>
      </c>
      <c r="L82" s="50">
        <v>0.61899999999999999</v>
      </c>
      <c r="M82" s="50">
        <f>L82</f>
        <v>0.61899999999999999</v>
      </c>
      <c r="N82" s="50">
        <f>L82</f>
        <v>0.61899999999999999</v>
      </c>
      <c r="O82" s="50">
        <v>0.68</v>
      </c>
      <c r="P82" s="50">
        <f>O82</f>
        <v>0.68</v>
      </c>
    </row>
    <row r="83" spans="1:16" x14ac:dyDescent="0.25">
      <c r="A83" s="45">
        <f>1/((1/Show!$A$4)-(1/Calc!K83))</f>
        <v>-0.62872959041161969</v>
      </c>
      <c r="B83" s="45" t="e">
        <f>MATCH(A83*Calc!$R$12,Calc!$K$1:$K$774,1)</f>
        <v>#N/A</v>
      </c>
      <c r="C83" s="45" t="e">
        <f>INDEX(Calc!$K$1:$K$774,B83)</f>
        <v>#N/A</v>
      </c>
      <c r="D83" s="45" t="e">
        <f>1/(1/C83+1/Calc!K83)</f>
        <v>#N/A</v>
      </c>
      <c r="E83" s="45" t="e">
        <f>ABS(Show!$A$4-D83)/(Show!$A$4/100)</f>
        <v>#N/A</v>
      </c>
      <c r="F83" s="46">
        <f>Show!$A$4-Calc!L83</f>
        <v>39.366</v>
      </c>
      <c r="G83" s="46">
        <f>MATCH(F83*Calc!$R$12,Calc!$K$1:$K$774,1)</f>
        <v>256</v>
      </c>
      <c r="H83" s="46">
        <f>INDEX(Calc!$K$1:$K$774,G83)</f>
        <v>38.299999999999997</v>
      </c>
      <c r="I83" s="46">
        <f>H83+Calc!K83</f>
        <v>38.918999999999997</v>
      </c>
      <c r="J83" s="46">
        <f>ABS(Show!$A$4-I83)/(Show!$A$4/100)</f>
        <v>2.7025000000000077</v>
      </c>
      <c r="K83" s="45">
        <f>INDEX(Calc!L83:P83,Show!$B$4)</f>
        <v>0.61899999999999999</v>
      </c>
      <c r="L83" s="50">
        <v>0.63400000000000001</v>
      </c>
      <c r="M83" s="50">
        <f>L82</f>
        <v>0.61899999999999999</v>
      </c>
      <c r="N83" s="50">
        <f>L82</f>
        <v>0.61899999999999999</v>
      </c>
      <c r="O83" s="50">
        <v>0.68</v>
      </c>
      <c r="P83" s="50">
        <f>O82</f>
        <v>0.68</v>
      </c>
    </row>
    <row r="84" spans="1:16" x14ac:dyDescent="0.25">
      <c r="A84" s="45">
        <f>1/((1/Show!$A$4)-(1/Calc!K84))</f>
        <v>-0.62872959041161969</v>
      </c>
      <c r="B84" s="45" t="e">
        <f>MATCH(A84*Calc!$R$12,Calc!$K$1:$K$774,1)</f>
        <v>#N/A</v>
      </c>
      <c r="C84" s="45" t="e">
        <f>INDEX(Calc!$K$1:$K$774,B84)</f>
        <v>#N/A</v>
      </c>
      <c r="D84" s="45" t="e">
        <f>1/(1/C84+1/Calc!K84)</f>
        <v>#N/A</v>
      </c>
      <c r="E84" s="45" t="e">
        <f>ABS(Show!$A$4-D84)/(Show!$A$4/100)</f>
        <v>#N/A</v>
      </c>
      <c r="F84" s="46">
        <f>Show!$A$4-Calc!L84</f>
        <v>39.350999999999999</v>
      </c>
      <c r="G84" s="46">
        <f>MATCH(F84*Calc!$R$12,Calc!$K$1:$K$774,1)</f>
        <v>256</v>
      </c>
      <c r="H84" s="46">
        <f>INDEX(Calc!$K$1:$K$774,G84)</f>
        <v>38.299999999999997</v>
      </c>
      <c r="I84" s="46">
        <f>H84+Calc!K84</f>
        <v>38.918999999999997</v>
      </c>
      <c r="J84" s="46">
        <f>ABS(Show!$A$4-I84)/(Show!$A$4/100)</f>
        <v>2.7025000000000077</v>
      </c>
      <c r="K84" s="45">
        <f>INDEX(Calc!L84:P84,Show!$B$4)</f>
        <v>0.61899999999999999</v>
      </c>
      <c r="L84" s="50">
        <v>0.64900000000000002</v>
      </c>
      <c r="M84" s="50">
        <f>L84</f>
        <v>0.64900000000000002</v>
      </c>
      <c r="N84" s="50">
        <f>L82</f>
        <v>0.61899999999999999</v>
      </c>
      <c r="O84" s="50">
        <v>0.68</v>
      </c>
      <c r="P84" s="50">
        <f>O82</f>
        <v>0.68</v>
      </c>
    </row>
    <row r="85" spans="1:16" x14ac:dyDescent="0.25">
      <c r="A85" s="45">
        <f>1/((1/Show!$A$4)-(1/Calc!K85))</f>
        <v>-0.69279483201505621</v>
      </c>
      <c r="B85" s="45" t="e">
        <f>MATCH(A85*Calc!$R$12,Calc!$K$1:$K$774,1)</f>
        <v>#N/A</v>
      </c>
      <c r="C85" s="45" t="e">
        <f>INDEX(Calc!$K$1:$K$774,B85)</f>
        <v>#N/A</v>
      </c>
      <c r="D85" s="45" t="e">
        <f>1/(1/C85+1/Calc!K85)</f>
        <v>#N/A</v>
      </c>
      <c r="E85" s="45" t="e">
        <f>ABS(Show!$A$4-D85)/(Show!$A$4/100)</f>
        <v>#N/A</v>
      </c>
      <c r="F85" s="46">
        <f>Show!$A$4-Calc!L85</f>
        <v>39.335000000000001</v>
      </c>
      <c r="G85" s="46">
        <f>MATCH(F85*Calc!$R$12,Calc!$K$1:$K$774,1)</f>
        <v>256</v>
      </c>
      <c r="H85" s="46">
        <f>INDEX(Calc!$K$1:$K$774,G85)</f>
        <v>38.299999999999997</v>
      </c>
      <c r="I85" s="46">
        <f>H85+Calc!K85</f>
        <v>38.980999999999995</v>
      </c>
      <c r="J85" s="46">
        <f>ABS(Show!$A$4-I85)/(Show!$A$4/100)</f>
        <v>2.5475000000000136</v>
      </c>
      <c r="K85" s="45">
        <f>INDEX(Calc!L85:P85,Show!$B$4)</f>
        <v>0.68099999999999994</v>
      </c>
      <c r="L85" s="50">
        <v>0.66500000000000004</v>
      </c>
      <c r="M85" s="50">
        <f>L84</f>
        <v>0.64900000000000002</v>
      </c>
      <c r="N85" s="50">
        <f>L86</f>
        <v>0.68099999999999994</v>
      </c>
      <c r="O85" s="50">
        <v>0.68</v>
      </c>
      <c r="P85" s="50">
        <f>O82</f>
        <v>0.68</v>
      </c>
    </row>
    <row r="86" spans="1:16" x14ac:dyDescent="0.25">
      <c r="A86" s="45">
        <f>1/((1/Show!$A$4)-(1/Calc!K86))</f>
        <v>-0.69279483201505621</v>
      </c>
      <c r="B86" s="45" t="e">
        <f>MATCH(A86*Calc!$R$12,Calc!$K$1:$K$774,1)</f>
        <v>#N/A</v>
      </c>
      <c r="C86" s="45" t="e">
        <f>INDEX(Calc!$K$1:$K$774,B86)</f>
        <v>#N/A</v>
      </c>
      <c r="D86" s="45" t="e">
        <f>1/(1/C86+1/Calc!K86)</f>
        <v>#N/A</v>
      </c>
      <c r="E86" s="45" t="e">
        <f>ABS(Show!$A$4-D86)/(Show!$A$4/100)</f>
        <v>#N/A</v>
      </c>
      <c r="F86" s="46">
        <f>Show!$A$4-Calc!L86</f>
        <v>39.319000000000003</v>
      </c>
      <c r="G86" s="46">
        <f>MATCH(F86*Calc!$R$12,Calc!$K$1:$K$774,1)</f>
        <v>256</v>
      </c>
      <c r="H86" s="46">
        <f>INDEX(Calc!$K$1:$K$774,G86)</f>
        <v>38.299999999999997</v>
      </c>
      <c r="I86" s="46">
        <f>H86+Calc!K86</f>
        <v>38.980999999999995</v>
      </c>
      <c r="J86" s="46">
        <f>ABS(Show!$A$4-I86)/(Show!$A$4/100)</f>
        <v>2.5475000000000136</v>
      </c>
      <c r="K86" s="45">
        <f>INDEX(Calc!L86:P86,Show!$B$4)</f>
        <v>0.68099999999999994</v>
      </c>
      <c r="L86" s="50">
        <v>0.68099999999999994</v>
      </c>
      <c r="M86" s="50">
        <f>L86</f>
        <v>0.68099999999999994</v>
      </c>
      <c r="N86" s="50">
        <f>L86</f>
        <v>0.68099999999999994</v>
      </c>
      <c r="O86" s="50">
        <v>0.68</v>
      </c>
      <c r="P86" s="50">
        <f>O82</f>
        <v>0.68</v>
      </c>
    </row>
    <row r="87" spans="1:16" x14ac:dyDescent="0.25">
      <c r="A87" s="45">
        <f>1/((1/Show!$A$4)-(1/Calc!K87))</f>
        <v>-0.69279483201505621</v>
      </c>
      <c r="B87" s="45" t="e">
        <f>MATCH(A87*Calc!$R$12,Calc!$K$1:$K$774,1)</f>
        <v>#N/A</v>
      </c>
      <c r="C87" s="45" t="e">
        <f>INDEX(Calc!$K$1:$K$774,B87)</f>
        <v>#N/A</v>
      </c>
      <c r="D87" s="45" t="e">
        <f>1/(1/C87+1/Calc!K87)</f>
        <v>#N/A</v>
      </c>
      <c r="E87" s="45" t="e">
        <f>ABS(Show!$A$4-D87)/(Show!$A$4/100)</f>
        <v>#N/A</v>
      </c>
      <c r="F87" s="46">
        <f>Show!$A$4-Calc!L87</f>
        <v>39.302</v>
      </c>
      <c r="G87" s="46">
        <f>MATCH(F87*Calc!$R$12,Calc!$K$1:$K$774,1)</f>
        <v>256</v>
      </c>
      <c r="H87" s="46">
        <f>INDEX(Calc!$K$1:$K$774,G87)</f>
        <v>38.299999999999997</v>
      </c>
      <c r="I87" s="46">
        <f>H87+Calc!K87</f>
        <v>38.980999999999995</v>
      </c>
      <c r="J87" s="46">
        <f>ABS(Show!$A$4-I87)/(Show!$A$4/100)</f>
        <v>2.5475000000000136</v>
      </c>
      <c r="K87" s="45">
        <f>INDEX(Calc!L87:P87,Show!$B$4)</f>
        <v>0.68099999999999994</v>
      </c>
      <c r="L87" s="50">
        <v>0.69799999999999995</v>
      </c>
      <c r="M87" s="50">
        <f>L86</f>
        <v>0.68099999999999994</v>
      </c>
      <c r="N87" s="50">
        <f>L86</f>
        <v>0.68099999999999994</v>
      </c>
      <c r="O87" s="50">
        <v>0.68</v>
      </c>
      <c r="P87" s="50">
        <f>O82</f>
        <v>0.68</v>
      </c>
    </row>
    <row r="88" spans="1:16" x14ac:dyDescent="0.25">
      <c r="A88" s="45">
        <f>1/((1/Show!$A$4)-(1/Calc!K88))</f>
        <v>-0.69279483201505621</v>
      </c>
      <c r="B88" s="45" t="e">
        <f>MATCH(A88*Calc!$R$12,Calc!$K$1:$K$774,1)</f>
        <v>#N/A</v>
      </c>
      <c r="C88" s="45" t="e">
        <f>INDEX(Calc!$K$1:$K$774,B88)</f>
        <v>#N/A</v>
      </c>
      <c r="D88" s="45" t="e">
        <f>1/(1/C88+1/Calc!K88)</f>
        <v>#N/A</v>
      </c>
      <c r="E88" s="45" t="e">
        <f>ABS(Show!$A$4-D88)/(Show!$A$4/100)</f>
        <v>#N/A</v>
      </c>
      <c r="F88" s="46">
        <f>Show!$A$4-Calc!L88</f>
        <v>39.284999999999997</v>
      </c>
      <c r="G88" s="46">
        <f>MATCH(F88*Calc!$R$12,Calc!$K$1:$K$774,1)</f>
        <v>256</v>
      </c>
      <c r="H88" s="46">
        <f>INDEX(Calc!$K$1:$K$774,G88)</f>
        <v>38.299999999999997</v>
      </c>
      <c r="I88" s="46">
        <f>H88+Calc!K88</f>
        <v>38.980999999999995</v>
      </c>
      <c r="J88" s="46">
        <f>ABS(Show!$A$4-I88)/(Show!$A$4/100)</f>
        <v>2.5475000000000136</v>
      </c>
      <c r="K88" s="45">
        <f>INDEX(Calc!L88:P88,Show!$B$4)</f>
        <v>0.68099999999999994</v>
      </c>
      <c r="L88" s="50">
        <v>0.71499999999999997</v>
      </c>
      <c r="M88" s="50">
        <f>L88</f>
        <v>0.71499999999999997</v>
      </c>
      <c r="N88" s="50">
        <f>L86</f>
        <v>0.68099999999999994</v>
      </c>
      <c r="O88" s="50">
        <v>0.68</v>
      </c>
      <c r="P88" s="50">
        <f>O82</f>
        <v>0.68</v>
      </c>
    </row>
    <row r="89" spans="1:16" x14ac:dyDescent="0.25">
      <c r="A89" s="45">
        <f>1/((1/Show!$A$4)-(1/Calc!K89))</f>
        <v>-0.76433121019108274</v>
      </c>
      <c r="B89" s="45" t="e">
        <f>MATCH(A89*Calc!$R$12,Calc!$K$1:$K$774,1)</f>
        <v>#N/A</v>
      </c>
      <c r="C89" s="45" t="e">
        <f>INDEX(Calc!$K$1:$K$774,B89)</f>
        <v>#N/A</v>
      </c>
      <c r="D89" s="45" t="e">
        <f>1/(1/C89+1/Calc!K89)</f>
        <v>#N/A</v>
      </c>
      <c r="E89" s="45" t="e">
        <f>ABS(Show!$A$4-D89)/(Show!$A$4/100)</f>
        <v>#N/A</v>
      </c>
      <c r="F89" s="46">
        <f>Show!$A$4-Calc!L89</f>
        <v>39.268000000000001</v>
      </c>
      <c r="G89" s="46">
        <f>MATCH(F89*Calc!$R$12,Calc!$K$1:$K$774,1)</f>
        <v>256</v>
      </c>
      <c r="H89" s="46">
        <f>INDEX(Calc!$K$1:$K$774,G89)</f>
        <v>38.299999999999997</v>
      </c>
      <c r="I89" s="46">
        <f>H89+Calc!K89</f>
        <v>39.049999999999997</v>
      </c>
      <c r="J89" s="46">
        <f>ABS(Show!$A$4-I89)/(Show!$A$4/100)</f>
        <v>2.3750000000000071</v>
      </c>
      <c r="K89" s="45">
        <f>INDEX(Calc!L89:P89,Show!$B$4)</f>
        <v>0.75</v>
      </c>
      <c r="L89" s="50">
        <v>0.73199999999999998</v>
      </c>
      <c r="M89" s="50">
        <f>L88</f>
        <v>0.71499999999999997</v>
      </c>
      <c r="N89" s="50">
        <f>L90</f>
        <v>0.75</v>
      </c>
      <c r="O89" s="50">
        <v>0.68</v>
      </c>
      <c r="P89" s="50">
        <f>O82</f>
        <v>0.68</v>
      </c>
    </row>
    <row r="90" spans="1:16" x14ac:dyDescent="0.25">
      <c r="A90" s="45">
        <f>1/((1/Show!$A$4)-(1/Calc!K90))</f>
        <v>-0.76433121019108274</v>
      </c>
      <c r="B90" s="45" t="e">
        <f>MATCH(A90*Calc!$R$12,Calc!$K$1:$K$774,1)</f>
        <v>#N/A</v>
      </c>
      <c r="C90" s="45" t="e">
        <f>INDEX(Calc!$K$1:$K$774,B90)</f>
        <v>#N/A</v>
      </c>
      <c r="D90" s="45" t="e">
        <f>1/(1/C90+1/Calc!K90)</f>
        <v>#N/A</v>
      </c>
      <c r="E90" s="45" t="e">
        <f>ABS(Show!$A$4-D90)/(Show!$A$4/100)</f>
        <v>#N/A</v>
      </c>
      <c r="F90" s="46">
        <f>Show!$A$4-Calc!L90</f>
        <v>39.25</v>
      </c>
      <c r="G90" s="46">
        <f>MATCH(F90*Calc!$R$12,Calc!$K$1:$K$774,1)</f>
        <v>256</v>
      </c>
      <c r="H90" s="46">
        <f>INDEX(Calc!$K$1:$K$774,G90)</f>
        <v>38.299999999999997</v>
      </c>
      <c r="I90" s="46">
        <f>H90+Calc!K90</f>
        <v>39.049999999999997</v>
      </c>
      <c r="J90" s="46">
        <f>ABS(Show!$A$4-I90)/(Show!$A$4/100)</f>
        <v>2.3750000000000071</v>
      </c>
      <c r="K90" s="45">
        <f>INDEX(Calc!L90:P90,Show!$B$4)</f>
        <v>0.75</v>
      </c>
      <c r="L90" s="50">
        <v>0.75</v>
      </c>
      <c r="M90" s="50">
        <f>L90</f>
        <v>0.75</v>
      </c>
      <c r="N90" s="50">
        <f>L90</f>
        <v>0.75</v>
      </c>
      <c r="O90" s="50">
        <v>0.82</v>
      </c>
      <c r="P90" s="50">
        <f>O82</f>
        <v>0.68</v>
      </c>
    </row>
    <row r="91" spans="1:16" x14ac:dyDescent="0.25">
      <c r="A91" s="45">
        <f>1/((1/Show!$A$4)-(1/Calc!K91))</f>
        <v>-0.76433121019108274</v>
      </c>
      <c r="B91" s="45" t="e">
        <f>MATCH(A91*Calc!$R$12,Calc!$K$1:$K$774,1)</f>
        <v>#N/A</v>
      </c>
      <c r="C91" s="45" t="e">
        <f>INDEX(Calc!$K$1:$K$774,B91)</f>
        <v>#N/A</v>
      </c>
      <c r="D91" s="45" t="e">
        <f>1/(1/C91+1/Calc!K91)</f>
        <v>#N/A</v>
      </c>
      <c r="E91" s="45" t="e">
        <f>ABS(Show!$A$4-D91)/(Show!$A$4/100)</f>
        <v>#N/A</v>
      </c>
      <c r="F91" s="46">
        <f>Show!$A$4-Calc!L91</f>
        <v>39.231999999999999</v>
      </c>
      <c r="G91" s="46">
        <f>MATCH(F91*Calc!$R$12,Calc!$K$1:$K$774,1)</f>
        <v>256</v>
      </c>
      <c r="H91" s="46">
        <f>INDEX(Calc!$K$1:$K$774,G91)</f>
        <v>38.299999999999997</v>
      </c>
      <c r="I91" s="46">
        <f>H91+Calc!K91</f>
        <v>39.049999999999997</v>
      </c>
      <c r="J91" s="46">
        <f>ABS(Show!$A$4-I91)/(Show!$A$4/100)</f>
        <v>2.3750000000000071</v>
      </c>
      <c r="K91" s="45">
        <f>INDEX(Calc!L91:P91,Show!$B$4)</f>
        <v>0.75</v>
      </c>
      <c r="L91" s="50">
        <v>0.76800000000000002</v>
      </c>
      <c r="M91" s="50">
        <f>L90</f>
        <v>0.75</v>
      </c>
      <c r="N91" s="50">
        <f>L90</f>
        <v>0.75</v>
      </c>
      <c r="O91" s="50">
        <v>0.82</v>
      </c>
      <c r="P91" s="50">
        <f>O82</f>
        <v>0.68</v>
      </c>
    </row>
    <row r="92" spans="1:16" x14ac:dyDescent="0.25">
      <c r="A92" s="45">
        <f>1/((1/Show!$A$4)-(1/Calc!K92))</f>
        <v>-0.76433121019108274</v>
      </c>
      <c r="B92" s="45" t="e">
        <f>MATCH(A92*Calc!$R$12,Calc!$K$1:$K$774,1)</f>
        <v>#N/A</v>
      </c>
      <c r="C92" s="45" t="e">
        <f>INDEX(Calc!$K$1:$K$774,B92)</f>
        <v>#N/A</v>
      </c>
      <c r="D92" s="45" t="e">
        <f>1/(1/C92+1/Calc!K92)</f>
        <v>#N/A</v>
      </c>
      <c r="E92" s="45" t="e">
        <f>ABS(Show!$A$4-D92)/(Show!$A$4/100)</f>
        <v>#N/A</v>
      </c>
      <c r="F92" s="46">
        <f>Show!$A$4-Calc!L92</f>
        <v>39.213000000000001</v>
      </c>
      <c r="G92" s="46">
        <f>MATCH(F92*Calc!$R$12,Calc!$K$1:$K$774,1)</f>
        <v>256</v>
      </c>
      <c r="H92" s="46">
        <f>INDEX(Calc!$K$1:$K$774,G92)</f>
        <v>38.299999999999997</v>
      </c>
      <c r="I92" s="46">
        <f>H92+Calc!K92</f>
        <v>39.049999999999997</v>
      </c>
      <c r="J92" s="46">
        <f>ABS(Show!$A$4-I92)/(Show!$A$4/100)</f>
        <v>2.3750000000000071</v>
      </c>
      <c r="K92" s="45">
        <f>INDEX(Calc!L92:P92,Show!$B$4)</f>
        <v>0.75</v>
      </c>
      <c r="L92" s="50">
        <v>0.78700000000000003</v>
      </c>
      <c r="M92" s="50">
        <f>L92</f>
        <v>0.78700000000000003</v>
      </c>
      <c r="N92" s="50">
        <f>L90</f>
        <v>0.75</v>
      </c>
      <c r="O92" s="50">
        <v>0.82</v>
      </c>
      <c r="P92" s="50">
        <f>O82</f>
        <v>0.68</v>
      </c>
    </row>
    <row r="93" spans="1:16" x14ac:dyDescent="0.25">
      <c r="A93" s="45">
        <f>1/((1/Show!$A$4)-(1/Calc!K93))</f>
        <v>-0.8423739629865985</v>
      </c>
      <c r="B93" s="45" t="e">
        <f>MATCH(A93*Calc!$R$12,Calc!$K$1:$K$774,1)</f>
        <v>#N/A</v>
      </c>
      <c r="C93" s="45" t="e">
        <f>INDEX(Calc!$K$1:$K$774,B93)</f>
        <v>#N/A</v>
      </c>
      <c r="D93" s="45" t="e">
        <f>1/(1/C93+1/Calc!K93)</f>
        <v>#N/A</v>
      </c>
      <c r="E93" s="45" t="e">
        <f>ABS(Show!$A$4-D93)/(Show!$A$4/100)</f>
        <v>#N/A</v>
      </c>
      <c r="F93" s="46">
        <f>Show!$A$4-Calc!L93</f>
        <v>39.194000000000003</v>
      </c>
      <c r="G93" s="46">
        <f>MATCH(F93*Calc!$R$12,Calc!$K$1:$K$774,1)</f>
        <v>256</v>
      </c>
      <c r="H93" s="46">
        <f>INDEX(Calc!$K$1:$K$774,G93)</f>
        <v>38.299999999999997</v>
      </c>
      <c r="I93" s="46">
        <f>H93+Calc!K93</f>
        <v>39.125</v>
      </c>
      <c r="J93" s="46">
        <f>ABS(Show!$A$4-I93)/(Show!$A$4/100)</f>
        <v>2.1875</v>
      </c>
      <c r="K93" s="45">
        <f>INDEX(Calc!L93:P93,Show!$B$4)</f>
        <v>0.82499999999999996</v>
      </c>
      <c r="L93" s="50">
        <v>0.80599999999999994</v>
      </c>
      <c r="M93" s="50">
        <f>L92</f>
        <v>0.78700000000000003</v>
      </c>
      <c r="N93" s="50">
        <f>L94</f>
        <v>0.82499999999999996</v>
      </c>
      <c r="O93" s="50">
        <v>0.82</v>
      </c>
      <c r="P93" s="50">
        <f>O82</f>
        <v>0.68</v>
      </c>
    </row>
    <row r="94" spans="1:16" x14ac:dyDescent="0.25">
      <c r="A94" s="45">
        <f>1/((1/Show!$A$4)-(1/Calc!K94))</f>
        <v>-0.8423739629865985</v>
      </c>
      <c r="B94" s="45" t="e">
        <f>MATCH(A94*Calc!$R$12,Calc!$K$1:$K$774,1)</f>
        <v>#N/A</v>
      </c>
      <c r="C94" s="45" t="e">
        <f>INDEX(Calc!$K$1:$K$774,B94)</f>
        <v>#N/A</v>
      </c>
      <c r="D94" s="45" t="e">
        <f>1/(1/C94+1/Calc!K94)</f>
        <v>#N/A</v>
      </c>
      <c r="E94" s="45" t="e">
        <f>ABS(Show!$A$4-D94)/(Show!$A$4/100)</f>
        <v>#N/A</v>
      </c>
      <c r="F94" s="46">
        <f>Show!$A$4-Calc!L94</f>
        <v>39.174999999999997</v>
      </c>
      <c r="G94" s="46">
        <f>MATCH(F94*Calc!$R$12,Calc!$K$1:$K$774,1)</f>
        <v>256</v>
      </c>
      <c r="H94" s="46">
        <f>INDEX(Calc!$K$1:$K$774,G94)</f>
        <v>38.299999999999997</v>
      </c>
      <c r="I94" s="46">
        <f>H94+Calc!K94</f>
        <v>39.125</v>
      </c>
      <c r="J94" s="46">
        <f>ABS(Show!$A$4-I94)/(Show!$A$4/100)</f>
        <v>2.1875</v>
      </c>
      <c r="K94" s="45">
        <f>INDEX(Calc!L94:P94,Show!$B$4)</f>
        <v>0.82499999999999996</v>
      </c>
      <c r="L94" s="50">
        <v>0.82499999999999996</v>
      </c>
      <c r="M94" s="50">
        <f>L94</f>
        <v>0.82499999999999996</v>
      </c>
      <c r="N94" s="50">
        <f>L94</f>
        <v>0.82499999999999996</v>
      </c>
      <c r="O94" s="50">
        <v>0.82</v>
      </c>
      <c r="P94" s="50">
        <f>O98</f>
        <v>1</v>
      </c>
    </row>
    <row r="95" spans="1:16" x14ac:dyDescent="0.25">
      <c r="A95" s="45">
        <f>1/((1/Show!$A$4)-(1/Calc!K95))</f>
        <v>-0.8423739629865985</v>
      </c>
      <c r="B95" s="45" t="e">
        <f>MATCH(A95*Calc!$R$12,Calc!$K$1:$K$774,1)</f>
        <v>#N/A</v>
      </c>
      <c r="C95" s="45" t="e">
        <f>INDEX(Calc!$K$1:$K$774,B95)</f>
        <v>#N/A</v>
      </c>
      <c r="D95" s="45" t="e">
        <f>1/(1/C95+1/Calc!K95)</f>
        <v>#N/A</v>
      </c>
      <c r="E95" s="45" t="e">
        <f>ABS(Show!$A$4-D95)/(Show!$A$4/100)</f>
        <v>#N/A</v>
      </c>
      <c r="F95" s="46">
        <f>Show!$A$4-Calc!L95</f>
        <v>39.155000000000001</v>
      </c>
      <c r="G95" s="46">
        <f>MATCH(F95*Calc!$R$12,Calc!$K$1:$K$774,1)</f>
        <v>256</v>
      </c>
      <c r="H95" s="46">
        <f>INDEX(Calc!$K$1:$K$774,G95)</f>
        <v>38.299999999999997</v>
      </c>
      <c r="I95" s="46">
        <f>H95+Calc!K95</f>
        <v>39.125</v>
      </c>
      <c r="J95" s="46">
        <f>ABS(Show!$A$4-I95)/(Show!$A$4/100)</f>
        <v>2.1875</v>
      </c>
      <c r="K95" s="45">
        <f>INDEX(Calc!L95:P95,Show!$B$4)</f>
        <v>0.82499999999999996</v>
      </c>
      <c r="L95" s="50">
        <v>0.84499999999999997</v>
      </c>
      <c r="M95" s="50">
        <f>L94</f>
        <v>0.82499999999999996</v>
      </c>
      <c r="N95" s="50">
        <f>L94</f>
        <v>0.82499999999999996</v>
      </c>
      <c r="O95" s="50">
        <v>0.82</v>
      </c>
      <c r="P95" s="50">
        <f>O98</f>
        <v>1</v>
      </c>
    </row>
    <row r="96" spans="1:16" x14ac:dyDescent="0.25">
      <c r="A96" s="45">
        <f>1/((1/Show!$A$4)-(1/Calc!K96))</f>
        <v>-0.8423739629865985</v>
      </c>
      <c r="B96" s="45" t="e">
        <f>MATCH(A96*Calc!$R$12,Calc!$K$1:$K$774,1)</f>
        <v>#N/A</v>
      </c>
      <c r="C96" s="45" t="e">
        <f>INDEX(Calc!$K$1:$K$774,B96)</f>
        <v>#N/A</v>
      </c>
      <c r="D96" s="45" t="e">
        <f>1/(1/C96+1/Calc!K96)</f>
        <v>#N/A</v>
      </c>
      <c r="E96" s="45" t="e">
        <f>ABS(Show!$A$4-D96)/(Show!$A$4/100)</f>
        <v>#N/A</v>
      </c>
      <c r="F96" s="46">
        <f>Show!$A$4-Calc!L96</f>
        <v>39.134</v>
      </c>
      <c r="G96" s="46">
        <f>MATCH(F96*Calc!$R$12,Calc!$K$1:$K$774,1)</f>
        <v>256</v>
      </c>
      <c r="H96" s="46">
        <f>INDEX(Calc!$K$1:$K$774,G96)</f>
        <v>38.299999999999997</v>
      </c>
      <c r="I96" s="46">
        <f>H96+Calc!K96</f>
        <v>39.125</v>
      </c>
      <c r="J96" s="46">
        <f>ABS(Show!$A$4-I96)/(Show!$A$4/100)</f>
        <v>2.1875</v>
      </c>
      <c r="K96" s="45">
        <f>INDEX(Calc!L96:P96,Show!$B$4)</f>
        <v>0.82499999999999996</v>
      </c>
      <c r="L96" s="50">
        <v>0.86599999999999999</v>
      </c>
      <c r="M96" s="50">
        <f>L96</f>
        <v>0.86599999999999999</v>
      </c>
      <c r="N96" s="50">
        <f>L94</f>
        <v>0.82499999999999996</v>
      </c>
      <c r="O96" s="50">
        <v>0.82</v>
      </c>
      <c r="P96" s="50">
        <f>O98</f>
        <v>1</v>
      </c>
    </row>
    <row r="97" spans="1:18" x14ac:dyDescent="0.25">
      <c r="A97" s="45">
        <f>1/((1/Show!$A$4)-(1/Calc!K97))</f>
        <v>-0.93013737177355393</v>
      </c>
      <c r="B97" s="45" t="e">
        <f>MATCH(A97*Calc!$R$12,Calc!$K$1:$K$774,1)</f>
        <v>#N/A</v>
      </c>
      <c r="C97" s="45" t="e">
        <f>INDEX(Calc!$K$1:$K$774,B97)</f>
        <v>#N/A</v>
      </c>
      <c r="D97" s="45" t="e">
        <f>1/(1/C97+1/Calc!K97)</f>
        <v>#N/A</v>
      </c>
      <c r="E97" s="45" t="e">
        <f>ABS(Show!$A$4-D97)/(Show!$A$4/100)</f>
        <v>#N/A</v>
      </c>
      <c r="F97" s="46">
        <f>Show!$A$4-Calc!L97</f>
        <v>39.113</v>
      </c>
      <c r="G97" s="46">
        <f>MATCH(F97*Calc!$R$12,Calc!$K$1:$K$774,1)</f>
        <v>256</v>
      </c>
      <c r="H97" s="46">
        <f>INDEX(Calc!$K$1:$K$774,G97)</f>
        <v>38.299999999999997</v>
      </c>
      <c r="I97" s="46">
        <f>H97+Calc!K97</f>
        <v>39.208999999999996</v>
      </c>
      <c r="J97" s="46">
        <f>ABS(Show!$A$4-I97)/(Show!$A$4/100)</f>
        <v>1.9775000000000098</v>
      </c>
      <c r="K97" s="45">
        <f>INDEX(Calc!L97:P97,Show!$B$4)</f>
        <v>0.90900000000000003</v>
      </c>
      <c r="L97" s="50">
        <v>0.88700000000000001</v>
      </c>
      <c r="M97" s="50">
        <f>L96</f>
        <v>0.86599999999999999</v>
      </c>
      <c r="N97" s="50">
        <f>L98</f>
        <v>0.90900000000000003</v>
      </c>
      <c r="O97" s="50">
        <v>0.82</v>
      </c>
      <c r="P97" s="50">
        <f>O98</f>
        <v>1</v>
      </c>
    </row>
    <row r="98" spans="1:18" x14ac:dyDescent="0.25">
      <c r="A98" s="45">
        <f>1/((1/Show!$A$4)-(1/Calc!K98))</f>
        <v>-0.93013737177355393</v>
      </c>
      <c r="B98" s="45" t="e">
        <f>MATCH(A98*Calc!$R$12,Calc!$K$1:$K$774,1)</f>
        <v>#N/A</v>
      </c>
      <c r="C98" s="45" t="e">
        <f>INDEX(Calc!$K$1:$K$774,B98)</f>
        <v>#N/A</v>
      </c>
      <c r="D98" s="45" t="e">
        <f>1/(1/C98+1/Calc!K98)</f>
        <v>#N/A</v>
      </c>
      <c r="E98" s="45" t="e">
        <f>ABS(Show!$A$4-D98)/(Show!$A$4/100)</f>
        <v>#N/A</v>
      </c>
      <c r="F98" s="46">
        <f>Show!$A$4-Calc!L98</f>
        <v>39.091000000000001</v>
      </c>
      <c r="G98" s="46">
        <f>MATCH(F98*Calc!$R$12,Calc!$K$1:$K$774,1)</f>
        <v>256</v>
      </c>
      <c r="H98" s="46">
        <f>INDEX(Calc!$K$1:$K$774,G98)</f>
        <v>38.299999999999997</v>
      </c>
      <c r="I98" s="46">
        <f>H98+Calc!K98</f>
        <v>39.208999999999996</v>
      </c>
      <c r="J98" s="46">
        <f>ABS(Show!$A$4-I98)/(Show!$A$4/100)</f>
        <v>1.9775000000000098</v>
      </c>
      <c r="K98" s="45">
        <f>INDEX(Calc!L98:P98,Show!$B$4)</f>
        <v>0.90900000000000003</v>
      </c>
      <c r="L98" s="50">
        <v>0.90900000000000003</v>
      </c>
      <c r="M98" s="50">
        <f>L98</f>
        <v>0.90900000000000003</v>
      </c>
      <c r="N98" s="50">
        <f>L98</f>
        <v>0.90900000000000003</v>
      </c>
      <c r="O98" s="50">
        <f>1</f>
        <v>1</v>
      </c>
      <c r="P98" s="50">
        <f>O98</f>
        <v>1</v>
      </c>
    </row>
    <row r="99" spans="1:18" x14ac:dyDescent="0.25">
      <c r="A99" s="45">
        <f>1/((1/Show!$A$4)-(1/Calc!K99))</f>
        <v>-0.93013737177355393</v>
      </c>
      <c r="B99" s="45" t="e">
        <f>MATCH(A99*Calc!$R$12,Calc!$K$1:$K$774,1)</f>
        <v>#N/A</v>
      </c>
      <c r="C99" s="45" t="e">
        <f>INDEX(Calc!$K$1:$K$774,B99)</f>
        <v>#N/A</v>
      </c>
      <c r="D99" s="45" t="e">
        <f>1/(1/C99+1/Calc!K99)</f>
        <v>#N/A</v>
      </c>
      <c r="E99" s="45" t="e">
        <f>ABS(Show!$A$4-D99)/(Show!$A$4/100)</f>
        <v>#N/A</v>
      </c>
      <c r="F99" s="46">
        <f>Show!$A$4-Calc!L99</f>
        <v>39.069000000000003</v>
      </c>
      <c r="G99" s="46">
        <f>MATCH(F99*Calc!$R$12,Calc!$K$1:$K$774,1)</f>
        <v>256</v>
      </c>
      <c r="H99" s="46">
        <f>INDEX(Calc!$K$1:$K$774,G99)</f>
        <v>38.299999999999997</v>
      </c>
      <c r="I99" s="46">
        <f>H99+Calc!K99</f>
        <v>39.208999999999996</v>
      </c>
      <c r="J99" s="46">
        <f>ABS(Show!$A$4-I99)/(Show!$A$4/100)</f>
        <v>1.9775000000000098</v>
      </c>
      <c r="K99" s="45">
        <f>INDEX(Calc!L99:P99,Show!$B$4)</f>
        <v>0.90900000000000003</v>
      </c>
      <c r="L99" s="50">
        <v>0.93099999999999994</v>
      </c>
      <c r="M99" s="50">
        <f>L98</f>
        <v>0.90900000000000003</v>
      </c>
      <c r="N99" s="50">
        <f>L98</f>
        <v>0.90900000000000003</v>
      </c>
      <c r="O99" s="50">
        <f>1</f>
        <v>1</v>
      </c>
      <c r="P99" s="50">
        <f>O98</f>
        <v>1</v>
      </c>
    </row>
    <row r="100" spans="1:18" x14ac:dyDescent="0.25">
      <c r="A100" s="45">
        <f>1/((1/Show!$A$4)-(1/Calc!K100))</f>
        <v>-0.93013737177355393</v>
      </c>
      <c r="B100" s="45" t="e">
        <f>MATCH(A100*Calc!$R$12,Calc!$K$1:$K$774,1)</f>
        <v>#N/A</v>
      </c>
      <c r="C100" s="45" t="e">
        <f>INDEX(Calc!$K$1:$K$774,B100)</f>
        <v>#N/A</v>
      </c>
      <c r="D100" s="45" t="e">
        <f>1/(1/C100+1/Calc!K100)</f>
        <v>#N/A</v>
      </c>
      <c r="E100" s="45" t="e">
        <f>ABS(Show!$A$4-D100)/(Show!$A$4/100)</f>
        <v>#N/A</v>
      </c>
      <c r="F100" s="46">
        <f>Show!$A$4-Calc!L100</f>
        <v>39.046999999999997</v>
      </c>
      <c r="G100" s="46">
        <f>MATCH(F100*Calc!$R$12,Calc!$K$1:$K$774,1)</f>
        <v>256</v>
      </c>
      <c r="H100" s="46">
        <f>INDEX(Calc!$K$1:$K$774,G100)</f>
        <v>38.299999999999997</v>
      </c>
      <c r="I100" s="46">
        <f>H100+Calc!K100</f>
        <v>39.208999999999996</v>
      </c>
      <c r="J100" s="46">
        <f>ABS(Show!$A$4-I100)/(Show!$A$4/100)</f>
        <v>1.9775000000000098</v>
      </c>
      <c r="K100" s="45">
        <f>INDEX(Calc!L100:P100,Show!$B$4)</f>
        <v>0.90900000000000003</v>
      </c>
      <c r="L100" s="50">
        <v>0.95299999999999996</v>
      </c>
      <c r="M100" s="50">
        <f>L100</f>
        <v>0.95299999999999996</v>
      </c>
      <c r="N100" s="50">
        <f>L98</f>
        <v>0.90900000000000003</v>
      </c>
      <c r="O100" s="50">
        <f>1</f>
        <v>1</v>
      </c>
      <c r="P100" s="50">
        <f>O98</f>
        <v>1</v>
      </c>
    </row>
    <row r="101" spans="1:18" s="43" customFormat="1" ht="15.75" thickBot="1" x14ac:dyDescent="0.3">
      <c r="A101" s="47">
        <f>1/((1/Show!$A$4)-(1/Calc!K101))</f>
        <v>-1.0256410256410258</v>
      </c>
      <c r="B101" s="47" t="e">
        <f>MATCH(A101*Calc!$R$12,Calc!$K$1:$K$774,1)</f>
        <v>#N/A</v>
      </c>
      <c r="C101" s="47" t="e">
        <f>INDEX(Calc!$K$1:$K$774,B101)</f>
        <v>#N/A</v>
      </c>
      <c r="D101" s="47" t="e">
        <f>1/(1/C101+1/Calc!K101)</f>
        <v>#N/A</v>
      </c>
      <c r="E101" s="47" t="e">
        <f>ABS(Show!$A$4-D101)/(Show!$A$4/100)</f>
        <v>#N/A</v>
      </c>
      <c r="F101" s="48">
        <f>Show!$A$4-Calc!L101</f>
        <v>39.024000000000001</v>
      </c>
      <c r="G101" s="48">
        <f>MATCH(F101*Calc!$R$12,Calc!$K$1:$K$774,1)</f>
        <v>256</v>
      </c>
      <c r="H101" s="48">
        <f>INDEX(Calc!$K$1:$K$774,G101)</f>
        <v>38.299999999999997</v>
      </c>
      <c r="I101" s="48">
        <f>H101+Calc!K101</f>
        <v>39.299999999999997</v>
      </c>
      <c r="J101" s="48">
        <f>ABS(Show!$A$4-I101)/(Show!$A$4/100)</f>
        <v>1.7500000000000071</v>
      </c>
      <c r="K101" s="47">
        <f>INDEX(Calc!L101:P101,Show!$B$4)</f>
        <v>1</v>
      </c>
      <c r="L101" s="51">
        <v>0.97599999999999998</v>
      </c>
      <c r="M101" s="51">
        <f>L100</f>
        <v>0.95299999999999996</v>
      </c>
      <c r="N101" s="51">
        <f>L102</f>
        <v>1</v>
      </c>
      <c r="O101" s="51">
        <f>1</f>
        <v>1</v>
      </c>
      <c r="P101" s="51">
        <f>O98</f>
        <v>1</v>
      </c>
      <c r="Q101" s="47"/>
      <c r="R101" s="47"/>
    </row>
    <row r="102" spans="1:18" ht="15.75" thickTop="1" x14ac:dyDescent="0.25">
      <c r="A102" s="45">
        <f>1/((1/Show!$A$4)-(1/Calc!K102))</f>
        <v>-1.0256410256410258</v>
      </c>
      <c r="B102" s="45" t="e">
        <f>MATCH(A102*Calc!$R$12,Calc!$K$1:$K$774,1)</f>
        <v>#N/A</v>
      </c>
      <c r="C102" s="45" t="e">
        <f>INDEX(Calc!$K$1:$K$774,B102)</f>
        <v>#N/A</v>
      </c>
      <c r="D102" s="45" t="e">
        <f>1/(1/C102+1/Calc!K102)</f>
        <v>#N/A</v>
      </c>
      <c r="E102" s="45" t="e">
        <f>ABS(Show!$A$4-D102)/(Show!$A$4/100)</f>
        <v>#N/A</v>
      </c>
      <c r="F102" s="46">
        <f>Show!$A$4-Calc!L102</f>
        <v>39</v>
      </c>
      <c r="G102" s="46">
        <f>MATCH(F102*Calc!$R$12,Calc!$K$1:$K$774,1)</f>
        <v>256</v>
      </c>
      <c r="H102" s="46">
        <f>INDEX(Calc!$K$1:$K$774,G102)</f>
        <v>38.299999999999997</v>
      </c>
      <c r="I102" s="46">
        <f>H102+Calc!K102</f>
        <v>39.299999999999997</v>
      </c>
      <c r="J102" s="46">
        <f>ABS(Show!$A$4-I102)/(Show!$A$4/100)</f>
        <v>1.7500000000000071</v>
      </c>
      <c r="K102" s="45">
        <f>INDEX(Calc!L102:P102,Show!$B$4)</f>
        <v>1</v>
      </c>
      <c r="L102" s="46">
        <f>L6*10</f>
        <v>1</v>
      </c>
      <c r="M102" s="46">
        <f>L102</f>
        <v>1</v>
      </c>
      <c r="N102" s="46">
        <f>L102</f>
        <v>1</v>
      </c>
      <c r="O102" s="46">
        <f t="shared" ref="O102:O121" si="0">O6*10</f>
        <v>1</v>
      </c>
      <c r="P102" s="46">
        <f t="shared" ref="P102" si="1">O102</f>
        <v>1</v>
      </c>
    </row>
    <row r="103" spans="1:18" x14ac:dyDescent="0.25">
      <c r="A103" s="45">
        <f>1/((1/Show!$A$4)-(1/Calc!K103))</f>
        <v>-1.0256410256410258</v>
      </c>
      <c r="B103" s="45" t="e">
        <f>MATCH(A103*Calc!$R$12,Calc!$K$1:$K$774,1)</f>
        <v>#N/A</v>
      </c>
      <c r="C103" s="45" t="e">
        <f>INDEX(Calc!$K$1:$K$774,B103)</f>
        <v>#N/A</v>
      </c>
      <c r="D103" s="45" t="e">
        <f>1/(1/C103+1/Calc!K103)</f>
        <v>#N/A</v>
      </c>
      <c r="E103" s="45" t="e">
        <f>ABS(Show!$A$4-D103)/(Show!$A$4/100)</f>
        <v>#N/A</v>
      </c>
      <c r="F103" s="46">
        <f>Show!$A$4-Calc!L103</f>
        <v>38.979999999999997</v>
      </c>
      <c r="G103" s="46">
        <f>MATCH(F103*Calc!$R$12,Calc!$K$1:$K$774,1)</f>
        <v>256</v>
      </c>
      <c r="H103" s="46">
        <f>INDEX(Calc!$K$1:$K$774,G103)</f>
        <v>38.299999999999997</v>
      </c>
      <c r="I103" s="46">
        <f>H103+Calc!K103</f>
        <v>39.299999999999997</v>
      </c>
      <c r="J103" s="46">
        <f>ABS(Show!$A$4-I103)/(Show!$A$4/100)</f>
        <v>1.7500000000000071</v>
      </c>
      <c r="K103" s="45">
        <f>INDEX(Calc!L103:P103,Show!$B$4)</f>
        <v>1</v>
      </c>
      <c r="L103" s="46">
        <f t="shared" ref="L103:L166" si="2">L7*10</f>
        <v>1.02</v>
      </c>
      <c r="M103" s="46">
        <f>L102</f>
        <v>1</v>
      </c>
      <c r="N103" s="46">
        <f>L102</f>
        <v>1</v>
      </c>
      <c r="O103" s="46">
        <f t="shared" si="0"/>
        <v>1</v>
      </c>
      <c r="P103" s="46">
        <f t="shared" ref="P103" si="3">O102</f>
        <v>1</v>
      </c>
    </row>
    <row r="104" spans="1:18" x14ac:dyDescent="0.25">
      <c r="A104" s="45">
        <f>1/((1/Show!$A$4)-(1/Calc!K104))</f>
        <v>-1.0256410256410258</v>
      </c>
      <c r="B104" s="45" t="e">
        <f>MATCH(A104*Calc!$R$12,Calc!$K$1:$K$774,1)</f>
        <v>#N/A</v>
      </c>
      <c r="C104" s="45" t="e">
        <f>INDEX(Calc!$K$1:$K$774,B104)</f>
        <v>#N/A</v>
      </c>
      <c r="D104" s="45" t="e">
        <f>1/(1/C104+1/Calc!K104)</f>
        <v>#N/A</v>
      </c>
      <c r="E104" s="45" t="e">
        <f>ABS(Show!$A$4-D104)/(Show!$A$4/100)</f>
        <v>#N/A</v>
      </c>
      <c r="F104" s="46">
        <f>Show!$A$4-Calc!L104</f>
        <v>38.950000000000003</v>
      </c>
      <c r="G104" s="46">
        <f>MATCH(F104*Calc!$R$12,Calc!$K$1:$K$774,1)</f>
        <v>256</v>
      </c>
      <c r="H104" s="46">
        <f>INDEX(Calc!$K$1:$K$774,G104)</f>
        <v>38.299999999999997</v>
      </c>
      <c r="I104" s="46">
        <f>H104+Calc!K104</f>
        <v>39.299999999999997</v>
      </c>
      <c r="J104" s="46">
        <f>ABS(Show!$A$4-I104)/(Show!$A$4/100)</f>
        <v>1.7500000000000071</v>
      </c>
      <c r="K104" s="45">
        <f>INDEX(Calc!L104:P104,Show!$B$4)</f>
        <v>1</v>
      </c>
      <c r="L104" s="46">
        <f t="shared" si="2"/>
        <v>1.05</v>
      </c>
      <c r="M104" s="46">
        <f>L104</f>
        <v>1.05</v>
      </c>
      <c r="N104" s="46">
        <f>L102</f>
        <v>1</v>
      </c>
      <c r="O104" s="46">
        <f t="shared" si="0"/>
        <v>1</v>
      </c>
      <c r="P104" s="46">
        <f t="shared" ref="P104" si="4">O102</f>
        <v>1</v>
      </c>
    </row>
    <row r="105" spans="1:18" x14ac:dyDescent="0.25">
      <c r="A105" s="45">
        <f>1/((1/Show!$A$4)-(1/Calc!K105))</f>
        <v>-1.1311053984575836</v>
      </c>
      <c r="B105" s="45" t="e">
        <f>MATCH(A105*Calc!$R$12,Calc!$K$1:$K$774,1)</f>
        <v>#N/A</v>
      </c>
      <c r="C105" s="45" t="e">
        <f>INDEX(Calc!$K$1:$K$774,B105)</f>
        <v>#N/A</v>
      </c>
      <c r="D105" s="45" t="e">
        <f>1/(1/C105+1/Calc!K105)</f>
        <v>#N/A</v>
      </c>
      <c r="E105" s="45" t="e">
        <f>ABS(Show!$A$4-D105)/(Show!$A$4/100)</f>
        <v>#N/A</v>
      </c>
      <c r="F105" s="46">
        <f>Show!$A$4-Calc!L105</f>
        <v>38.93</v>
      </c>
      <c r="G105" s="46">
        <f>MATCH(F105*Calc!$R$12,Calc!$K$1:$K$774,1)</f>
        <v>256</v>
      </c>
      <c r="H105" s="46">
        <f>INDEX(Calc!$K$1:$K$774,G105)</f>
        <v>38.299999999999997</v>
      </c>
      <c r="I105" s="46">
        <f>H105+Calc!K105</f>
        <v>39.4</v>
      </c>
      <c r="J105" s="46">
        <f>ABS(Show!$A$4-I105)/(Show!$A$4/100)</f>
        <v>1.5000000000000036</v>
      </c>
      <c r="K105" s="45">
        <f>INDEX(Calc!L105:P105,Show!$B$4)</f>
        <v>1.1000000000000001</v>
      </c>
      <c r="L105" s="46">
        <f t="shared" si="2"/>
        <v>1.07</v>
      </c>
      <c r="M105" s="46">
        <f>L104</f>
        <v>1.05</v>
      </c>
      <c r="N105" s="46">
        <f>L106</f>
        <v>1.1000000000000001</v>
      </c>
      <c r="O105" s="46">
        <f t="shared" si="0"/>
        <v>1</v>
      </c>
      <c r="P105" s="46">
        <f t="shared" ref="P105" si="5">O102</f>
        <v>1</v>
      </c>
    </row>
    <row r="106" spans="1:18" x14ac:dyDescent="0.25">
      <c r="A106" s="45">
        <f>1/((1/Show!$A$4)-(1/Calc!K106))</f>
        <v>-1.1311053984575836</v>
      </c>
      <c r="B106" s="45" t="e">
        <f>MATCH(A106*Calc!$R$12,Calc!$K$1:$K$774,1)</f>
        <v>#N/A</v>
      </c>
      <c r="C106" s="45" t="e">
        <f>INDEX(Calc!$K$1:$K$774,B106)</f>
        <v>#N/A</v>
      </c>
      <c r="D106" s="45" t="e">
        <f>1/(1/C106+1/Calc!K106)</f>
        <v>#N/A</v>
      </c>
      <c r="E106" s="45" t="e">
        <f>ABS(Show!$A$4-D106)/(Show!$A$4/100)</f>
        <v>#N/A</v>
      </c>
      <c r="F106" s="46">
        <f>Show!$A$4-Calc!L106</f>
        <v>38.9</v>
      </c>
      <c r="G106" s="46">
        <f>MATCH(F106*Calc!$R$12,Calc!$K$1:$K$774,1)</f>
        <v>256</v>
      </c>
      <c r="H106" s="46">
        <f>INDEX(Calc!$K$1:$K$774,G106)</f>
        <v>38.299999999999997</v>
      </c>
      <c r="I106" s="46">
        <f>H106+Calc!K106</f>
        <v>39.4</v>
      </c>
      <c r="J106" s="46">
        <f>ABS(Show!$A$4-I106)/(Show!$A$4/100)</f>
        <v>1.5000000000000036</v>
      </c>
      <c r="K106" s="45">
        <f>INDEX(Calc!L106:P106,Show!$B$4)</f>
        <v>1.1000000000000001</v>
      </c>
      <c r="L106" s="46">
        <f t="shared" si="2"/>
        <v>1.1000000000000001</v>
      </c>
      <c r="M106" s="46">
        <f>L106</f>
        <v>1.1000000000000001</v>
      </c>
      <c r="N106" s="46">
        <f>L106</f>
        <v>1.1000000000000001</v>
      </c>
      <c r="O106" s="46">
        <f t="shared" si="0"/>
        <v>1.2</v>
      </c>
      <c r="P106" s="46">
        <f t="shared" ref="P106" si="6">O102</f>
        <v>1</v>
      </c>
    </row>
    <row r="107" spans="1:18" x14ac:dyDescent="0.25">
      <c r="A107" s="45">
        <f>1/((1/Show!$A$4)-(1/Calc!K107))</f>
        <v>-1.1311053984575836</v>
      </c>
      <c r="B107" s="45" t="e">
        <f>MATCH(A107*Calc!$R$12,Calc!$K$1:$K$774,1)</f>
        <v>#N/A</v>
      </c>
      <c r="C107" s="45" t="e">
        <f>INDEX(Calc!$K$1:$K$774,B107)</f>
        <v>#N/A</v>
      </c>
      <c r="D107" s="45" t="e">
        <f>1/(1/C107+1/Calc!K107)</f>
        <v>#N/A</v>
      </c>
      <c r="E107" s="45" t="e">
        <f>ABS(Show!$A$4-D107)/(Show!$A$4/100)</f>
        <v>#N/A</v>
      </c>
      <c r="F107" s="46">
        <f>Show!$A$4-Calc!L107</f>
        <v>38.869999999999997</v>
      </c>
      <c r="G107" s="46">
        <f>MATCH(F107*Calc!$R$12,Calc!$K$1:$K$774,1)</f>
        <v>256</v>
      </c>
      <c r="H107" s="46">
        <f>INDEX(Calc!$K$1:$K$774,G107)</f>
        <v>38.299999999999997</v>
      </c>
      <c r="I107" s="46">
        <f>H107+Calc!K107</f>
        <v>39.4</v>
      </c>
      <c r="J107" s="46">
        <f>ABS(Show!$A$4-I107)/(Show!$A$4/100)</f>
        <v>1.5000000000000036</v>
      </c>
      <c r="K107" s="45">
        <f>INDEX(Calc!L107:P107,Show!$B$4)</f>
        <v>1.1000000000000001</v>
      </c>
      <c r="L107" s="46">
        <f t="shared" si="2"/>
        <v>1.1300000000000001</v>
      </c>
      <c r="M107" s="46">
        <f>L106</f>
        <v>1.1000000000000001</v>
      </c>
      <c r="N107" s="46">
        <f>L106</f>
        <v>1.1000000000000001</v>
      </c>
      <c r="O107" s="46">
        <f t="shared" si="0"/>
        <v>1.2</v>
      </c>
      <c r="P107" s="46">
        <f t="shared" ref="P107" si="7">O102</f>
        <v>1</v>
      </c>
    </row>
    <row r="108" spans="1:18" x14ac:dyDescent="0.25">
      <c r="A108" s="45">
        <f>1/((1/Show!$A$4)-(1/Calc!K108))</f>
        <v>-1.1311053984575836</v>
      </c>
      <c r="B108" s="45" t="e">
        <f>MATCH(A108*Calc!$R$12,Calc!$K$1:$K$774,1)</f>
        <v>#N/A</v>
      </c>
      <c r="C108" s="45" t="e">
        <f>INDEX(Calc!$K$1:$K$774,B108)</f>
        <v>#N/A</v>
      </c>
      <c r="D108" s="45" t="e">
        <f>1/(1/C108+1/Calc!K108)</f>
        <v>#N/A</v>
      </c>
      <c r="E108" s="45" t="e">
        <f>ABS(Show!$A$4-D108)/(Show!$A$4/100)</f>
        <v>#N/A</v>
      </c>
      <c r="F108" s="46">
        <f>Show!$A$4-Calc!L108</f>
        <v>38.85</v>
      </c>
      <c r="G108" s="46">
        <f>MATCH(F108*Calc!$R$12,Calc!$K$1:$K$774,1)</f>
        <v>256</v>
      </c>
      <c r="H108" s="46">
        <f>INDEX(Calc!$K$1:$K$774,G108)</f>
        <v>38.299999999999997</v>
      </c>
      <c r="I108" s="46">
        <f>H108+Calc!K108</f>
        <v>39.4</v>
      </c>
      <c r="J108" s="46">
        <f>ABS(Show!$A$4-I108)/(Show!$A$4/100)</f>
        <v>1.5000000000000036</v>
      </c>
      <c r="K108" s="45">
        <f>INDEX(Calc!L108:P108,Show!$B$4)</f>
        <v>1.1000000000000001</v>
      </c>
      <c r="L108" s="46">
        <f t="shared" si="2"/>
        <v>1.1500000000000001</v>
      </c>
      <c r="M108" s="46">
        <f>L108</f>
        <v>1.1500000000000001</v>
      </c>
      <c r="N108" s="46">
        <f>L106</f>
        <v>1.1000000000000001</v>
      </c>
      <c r="O108" s="46">
        <f t="shared" si="0"/>
        <v>1.2</v>
      </c>
      <c r="P108" s="46">
        <f t="shared" ref="P108" si="8">O102</f>
        <v>1</v>
      </c>
    </row>
    <row r="109" spans="1:18" x14ac:dyDescent="0.25">
      <c r="A109" s="45">
        <f>1/((1/Show!$A$4)-(1/Calc!K109))</f>
        <v>-1.2477442639855634</v>
      </c>
      <c r="B109" s="45" t="e">
        <f>MATCH(A109*Calc!$R$12,Calc!$K$1:$K$774,1)</f>
        <v>#N/A</v>
      </c>
      <c r="C109" s="45" t="e">
        <f>INDEX(Calc!$K$1:$K$774,B109)</f>
        <v>#N/A</v>
      </c>
      <c r="D109" s="45" t="e">
        <f>1/(1/C109+1/Calc!K109)</f>
        <v>#N/A</v>
      </c>
      <c r="E109" s="45" t="e">
        <f>ABS(Show!$A$4-D109)/(Show!$A$4/100)</f>
        <v>#N/A</v>
      </c>
      <c r="F109" s="46">
        <f>Show!$A$4-Calc!L109</f>
        <v>38.82</v>
      </c>
      <c r="G109" s="46">
        <f>MATCH(F109*Calc!$R$12,Calc!$K$1:$K$774,1)</f>
        <v>256</v>
      </c>
      <c r="H109" s="46">
        <f>INDEX(Calc!$K$1:$K$774,G109)</f>
        <v>38.299999999999997</v>
      </c>
      <c r="I109" s="46">
        <f>H109+Calc!K109</f>
        <v>39.51</v>
      </c>
      <c r="J109" s="46">
        <f>ABS(Show!$A$4-I109)/(Show!$A$4/100)</f>
        <v>1.225000000000005</v>
      </c>
      <c r="K109" s="45">
        <f>INDEX(Calc!L109:P109,Show!$B$4)</f>
        <v>1.21</v>
      </c>
      <c r="L109" s="46">
        <f t="shared" si="2"/>
        <v>1.1800000000000002</v>
      </c>
      <c r="M109" s="46">
        <f>L108</f>
        <v>1.1500000000000001</v>
      </c>
      <c r="N109" s="46">
        <f>L110</f>
        <v>1.21</v>
      </c>
      <c r="O109" s="46">
        <f t="shared" si="0"/>
        <v>1.2</v>
      </c>
      <c r="P109" s="46">
        <f t="shared" ref="P109" si="9">O102</f>
        <v>1</v>
      </c>
    </row>
    <row r="110" spans="1:18" x14ac:dyDescent="0.25">
      <c r="A110" s="45">
        <f>1/((1/Show!$A$4)-(1/Calc!K110))</f>
        <v>-1.2477442639855634</v>
      </c>
      <c r="B110" s="45" t="e">
        <f>MATCH(A110*Calc!$R$12,Calc!$K$1:$K$774,1)</f>
        <v>#N/A</v>
      </c>
      <c r="C110" s="45" t="e">
        <f>INDEX(Calc!$K$1:$K$774,B110)</f>
        <v>#N/A</v>
      </c>
      <c r="D110" s="45" t="e">
        <f>1/(1/C110+1/Calc!K110)</f>
        <v>#N/A</v>
      </c>
      <c r="E110" s="45" t="e">
        <f>ABS(Show!$A$4-D110)/(Show!$A$4/100)</f>
        <v>#N/A</v>
      </c>
      <c r="F110" s="46">
        <f>Show!$A$4-Calc!L110</f>
        <v>38.79</v>
      </c>
      <c r="G110" s="46">
        <f>MATCH(F110*Calc!$R$12,Calc!$K$1:$K$774,1)</f>
        <v>256</v>
      </c>
      <c r="H110" s="46">
        <f>INDEX(Calc!$K$1:$K$774,G110)</f>
        <v>38.299999999999997</v>
      </c>
      <c r="I110" s="46">
        <f>H110+Calc!K110</f>
        <v>39.51</v>
      </c>
      <c r="J110" s="46">
        <f>ABS(Show!$A$4-I110)/(Show!$A$4/100)</f>
        <v>1.225000000000005</v>
      </c>
      <c r="K110" s="45">
        <f>INDEX(Calc!L110:P110,Show!$B$4)</f>
        <v>1.21</v>
      </c>
      <c r="L110" s="46">
        <f t="shared" si="2"/>
        <v>1.21</v>
      </c>
      <c r="M110" s="46">
        <f>L110</f>
        <v>1.21</v>
      </c>
      <c r="N110" s="46">
        <f>L110</f>
        <v>1.21</v>
      </c>
      <c r="O110" s="46">
        <f t="shared" si="0"/>
        <v>1.2</v>
      </c>
      <c r="P110" s="46">
        <f t="shared" ref="P110" si="10">O114</f>
        <v>1.5</v>
      </c>
    </row>
    <row r="111" spans="1:18" x14ac:dyDescent="0.25">
      <c r="A111" s="45">
        <f>1/((1/Show!$A$4)-(1/Calc!K111))</f>
        <v>-1.2477442639855634</v>
      </c>
      <c r="B111" s="45" t="e">
        <f>MATCH(A111*Calc!$R$12,Calc!$K$1:$K$774,1)</f>
        <v>#N/A</v>
      </c>
      <c r="C111" s="45" t="e">
        <f>INDEX(Calc!$K$1:$K$774,B111)</f>
        <v>#N/A</v>
      </c>
      <c r="D111" s="45" t="e">
        <f>1/(1/C111+1/Calc!K111)</f>
        <v>#N/A</v>
      </c>
      <c r="E111" s="45" t="e">
        <f>ABS(Show!$A$4-D111)/(Show!$A$4/100)</f>
        <v>#N/A</v>
      </c>
      <c r="F111" s="46">
        <f>Show!$A$4-Calc!L111</f>
        <v>38.76</v>
      </c>
      <c r="G111" s="46">
        <f>MATCH(F111*Calc!$R$12,Calc!$K$1:$K$774,1)</f>
        <v>256</v>
      </c>
      <c r="H111" s="46">
        <f>INDEX(Calc!$K$1:$K$774,G111)</f>
        <v>38.299999999999997</v>
      </c>
      <c r="I111" s="46">
        <f>H111+Calc!K111</f>
        <v>39.51</v>
      </c>
      <c r="J111" s="46">
        <f>ABS(Show!$A$4-I111)/(Show!$A$4/100)</f>
        <v>1.225000000000005</v>
      </c>
      <c r="K111" s="45">
        <f>INDEX(Calc!L111:P111,Show!$B$4)</f>
        <v>1.21</v>
      </c>
      <c r="L111" s="46">
        <f t="shared" si="2"/>
        <v>1.24</v>
      </c>
      <c r="M111" s="46">
        <f>L110</f>
        <v>1.21</v>
      </c>
      <c r="N111" s="46">
        <f>L110</f>
        <v>1.21</v>
      </c>
      <c r="O111" s="46">
        <f t="shared" si="0"/>
        <v>1.2</v>
      </c>
      <c r="P111" s="46">
        <f t="shared" ref="P111" si="11">O114</f>
        <v>1.5</v>
      </c>
    </row>
    <row r="112" spans="1:18" x14ac:dyDescent="0.25">
      <c r="A112" s="45">
        <f>1/((1/Show!$A$4)-(1/Calc!K112))</f>
        <v>-1.2477442639855634</v>
      </c>
      <c r="B112" s="45" t="e">
        <f>MATCH(A112*Calc!$R$12,Calc!$K$1:$K$774,1)</f>
        <v>#N/A</v>
      </c>
      <c r="C112" s="45" t="e">
        <f>INDEX(Calc!$K$1:$K$774,B112)</f>
        <v>#N/A</v>
      </c>
      <c r="D112" s="45" t="e">
        <f>1/(1/C112+1/Calc!K112)</f>
        <v>#N/A</v>
      </c>
      <c r="E112" s="45" t="e">
        <f>ABS(Show!$A$4-D112)/(Show!$A$4/100)</f>
        <v>#N/A</v>
      </c>
      <c r="F112" s="46">
        <f>Show!$A$4-Calc!L112</f>
        <v>38.729999999999997</v>
      </c>
      <c r="G112" s="46">
        <f>MATCH(F112*Calc!$R$12,Calc!$K$1:$K$774,1)</f>
        <v>256</v>
      </c>
      <c r="H112" s="46">
        <f>INDEX(Calc!$K$1:$K$774,G112)</f>
        <v>38.299999999999997</v>
      </c>
      <c r="I112" s="46">
        <f>H112+Calc!K112</f>
        <v>39.51</v>
      </c>
      <c r="J112" s="46">
        <f>ABS(Show!$A$4-I112)/(Show!$A$4/100)</f>
        <v>1.225000000000005</v>
      </c>
      <c r="K112" s="45">
        <f>INDEX(Calc!L112:P112,Show!$B$4)</f>
        <v>1.21</v>
      </c>
      <c r="L112" s="46">
        <f t="shared" si="2"/>
        <v>1.27</v>
      </c>
      <c r="M112" s="46">
        <f>L112</f>
        <v>1.27</v>
      </c>
      <c r="N112" s="46">
        <f>L110</f>
        <v>1.21</v>
      </c>
      <c r="O112" s="46">
        <f t="shared" si="0"/>
        <v>1.2</v>
      </c>
      <c r="P112" s="46">
        <f t="shared" ref="P112" si="12">O114</f>
        <v>1.5</v>
      </c>
    </row>
    <row r="113" spans="1:16" x14ac:dyDescent="0.25">
      <c r="A113" s="45">
        <f>1/((1/Show!$A$4)-(1/Calc!K113))</f>
        <v>-1.3757434703904836</v>
      </c>
      <c r="B113" s="45" t="e">
        <f>MATCH(A113*Calc!$R$12,Calc!$K$1:$K$774,1)</f>
        <v>#N/A</v>
      </c>
      <c r="C113" s="45" t="e">
        <f>INDEX(Calc!$K$1:$K$774,B113)</f>
        <v>#N/A</v>
      </c>
      <c r="D113" s="45" t="e">
        <f>1/(1/C113+1/Calc!K113)</f>
        <v>#N/A</v>
      </c>
      <c r="E113" s="45" t="e">
        <f>ABS(Show!$A$4-D113)/(Show!$A$4/100)</f>
        <v>#N/A</v>
      </c>
      <c r="F113" s="46">
        <f>Show!$A$4-Calc!L113</f>
        <v>38.700000000000003</v>
      </c>
      <c r="G113" s="46">
        <f>MATCH(F113*Calc!$R$12,Calc!$K$1:$K$774,1)</f>
        <v>256</v>
      </c>
      <c r="H113" s="46">
        <f>INDEX(Calc!$K$1:$K$774,G113)</f>
        <v>38.299999999999997</v>
      </c>
      <c r="I113" s="46">
        <f>H113+Calc!K113</f>
        <v>39.629999999999995</v>
      </c>
      <c r="J113" s="46">
        <f>ABS(Show!$A$4-I113)/(Show!$A$4/100)</f>
        <v>0.92500000000001137</v>
      </c>
      <c r="K113" s="45">
        <f>INDEX(Calc!L113:P113,Show!$B$4)</f>
        <v>1.33</v>
      </c>
      <c r="L113" s="46">
        <f t="shared" si="2"/>
        <v>1.3</v>
      </c>
      <c r="M113" s="46">
        <f>L112</f>
        <v>1.27</v>
      </c>
      <c r="N113" s="46">
        <f>L114</f>
        <v>1.33</v>
      </c>
      <c r="O113" s="46">
        <f t="shared" si="0"/>
        <v>1.2</v>
      </c>
      <c r="P113" s="46">
        <f t="shared" ref="P113" si="13">O114</f>
        <v>1.5</v>
      </c>
    </row>
    <row r="114" spans="1:16" x14ac:dyDescent="0.25">
      <c r="A114" s="45">
        <f>1/((1/Show!$A$4)-(1/Calc!K114))</f>
        <v>-1.3757434703904836</v>
      </c>
      <c r="B114" s="45" t="e">
        <f>MATCH(A114*Calc!$R$12,Calc!$K$1:$K$774,1)</f>
        <v>#N/A</v>
      </c>
      <c r="C114" s="45" t="e">
        <f>INDEX(Calc!$K$1:$K$774,B114)</f>
        <v>#N/A</v>
      </c>
      <c r="D114" s="45" t="e">
        <f>1/(1/C114+1/Calc!K114)</f>
        <v>#N/A</v>
      </c>
      <c r="E114" s="45" t="e">
        <f>ABS(Show!$A$4-D114)/(Show!$A$4/100)</f>
        <v>#N/A</v>
      </c>
      <c r="F114" s="46">
        <f>Show!$A$4-Calc!L114</f>
        <v>38.67</v>
      </c>
      <c r="G114" s="46">
        <f>MATCH(F114*Calc!$R$12,Calc!$K$1:$K$774,1)</f>
        <v>256</v>
      </c>
      <c r="H114" s="46">
        <f>INDEX(Calc!$K$1:$K$774,G114)</f>
        <v>38.299999999999997</v>
      </c>
      <c r="I114" s="46">
        <f>H114+Calc!K114</f>
        <v>39.629999999999995</v>
      </c>
      <c r="J114" s="46">
        <f>ABS(Show!$A$4-I114)/(Show!$A$4/100)</f>
        <v>0.92500000000001137</v>
      </c>
      <c r="K114" s="45">
        <f>INDEX(Calc!L114:P114,Show!$B$4)</f>
        <v>1.33</v>
      </c>
      <c r="L114" s="46">
        <f t="shared" si="2"/>
        <v>1.33</v>
      </c>
      <c r="M114" s="46">
        <f>L114</f>
        <v>1.33</v>
      </c>
      <c r="N114" s="46">
        <f>L114</f>
        <v>1.33</v>
      </c>
      <c r="O114" s="46">
        <f t="shared" si="0"/>
        <v>1.5</v>
      </c>
      <c r="P114" s="46">
        <f t="shared" ref="P114" si="14">O114</f>
        <v>1.5</v>
      </c>
    </row>
    <row r="115" spans="1:16" x14ac:dyDescent="0.25">
      <c r="A115" s="45">
        <f>1/((1/Show!$A$4)-(1/Calc!K115))</f>
        <v>-1.3757434703904836</v>
      </c>
      <c r="B115" s="45" t="e">
        <f>MATCH(A115*Calc!$R$12,Calc!$K$1:$K$774,1)</f>
        <v>#N/A</v>
      </c>
      <c r="C115" s="45" t="e">
        <f>INDEX(Calc!$K$1:$K$774,B115)</f>
        <v>#N/A</v>
      </c>
      <c r="D115" s="45" t="e">
        <f>1/(1/C115+1/Calc!K115)</f>
        <v>#N/A</v>
      </c>
      <c r="E115" s="45" t="e">
        <f>ABS(Show!$A$4-D115)/(Show!$A$4/100)</f>
        <v>#N/A</v>
      </c>
      <c r="F115" s="46">
        <f>Show!$A$4-Calc!L115</f>
        <v>38.630000000000003</v>
      </c>
      <c r="G115" s="46">
        <f>MATCH(F115*Calc!$R$12,Calc!$K$1:$K$774,1)</f>
        <v>256</v>
      </c>
      <c r="H115" s="46">
        <f>INDEX(Calc!$K$1:$K$774,G115)</f>
        <v>38.299999999999997</v>
      </c>
      <c r="I115" s="46">
        <f>H115+Calc!K115</f>
        <v>39.629999999999995</v>
      </c>
      <c r="J115" s="46">
        <f>ABS(Show!$A$4-I115)/(Show!$A$4/100)</f>
        <v>0.92500000000001137</v>
      </c>
      <c r="K115" s="45">
        <f>INDEX(Calc!L115:P115,Show!$B$4)</f>
        <v>1.33</v>
      </c>
      <c r="L115" s="46">
        <f t="shared" si="2"/>
        <v>1.3699999999999999</v>
      </c>
      <c r="M115" s="46">
        <f>L114</f>
        <v>1.33</v>
      </c>
      <c r="N115" s="46">
        <f>L114</f>
        <v>1.33</v>
      </c>
      <c r="O115" s="46">
        <f t="shared" si="0"/>
        <v>1.5</v>
      </c>
      <c r="P115" s="46">
        <f t="shared" ref="P115" si="15">O114</f>
        <v>1.5</v>
      </c>
    </row>
    <row r="116" spans="1:16" x14ac:dyDescent="0.25">
      <c r="A116" s="45">
        <f>1/((1/Show!$A$4)-(1/Calc!K116))</f>
        <v>-1.3757434703904836</v>
      </c>
      <c r="B116" s="45" t="e">
        <f>MATCH(A116*Calc!$R$12,Calc!$K$1:$K$774,1)</f>
        <v>#N/A</v>
      </c>
      <c r="C116" s="45" t="e">
        <f>INDEX(Calc!$K$1:$K$774,B116)</f>
        <v>#N/A</v>
      </c>
      <c r="D116" s="45" t="e">
        <f>1/(1/C116+1/Calc!K116)</f>
        <v>#N/A</v>
      </c>
      <c r="E116" s="45" t="e">
        <f>ABS(Show!$A$4-D116)/(Show!$A$4/100)</f>
        <v>#N/A</v>
      </c>
      <c r="F116" s="46">
        <f>Show!$A$4-Calc!L116</f>
        <v>38.6</v>
      </c>
      <c r="G116" s="46">
        <f>MATCH(F116*Calc!$R$12,Calc!$K$1:$K$774,1)</f>
        <v>256</v>
      </c>
      <c r="H116" s="46">
        <f>INDEX(Calc!$K$1:$K$774,G116)</f>
        <v>38.299999999999997</v>
      </c>
      <c r="I116" s="46">
        <f>H116+Calc!K116</f>
        <v>39.629999999999995</v>
      </c>
      <c r="J116" s="46">
        <f>ABS(Show!$A$4-I116)/(Show!$A$4/100)</f>
        <v>0.92500000000001137</v>
      </c>
      <c r="K116" s="45">
        <f>INDEX(Calc!L116:P116,Show!$B$4)</f>
        <v>1.33</v>
      </c>
      <c r="L116" s="46">
        <f t="shared" si="2"/>
        <v>1.4000000000000001</v>
      </c>
      <c r="M116" s="46">
        <f>L116</f>
        <v>1.4000000000000001</v>
      </c>
      <c r="N116" s="46">
        <f>L114</f>
        <v>1.33</v>
      </c>
      <c r="O116" s="46">
        <f t="shared" si="0"/>
        <v>1.5</v>
      </c>
      <c r="P116" s="46">
        <f t="shared" ref="P116" si="16">O114</f>
        <v>1.5</v>
      </c>
    </row>
    <row r="117" spans="1:16" x14ac:dyDescent="0.25">
      <c r="A117" s="45">
        <f>1/((1/Show!$A$4)-(1/Calc!K117))</f>
        <v>-1.5260835712431873</v>
      </c>
      <c r="B117" s="45" t="e">
        <f>MATCH(A117*Calc!$R$12,Calc!$K$1:$K$774,1)</f>
        <v>#N/A</v>
      </c>
      <c r="C117" s="45" t="e">
        <f>INDEX(Calc!$K$1:$K$774,B117)</f>
        <v>#N/A</v>
      </c>
      <c r="D117" s="45" t="e">
        <f>1/(1/C117+1/Calc!K117)</f>
        <v>#N/A</v>
      </c>
      <c r="E117" s="45" t="e">
        <f>ABS(Show!$A$4-D117)/(Show!$A$4/100)</f>
        <v>#N/A</v>
      </c>
      <c r="F117" s="46">
        <f>Show!$A$4-Calc!L117</f>
        <v>38.57</v>
      </c>
      <c r="G117" s="46">
        <f>MATCH(F117*Calc!$R$12,Calc!$K$1:$K$774,1)</f>
        <v>256</v>
      </c>
      <c r="H117" s="46">
        <f>INDEX(Calc!$K$1:$K$774,G117)</f>
        <v>38.299999999999997</v>
      </c>
      <c r="I117" s="46">
        <f>H117+Calc!K117</f>
        <v>39.769999999999996</v>
      </c>
      <c r="J117" s="46">
        <f>ABS(Show!$A$4-I117)/(Show!$A$4/100)</f>
        <v>0.57500000000000995</v>
      </c>
      <c r="K117" s="45">
        <f>INDEX(Calc!L117:P117,Show!$B$4)</f>
        <v>1.47</v>
      </c>
      <c r="L117" s="46">
        <f t="shared" si="2"/>
        <v>1.4300000000000002</v>
      </c>
      <c r="M117" s="46">
        <f>L116</f>
        <v>1.4000000000000001</v>
      </c>
      <c r="N117" s="46">
        <f>L118</f>
        <v>1.47</v>
      </c>
      <c r="O117" s="46">
        <f t="shared" si="0"/>
        <v>1.5</v>
      </c>
      <c r="P117" s="46">
        <f t="shared" ref="P117" si="17">O114</f>
        <v>1.5</v>
      </c>
    </row>
    <row r="118" spans="1:16" x14ac:dyDescent="0.25">
      <c r="A118" s="45">
        <f>1/((1/Show!$A$4)-(1/Calc!K118))</f>
        <v>-1.5260835712431873</v>
      </c>
      <c r="B118" s="45" t="e">
        <f>MATCH(A118*Calc!$R$12,Calc!$K$1:$K$774,1)</f>
        <v>#N/A</v>
      </c>
      <c r="C118" s="45" t="e">
        <f>INDEX(Calc!$K$1:$K$774,B118)</f>
        <v>#N/A</v>
      </c>
      <c r="D118" s="45" t="e">
        <f>1/(1/C118+1/Calc!K118)</f>
        <v>#N/A</v>
      </c>
      <c r="E118" s="45" t="e">
        <f>ABS(Show!$A$4-D118)/(Show!$A$4/100)</f>
        <v>#N/A</v>
      </c>
      <c r="F118" s="46">
        <f>Show!$A$4-Calc!L118</f>
        <v>38.53</v>
      </c>
      <c r="G118" s="46">
        <f>MATCH(F118*Calc!$R$12,Calc!$K$1:$K$774,1)</f>
        <v>256</v>
      </c>
      <c r="H118" s="46">
        <f>INDEX(Calc!$K$1:$K$774,G118)</f>
        <v>38.299999999999997</v>
      </c>
      <c r="I118" s="46">
        <f>H118+Calc!K118</f>
        <v>39.769999999999996</v>
      </c>
      <c r="J118" s="46">
        <f>ABS(Show!$A$4-I118)/(Show!$A$4/100)</f>
        <v>0.57500000000000995</v>
      </c>
      <c r="K118" s="45">
        <f>INDEX(Calc!L118:P118,Show!$B$4)</f>
        <v>1.47</v>
      </c>
      <c r="L118" s="46">
        <f t="shared" si="2"/>
        <v>1.47</v>
      </c>
      <c r="M118" s="46">
        <f>L118</f>
        <v>1.47</v>
      </c>
      <c r="N118" s="46">
        <f>L118</f>
        <v>1.47</v>
      </c>
      <c r="O118" s="46">
        <f t="shared" si="0"/>
        <v>1.5</v>
      </c>
      <c r="P118" s="46">
        <f t="shared" ref="P118" si="18">O114</f>
        <v>1.5</v>
      </c>
    </row>
    <row r="119" spans="1:16" x14ac:dyDescent="0.25">
      <c r="A119" s="45">
        <f>1/((1/Show!$A$4)-(1/Calc!K119))</f>
        <v>-1.5260835712431873</v>
      </c>
      <c r="B119" s="45" t="e">
        <f>MATCH(A119*Calc!$R$12,Calc!$K$1:$K$774,1)</f>
        <v>#N/A</v>
      </c>
      <c r="C119" s="45" t="e">
        <f>INDEX(Calc!$K$1:$K$774,B119)</f>
        <v>#N/A</v>
      </c>
      <c r="D119" s="45" t="e">
        <f>1/(1/C119+1/Calc!K119)</f>
        <v>#N/A</v>
      </c>
      <c r="E119" s="45" t="e">
        <f>ABS(Show!$A$4-D119)/(Show!$A$4/100)</f>
        <v>#N/A</v>
      </c>
      <c r="F119" s="46">
        <f>Show!$A$4-Calc!L119</f>
        <v>38.5</v>
      </c>
      <c r="G119" s="46">
        <f>MATCH(F119*Calc!$R$12,Calc!$K$1:$K$774,1)</f>
        <v>256</v>
      </c>
      <c r="H119" s="46">
        <f>INDEX(Calc!$K$1:$K$774,G119)</f>
        <v>38.299999999999997</v>
      </c>
      <c r="I119" s="46">
        <f>H119+Calc!K119</f>
        <v>39.769999999999996</v>
      </c>
      <c r="J119" s="46">
        <f>ABS(Show!$A$4-I119)/(Show!$A$4/100)</f>
        <v>0.57500000000000995</v>
      </c>
      <c r="K119" s="45">
        <f>INDEX(Calc!L119:P119,Show!$B$4)</f>
        <v>1.47</v>
      </c>
      <c r="L119" s="46">
        <f t="shared" si="2"/>
        <v>1.5</v>
      </c>
      <c r="M119" s="46">
        <f>L118</f>
        <v>1.47</v>
      </c>
      <c r="N119" s="46">
        <f>L118</f>
        <v>1.47</v>
      </c>
      <c r="O119" s="46">
        <f t="shared" si="0"/>
        <v>1.5</v>
      </c>
      <c r="P119" s="46">
        <f t="shared" ref="P119" si="19">O114</f>
        <v>1.5</v>
      </c>
    </row>
    <row r="120" spans="1:16" x14ac:dyDescent="0.25">
      <c r="A120" s="45">
        <f>1/((1/Show!$A$4)-(1/Calc!K120))</f>
        <v>-1.5260835712431873</v>
      </c>
      <c r="B120" s="45" t="e">
        <f>MATCH(A120*Calc!$R$12,Calc!$K$1:$K$774,1)</f>
        <v>#N/A</v>
      </c>
      <c r="C120" s="45" t="e">
        <f>INDEX(Calc!$K$1:$K$774,B120)</f>
        <v>#N/A</v>
      </c>
      <c r="D120" s="45" t="e">
        <f>1/(1/C120+1/Calc!K120)</f>
        <v>#N/A</v>
      </c>
      <c r="E120" s="45" t="e">
        <f>ABS(Show!$A$4-D120)/(Show!$A$4/100)</f>
        <v>#N/A</v>
      </c>
      <c r="F120" s="46">
        <f>Show!$A$4-Calc!L120</f>
        <v>38.46</v>
      </c>
      <c r="G120" s="46">
        <f>MATCH(F120*Calc!$R$12,Calc!$K$1:$K$774,1)</f>
        <v>256</v>
      </c>
      <c r="H120" s="46">
        <f>INDEX(Calc!$K$1:$K$774,G120)</f>
        <v>38.299999999999997</v>
      </c>
      <c r="I120" s="46">
        <f>H120+Calc!K120</f>
        <v>39.769999999999996</v>
      </c>
      <c r="J120" s="46">
        <f>ABS(Show!$A$4-I120)/(Show!$A$4/100)</f>
        <v>0.57500000000000995</v>
      </c>
      <c r="K120" s="45">
        <f>INDEX(Calc!L120:P120,Show!$B$4)</f>
        <v>1.47</v>
      </c>
      <c r="L120" s="46">
        <f t="shared" si="2"/>
        <v>1.54</v>
      </c>
      <c r="M120" s="46">
        <f>L120</f>
        <v>1.54</v>
      </c>
      <c r="N120" s="46">
        <f>L118</f>
        <v>1.47</v>
      </c>
      <c r="O120" s="46">
        <f t="shared" si="0"/>
        <v>1.5</v>
      </c>
      <c r="P120" s="46">
        <f t="shared" ref="P120" si="20">O114</f>
        <v>1.5</v>
      </c>
    </row>
    <row r="121" spans="1:16" x14ac:dyDescent="0.25">
      <c r="A121" s="45">
        <f>1/((1/Show!$A$4)-(1/Calc!K121))</f>
        <v>-1.6883793642522149</v>
      </c>
      <c r="B121" s="45" t="e">
        <f>MATCH(A121*Calc!$R$12,Calc!$K$1:$K$774,1)</f>
        <v>#N/A</v>
      </c>
      <c r="C121" s="45" t="e">
        <f>INDEX(Calc!$K$1:$K$774,B121)</f>
        <v>#N/A</v>
      </c>
      <c r="D121" s="45" t="e">
        <f>1/(1/C121+1/Calc!K121)</f>
        <v>#N/A</v>
      </c>
      <c r="E121" s="45" t="e">
        <f>ABS(Show!$A$4-D121)/(Show!$A$4/100)</f>
        <v>#N/A</v>
      </c>
      <c r="F121" s="46">
        <f>Show!$A$4-Calc!L121</f>
        <v>38.42</v>
      </c>
      <c r="G121" s="46">
        <f>MATCH(F121*Calc!$R$12,Calc!$K$1:$K$774,1)</f>
        <v>256</v>
      </c>
      <c r="H121" s="46">
        <f>INDEX(Calc!$K$1:$K$774,G121)</f>
        <v>38.299999999999997</v>
      </c>
      <c r="I121" s="46">
        <f>H121+Calc!K121</f>
        <v>39.919999999999995</v>
      </c>
      <c r="J121" s="46">
        <f>ABS(Show!$A$4-I121)/(Show!$A$4/100)</f>
        <v>0.2000000000000135</v>
      </c>
      <c r="K121" s="45">
        <f>INDEX(Calc!L121:P121,Show!$B$4)</f>
        <v>1.62</v>
      </c>
      <c r="L121" s="46">
        <f t="shared" si="2"/>
        <v>1.58</v>
      </c>
      <c r="M121" s="46">
        <f>L120</f>
        <v>1.54</v>
      </c>
      <c r="N121" s="46">
        <f>L122</f>
        <v>1.62</v>
      </c>
      <c r="O121" s="46">
        <f t="shared" si="0"/>
        <v>1.5</v>
      </c>
      <c r="P121" s="46">
        <f t="shared" ref="P121" si="21">O114</f>
        <v>1.5</v>
      </c>
    </row>
    <row r="122" spans="1:16" x14ac:dyDescent="0.25">
      <c r="A122" s="45">
        <f>1/((1/Show!$A$4)-(1/Calc!K122))</f>
        <v>-1.6883793642522149</v>
      </c>
      <c r="B122" s="45" t="e">
        <f>MATCH(A122*Calc!$R$12,Calc!$K$1:$K$774,1)</f>
        <v>#N/A</v>
      </c>
      <c r="C122" s="45" t="e">
        <f>INDEX(Calc!$K$1:$K$774,B122)</f>
        <v>#N/A</v>
      </c>
      <c r="D122" s="45" t="e">
        <f>1/(1/C122+1/Calc!K122)</f>
        <v>#N/A</v>
      </c>
      <c r="E122" s="45" t="e">
        <f>ABS(Show!$A$4-D122)/(Show!$A$4/100)</f>
        <v>#N/A</v>
      </c>
      <c r="F122" s="46">
        <f>Show!$A$4-Calc!L122</f>
        <v>38.380000000000003</v>
      </c>
      <c r="G122" s="46">
        <f>MATCH(F122*Calc!$R$12,Calc!$K$1:$K$774,1)</f>
        <v>256</v>
      </c>
      <c r="H122" s="46">
        <f>INDEX(Calc!$K$1:$K$774,G122)</f>
        <v>38.299999999999997</v>
      </c>
      <c r="I122" s="46">
        <f>H122+Calc!K122</f>
        <v>39.919999999999995</v>
      </c>
      <c r="J122" s="46">
        <f>ABS(Show!$A$4-I122)/(Show!$A$4/100)</f>
        <v>0.2000000000000135</v>
      </c>
      <c r="K122" s="45">
        <f>INDEX(Calc!L122:P122,Show!$B$4)</f>
        <v>1.62</v>
      </c>
      <c r="L122" s="46">
        <f t="shared" si="2"/>
        <v>1.62</v>
      </c>
      <c r="M122" s="46">
        <f>L122</f>
        <v>1.62</v>
      </c>
      <c r="N122" s="46">
        <f>L122</f>
        <v>1.62</v>
      </c>
      <c r="O122" s="46">
        <f t="shared" ref="O122:O141" si="22">O26*10</f>
        <v>1.7999999999999998</v>
      </c>
      <c r="P122" s="46">
        <f t="shared" ref="P122" si="23">O114</f>
        <v>1.5</v>
      </c>
    </row>
    <row r="123" spans="1:16" x14ac:dyDescent="0.25">
      <c r="A123" s="45">
        <f>1/((1/Show!$A$4)-(1/Calc!K123))</f>
        <v>-1.6883793642522149</v>
      </c>
      <c r="B123" s="45" t="e">
        <f>MATCH(A123*Calc!$R$12,Calc!$K$1:$K$774,1)</f>
        <v>#N/A</v>
      </c>
      <c r="C123" s="45" t="e">
        <f>INDEX(Calc!$K$1:$K$774,B123)</f>
        <v>#N/A</v>
      </c>
      <c r="D123" s="45" t="e">
        <f>1/(1/C123+1/Calc!K123)</f>
        <v>#N/A</v>
      </c>
      <c r="E123" s="45" t="e">
        <f>ABS(Show!$A$4-D123)/(Show!$A$4/100)</f>
        <v>#N/A</v>
      </c>
      <c r="F123" s="46">
        <f>Show!$A$4-Calc!L123</f>
        <v>38.35</v>
      </c>
      <c r="G123" s="46">
        <f>MATCH(F123*Calc!$R$12,Calc!$K$1:$K$774,1)</f>
        <v>256</v>
      </c>
      <c r="H123" s="46">
        <f>INDEX(Calc!$K$1:$K$774,G123)</f>
        <v>38.299999999999997</v>
      </c>
      <c r="I123" s="46">
        <f>H123+Calc!K123</f>
        <v>39.919999999999995</v>
      </c>
      <c r="J123" s="46">
        <f>ABS(Show!$A$4-I123)/(Show!$A$4/100)</f>
        <v>0.2000000000000135</v>
      </c>
      <c r="K123" s="45">
        <f>INDEX(Calc!L123:P123,Show!$B$4)</f>
        <v>1.62</v>
      </c>
      <c r="L123" s="46">
        <f t="shared" si="2"/>
        <v>1.6500000000000001</v>
      </c>
      <c r="M123" s="46">
        <f>L122</f>
        <v>1.62</v>
      </c>
      <c r="N123" s="46">
        <f>L122</f>
        <v>1.62</v>
      </c>
      <c r="O123" s="46">
        <f t="shared" si="22"/>
        <v>1.7999999999999998</v>
      </c>
      <c r="P123" s="46">
        <f t="shared" ref="P123" si="24">O114</f>
        <v>1.5</v>
      </c>
    </row>
    <row r="124" spans="1:16" x14ac:dyDescent="0.25">
      <c r="A124" s="45">
        <f>1/((1/Show!$A$4)-(1/Calc!K124))</f>
        <v>-1.6883793642522149</v>
      </c>
      <c r="B124" s="45" t="e">
        <f>MATCH(A124*Calc!$R$12,Calc!$K$1:$K$774,1)</f>
        <v>#N/A</v>
      </c>
      <c r="C124" s="45" t="e">
        <f>INDEX(Calc!$K$1:$K$774,B124)</f>
        <v>#N/A</v>
      </c>
      <c r="D124" s="45" t="e">
        <f>1/(1/C124+1/Calc!K124)</f>
        <v>#N/A</v>
      </c>
      <c r="E124" s="45" t="e">
        <f>ABS(Show!$A$4-D124)/(Show!$A$4/100)</f>
        <v>#N/A</v>
      </c>
      <c r="F124" s="46">
        <f>Show!$A$4-Calc!L124</f>
        <v>38.31</v>
      </c>
      <c r="G124" s="46">
        <f>MATCH(F124*Calc!$R$12,Calc!$K$1:$K$774,1)</f>
        <v>256</v>
      </c>
      <c r="H124" s="46">
        <f>INDEX(Calc!$K$1:$K$774,G124)</f>
        <v>38.299999999999997</v>
      </c>
      <c r="I124" s="46">
        <f>H124+Calc!K124</f>
        <v>39.919999999999995</v>
      </c>
      <c r="J124" s="46">
        <f>ABS(Show!$A$4-I124)/(Show!$A$4/100)</f>
        <v>0.2000000000000135</v>
      </c>
      <c r="K124" s="45">
        <f>INDEX(Calc!L124:P124,Show!$B$4)</f>
        <v>1.62</v>
      </c>
      <c r="L124" s="46">
        <f t="shared" si="2"/>
        <v>1.69</v>
      </c>
      <c r="M124" s="46">
        <f>L124</f>
        <v>1.69</v>
      </c>
      <c r="N124" s="46">
        <f>L122</f>
        <v>1.62</v>
      </c>
      <c r="O124" s="46">
        <f t="shared" si="22"/>
        <v>1.7999999999999998</v>
      </c>
      <c r="P124" s="46">
        <f t="shared" ref="P124" si="25">O114</f>
        <v>1.5</v>
      </c>
    </row>
    <row r="125" spans="1:16" x14ac:dyDescent="0.25">
      <c r="A125" s="45">
        <f>1/((1/Show!$A$4)-(1/Calc!K125))</f>
        <v>-1.862899005756149</v>
      </c>
      <c r="B125" s="45" t="e">
        <f>MATCH(A125*Calc!$R$12,Calc!$K$1:$K$774,1)</f>
        <v>#N/A</v>
      </c>
      <c r="C125" s="45" t="e">
        <f>INDEX(Calc!$K$1:$K$774,B125)</f>
        <v>#N/A</v>
      </c>
      <c r="D125" s="45" t="e">
        <f>1/(1/C125+1/Calc!K125)</f>
        <v>#N/A</v>
      </c>
      <c r="E125" s="45" t="e">
        <f>ABS(Show!$A$4-D125)/(Show!$A$4/100)</f>
        <v>#N/A</v>
      </c>
      <c r="F125" s="46">
        <f>Show!$A$4-Calc!L125</f>
        <v>38.26</v>
      </c>
      <c r="G125" s="46">
        <f>MATCH(F125*Calc!$R$12,Calc!$K$1:$K$774,1)</f>
        <v>256</v>
      </c>
      <c r="H125" s="46">
        <f>INDEX(Calc!$K$1:$K$774,G125)</f>
        <v>38.299999999999997</v>
      </c>
      <c r="I125" s="46">
        <f>H125+Calc!K125</f>
        <v>40.08</v>
      </c>
      <c r="J125" s="46">
        <f>ABS(Show!$A$4-I125)/(Show!$A$4/100)</f>
        <v>0.19999999999999574</v>
      </c>
      <c r="K125" s="45">
        <f>INDEX(Calc!L125:P125,Show!$B$4)</f>
        <v>1.7800000000000002</v>
      </c>
      <c r="L125" s="46">
        <f t="shared" si="2"/>
        <v>1.7399999999999998</v>
      </c>
      <c r="M125" s="46">
        <f>L124</f>
        <v>1.69</v>
      </c>
      <c r="N125" s="46">
        <f>L126</f>
        <v>1.7800000000000002</v>
      </c>
      <c r="O125" s="46">
        <f t="shared" si="22"/>
        <v>1.7999999999999998</v>
      </c>
      <c r="P125" s="46">
        <f t="shared" ref="P125" si="26">O114</f>
        <v>1.5</v>
      </c>
    </row>
    <row r="126" spans="1:16" x14ac:dyDescent="0.25">
      <c r="A126" s="45">
        <f>1/((1/Show!$A$4)-(1/Calc!K126))</f>
        <v>-1.862899005756149</v>
      </c>
      <c r="B126" s="45" t="e">
        <f>MATCH(A126*Calc!$R$12,Calc!$K$1:$K$774,1)</f>
        <v>#N/A</v>
      </c>
      <c r="C126" s="45" t="e">
        <f>INDEX(Calc!$K$1:$K$774,B126)</f>
        <v>#N/A</v>
      </c>
      <c r="D126" s="45" t="e">
        <f>1/(1/C126+1/Calc!K126)</f>
        <v>#N/A</v>
      </c>
      <c r="E126" s="45" t="e">
        <f>ABS(Show!$A$4-D126)/(Show!$A$4/100)</f>
        <v>#N/A</v>
      </c>
      <c r="F126" s="46">
        <f>Show!$A$4-Calc!L126</f>
        <v>38.22</v>
      </c>
      <c r="G126" s="46">
        <f>MATCH(F126*Calc!$R$12,Calc!$K$1:$K$774,1)</f>
        <v>256</v>
      </c>
      <c r="H126" s="46">
        <f>INDEX(Calc!$K$1:$K$774,G126)</f>
        <v>38.299999999999997</v>
      </c>
      <c r="I126" s="46">
        <f>H126+Calc!K126</f>
        <v>40.08</v>
      </c>
      <c r="J126" s="46">
        <f>ABS(Show!$A$4-I126)/(Show!$A$4/100)</f>
        <v>0.19999999999999574</v>
      </c>
      <c r="K126" s="45">
        <f>INDEX(Calc!L126:P126,Show!$B$4)</f>
        <v>1.7800000000000002</v>
      </c>
      <c r="L126" s="46">
        <f t="shared" si="2"/>
        <v>1.7800000000000002</v>
      </c>
      <c r="M126" s="46">
        <f>L126</f>
        <v>1.7800000000000002</v>
      </c>
      <c r="N126" s="46">
        <f>L126</f>
        <v>1.7800000000000002</v>
      </c>
      <c r="O126" s="46">
        <f t="shared" si="22"/>
        <v>1.7999999999999998</v>
      </c>
      <c r="P126" s="46">
        <f t="shared" ref="P126" si="27">O130</f>
        <v>2.2000000000000002</v>
      </c>
    </row>
    <row r="127" spans="1:16" x14ac:dyDescent="0.25">
      <c r="A127" s="45">
        <f>1/((1/Show!$A$4)-(1/Calc!K127))</f>
        <v>-1.862899005756149</v>
      </c>
      <c r="B127" s="45" t="e">
        <f>MATCH(A127*Calc!$R$12,Calc!$K$1:$K$774,1)</f>
        <v>#N/A</v>
      </c>
      <c r="C127" s="45" t="e">
        <f>INDEX(Calc!$K$1:$K$774,B127)</f>
        <v>#N/A</v>
      </c>
      <c r="D127" s="45" t="e">
        <f>1/(1/C127+1/Calc!K127)</f>
        <v>#N/A</v>
      </c>
      <c r="E127" s="45" t="e">
        <f>ABS(Show!$A$4-D127)/(Show!$A$4/100)</f>
        <v>#N/A</v>
      </c>
      <c r="F127" s="46">
        <f>Show!$A$4-Calc!L127</f>
        <v>38.18</v>
      </c>
      <c r="G127" s="46">
        <f>MATCH(F127*Calc!$R$12,Calc!$K$1:$K$774,1)</f>
        <v>256</v>
      </c>
      <c r="H127" s="46">
        <f>INDEX(Calc!$K$1:$K$774,G127)</f>
        <v>38.299999999999997</v>
      </c>
      <c r="I127" s="46">
        <f>H127+Calc!K127</f>
        <v>40.08</v>
      </c>
      <c r="J127" s="46">
        <f>ABS(Show!$A$4-I127)/(Show!$A$4/100)</f>
        <v>0.19999999999999574</v>
      </c>
      <c r="K127" s="45">
        <f>INDEX(Calc!L127:P127,Show!$B$4)</f>
        <v>1.7800000000000002</v>
      </c>
      <c r="L127" s="46">
        <f t="shared" si="2"/>
        <v>1.8199999999999998</v>
      </c>
      <c r="M127" s="46">
        <f>L126</f>
        <v>1.7800000000000002</v>
      </c>
      <c r="N127" s="46">
        <f>L126</f>
        <v>1.7800000000000002</v>
      </c>
      <c r="O127" s="46">
        <f t="shared" si="22"/>
        <v>1.7999999999999998</v>
      </c>
      <c r="P127" s="46">
        <f t="shared" ref="P127" si="28">O130</f>
        <v>2.2000000000000002</v>
      </c>
    </row>
    <row r="128" spans="1:16" x14ac:dyDescent="0.25">
      <c r="A128" s="45">
        <f>1/((1/Show!$A$4)-(1/Calc!K128))</f>
        <v>-1.862899005756149</v>
      </c>
      <c r="B128" s="45" t="e">
        <f>MATCH(A128*Calc!$R$12,Calc!$K$1:$K$774,1)</f>
        <v>#N/A</v>
      </c>
      <c r="C128" s="45" t="e">
        <f>INDEX(Calc!$K$1:$K$774,B128)</f>
        <v>#N/A</v>
      </c>
      <c r="D128" s="45" t="e">
        <f>1/(1/C128+1/Calc!K128)</f>
        <v>#N/A</v>
      </c>
      <c r="E128" s="45" t="e">
        <f>ABS(Show!$A$4-D128)/(Show!$A$4/100)</f>
        <v>#N/A</v>
      </c>
      <c r="F128" s="46">
        <f>Show!$A$4-Calc!L128</f>
        <v>38.130000000000003</v>
      </c>
      <c r="G128" s="46">
        <f>MATCH(F128*Calc!$R$12,Calc!$K$1:$K$774,1)</f>
        <v>256</v>
      </c>
      <c r="H128" s="46">
        <f>INDEX(Calc!$K$1:$K$774,G128)</f>
        <v>38.299999999999997</v>
      </c>
      <c r="I128" s="46">
        <f>H128+Calc!K128</f>
        <v>40.08</v>
      </c>
      <c r="J128" s="46">
        <f>ABS(Show!$A$4-I128)/(Show!$A$4/100)</f>
        <v>0.19999999999999574</v>
      </c>
      <c r="K128" s="45">
        <f>INDEX(Calc!L128:P128,Show!$B$4)</f>
        <v>1.7800000000000002</v>
      </c>
      <c r="L128" s="46">
        <f t="shared" si="2"/>
        <v>1.87</v>
      </c>
      <c r="M128" s="46">
        <f>L128</f>
        <v>1.87</v>
      </c>
      <c r="N128" s="46">
        <f>L126</f>
        <v>1.7800000000000002</v>
      </c>
      <c r="O128" s="46">
        <f t="shared" si="22"/>
        <v>1.7999999999999998</v>
      </c>
      <c r="P128" s="46">
        <f t="shared" ref="P128" si="29">O130</f>
        <v>2.2000000000000002</v>
      </c>
    </row>
    <row r="129" spans="1:16" x14ac:dyDescent="0.25">
      <c r="A129" s="45">
        <f>1/((1/Show!$A$4)-(1/Calc!K129))</f>
        <v>-2.0609884332281809</v>
      </c>
      <c r="B129" s="45" t="e">
        <f>MATCH(A129*Calc!$R$12,Calc!$K$1:$K$774,1)</f>
        <v>#N/A</v>
      </c>
      <c r="C129" s="45" t="e">
        <f>INDEX(Calc!$K$1:$K$774,B129)</f>
        <v>#N/A</v>
      </c>
      <c r="D129" s="45" t="e">
        <f>1/(1/C129+1/Calc!K129)</f>
        <v>#N/A</v>
      </c>
      <c r="E129" s="45" t="e">
        <f>ABS(Show!$A$4-D129)/(Show!$A$4/100)</f>
        <v>#N/A</v>
      </c>
      <c r="F129" s="46">
        <f>Show!$A$4-Calc!L129</f>
        <v>38.090000000000003</v>
      </c>
      <c r="G129" s="46">
        <f>MATCH(F129*Calc!$R$12,Calc!$K$1:$K$774,1)</f>
        <v>256</v>
      </c>
      <c r="H129" s="46">
        <f>INDEX(Calc!$K$1:$K$774,G129)</f>
        <v>38.299999999999997</v>
      </c>
      <c r="I129" s="46">
        <f>H129+Calc!K129</f>
        <v>40.26</v>
      </c>
      <c r="J129" s="46">
        <f>ABS(Show!$A$4-I129)/(Show!$A$4/100)</f>
        <v>0.64999999999999503</v>
      </c>
      <c r="K129" s="45">
        <f>INDEX(Calc!L129:P129,Show!$B$4)</f>
        <v>1.96</v>
      </c>
      <c r="L129" s="46">
        <f t="shared" si="2"/>
        <v>1.9100000000000001</v>
      </c>
      <c r="M129" s="46">
        <f>L128</f>
        <v>1.87</v>
      </c>
      <c r="N129" s="46">
        <f>L130</f>
        <v>1.96</v>
      </c>
      <c r="O129" s="46">
        <f t="shared" si="22"/>
        <v>1.7999999999999998</v>
      </c>
      <c r="P129" s="46">
        <f t="shared" ref="P129" si="30">O130</f>
        <v>2.2000000000000002</v>
      </c>
    </row>
    <row r="130" spans="1:16" x14ac:dyDescent="0.25">
      <c r="A130" s="45">
        <f>1/((1/Show!$A$4)-(1/Calc!K130))</f>
        <v>-2.0609884332281809</v>
      </c>
      <c r="B130" s="45" t="e">
        <f>MATCH(A130*Calc!$R$12,Calc!$K$1:$K$774,1)</f>
        <v>#N/A</v>
      </c>
      <c r="C130" s="45" t="e">
        <f>INDEX(Calc!$K$1:$K$774,B130)</f>
        <v>#N/A</v>
      </c>
      <c r="D130" s="45" t="e">
        <f>1/(1/C130+1/Calc!K130)</f>
        <v>#N/A</v>
      </c>
      <c r="E130" s="45" t="e">
        <f>ABS(Show!$A$4-D130)/(Show!$A$4/100)</f>
        <v>#N/A</v>
      </c>
      <c r="F130" s="46">
        <f>Show!$A$4-Calc!L130</f>
        <v>38.04</v>
      </c>
      <c r="G130" s="46">
        <f>MATCH(F130*Calc!$R$12,Calc!$K$1:$K$774,1)</f>
        <v>256</v>
      </c>
      <c r="H130" s="46">
        <f>INDEX(Calc!$K$1:$K$774,G130)</f>
        <v>38.299999999999997</v>
      </c>
      <c r="I130" s="46">
        <f>H130+Calc!K130</f>
        <v>40.26</v>
      </c>
      <c r="J130" s="46">
        <f>ABS(Show!$A$4-I130)/(Show!$A$4/100)</f>
        <v>0.64999999999999503</v>
      </c>
      <c r="K130" s="45">
        <f>INDEX(Calc!L130:P130,Show!$B$4)</f>
        <v>1.96</v>
      </c>
      <c r="L130" s="46">
        <f t="shared" si="2"/>
        <v>1.96</v>
      </c>
      <c r="M130" s="46">
        <f>L130</f>
        <v>1.96</v>
      </c>
      <c r="N130" s="46">
        <f>L130</f>
        <v>1.96</v>
      </c>
      <c r="O130" s="46">
        <f t="shared" si="22"/>
        <v>2.2000000000000002</v>
      </c>
      <c r="P130" s="46">
        <f t="shared" ref="P130" si="31">O130</f>
        <v>2.2000000000000002</v>
      </c>
    </row>
    <row r="131" spans="1:16" x14ac:dyDescent="0.25">
      <c r="A131" s="45">
        <f>1/((1/Show!$A$4)-(1/Calc!K131))</f>
        <v>-2.0609884332281809</v>
      </c>
      <c r="B131" s="45" t="e">
        <f>MATCH(A131*Calc!$R$12,Calc!$K$1:$K$774,1)</f>
        <v>#N/A</v>
      </c>
      <c r="C131" s="45" t="e">
        <f>INDEX(Calc!$K$1:$K$774,B131)</f>
        <v>#N/A</v>
      </c>
      <c r="D131" s="45" t="e">
        <f>1/(1/C131+1/Calc!K131)</f>
        <v>#N/A</v>
      </c>
      <c r="E131" s="45" t="e">
        <f>ABS(Show!$A$4-D131)/(Show!$A$4/100)</f>
        <v>#N/A</v>
      </c>
      <c r="F131" s="46">
        <f>Show!$A$4-Calc!L131</f>
        <v>38</v>
      </c>
      <c r="G131" s="46">
        <f>MATCH(F131*Calc!$R$12,Calc!$K$1:$K$774,1)</f>
        <v>256</v>
      </c>
      <c r="H131" s="46">
        <f>INDEX(Calc!$K$1:$K$774,G131)</f>
        <v>38.299999999999997</v>
      </c>
      <c r="I131" s="46">
        <f>H131+Calc!K131</f>
        <v>40.26</v>
      </c>
      <c r="J131" s="46">
        <f>ABS(Show!$A$4-I131)/(Show!$A$4/100)</f>
        <v>0.64999999999999503</v>
      </c>
      <c r="K131" s="45">
        <f>INDEX(Calc!L131:P131,Show!$B$4)</f>
        <v>1.96</v>
      </c>
      <c r="L131" s="46">
        <f t="shared" si="2"/>
        <v>2</v>
      </c>
      <c r="M131" s="46">
        <f>L130</f>
        <v>1.96</v>
      </c>
      <c r="N131" s="46">
        <f>L130</f>
        <v>1.96</v>
      </c>
      <c r="O131" s="46">
        <f t="shared" si="22"/>
        <v>2.2000000000000002</v>
      </c>
      <c r="P131" s="46">
        <f t="shared" ref="P131" si="32">O130</f>
        <v>2.2000000000000002</v>
      </c>
    </row>
    <row r="132" spans="1:16" x14ac:dyDescent="0.25">
      <c r="A132" s="45">
        <f>1/((1/Show!$A$4)-(1/Calc!K132))</f>
        <v>-2.0609884332281809</v>
      </c>
      <c r="B132" s="45" t="e">
        <f>MATCH(A132*Calc!$R$12,Calc!$K$1:$K$774,1)</f>
        <v>#N/A</v>
      </c>
      <c r="C132" s="45" t="e">
        <f>INDEX(Calc!$K$1:$K$774,B132)</f>
        <v>#N/A</v>
      </c>
      <c r="D132" s="45" t="e">
        <f>1/(1/C132+1/Calc!K132)</f>
        <v>#N/A</v>
      </c>
      <c r="E132" s="45" t="e">
        <f>ABS(Show!$A$4-D132)/(Show!$A$4/100)</f>
        <v>#N/A</v>
      </c>
      <c r="F132" s="46">
        <f>Show!$A$4-Calc!L132</f>
        <v>37.950000000000003</v>
      </c>
      <c r="G132" s="46">
        <f>MATCH(F132*Calc!$R$12,Calc!$K$1:$K$774,1)</f>
        <v>256</v>
      </c>
      <c r="H132" s="46">
        <f>INDEX(Calc!$K$1:$K$774,G132)</f>
        <v>38.299999999999997</v>
      </c>
      <c r="I132" s="46">
        <f>H132+Calc!K132</f>
        <v>40.26</v>
      </c>
      <c r="J132" s="46">
        <f>ABS(Show!$A$4-I132)/(Show!$A$4/100)</f>
        <v>0.64999999999999503</v>
      </c>
      <c r="K132" s="45">
        <f>INDEX(Calc!L132:P132,Show!$B$4)</f>
        <v>1.96</v>
      </c>
      <c r="L132" s="46">
        <f t="shared" si="2"/>
        <v>2.0499999999999998</v>
      </c>
      <c r="M132" s="46">
        <f>L132</f>
        <v>2.0499999999999998</v>
      </c>
      <c r="N132" s="46">
        <f>L130</f>
        <v>1.96</v>
      </c>
      <c r="O132" s="46">
        <f t="shared" si="22"/>
        <v>2.2000000000000002</v>
      </c>
      <c r="P132" s="46">
        <f t="shared" ref="P132" si="33">O130</f>
        <v>2.2000000000000002</v>
      </c>
    </row>
    <row r="133" spans="1:16" x14ac:dyDescent="0.25">
      <c r="A133" s="45">
        <f>1/((1/Show!$A$4)-(1/Calc!K133))</f>
        <v>-2.2721268163804491</v>
      </c>
      <c r="B133" s="45" t="e">
        <f>MATCH(A133*Calc!$R$12,Calc!$K$1:$K$774,1)</f>
        <v>#N/A</v>
      </c>
      <c r="C133" s="45" t="e">
        <f>INDEX(Calc!$K$1:$K$774,B133)</f>
        <v>#N/A</v>
      </c>
      <c r="D133" s="45" t="e">
        <f>1/(1/C133+1/Calc!K133)</f>
        <v>#N/A</v>
      </c>
      <c r="E133" s="45" t="e">
        <f>ABS(Show!$A$4-D133)/(Show!$A$4/100)</f>
        <v>#N/A</v>
      </c>
      <c r="F133" s="46">
        <f>Show!$A$4-Calc!L133</f>
        <v>37.9</v>
      </c>
      <c r="G133" s="46">
        <f>MATCH(F133*Calc!$R$12,Calc!$K$1:$K$774,1)</f>
        <v>256</v>
      </c>
      <c r="H133" s="46">
        <f>INDEX(Calc!$K$1:$K$774,G133)</f>
        <v>38.299999999999997</v>
      </c>
      <c r="I133" s="46">
        <f>H133+Calc!K133</f>
        <v>40.449999999999996</v>
      </c>
      <c r="J133" s="46">
        <f>ABS(Show!$A$4-I133)/(Show!$A$4/100)</f>
        <v>1.1249999999999893</v>
      </c>
      <c r="K133" s="45">
        <f>INDEX(Calc!L133:P133,Show!$B$4)</f>
        <v>2.15</v>
      </c>
      <c r="L133" s="46">
        <f t="shared" si="2"/>
        <v>2.1</v>
      </c>
      <c r="M133" s="46">
        <f>L132</f>
        <v>2.0499999999999998</v>
      </c>
      <c r="N133" s="46">
        <f>L134</f>
        <v>2.15</v>
      </c>
      <c r="O133" s="46">
        <f t="shared" si="22"/>
        <v>2.2000000000000002</v>
      </c>
      <c r="P133" s="46">
        <f t="shared" ref="P133" si="34">O130</f>
        <v>2.2000000000000002</v>
      </c>
    </row>
    <row r="134" spans="1:16" x14ac:dyDescent="0.25">
      <c r="A134" s="45">
        <f>1/((1/Show!$A$4)-(1/Calc!K134))</f>
        <v>-2.2721268163804491</v>
      </c>
      <c r="B134" s="45" t="e">
        <f>MATCH(A134*Calc!$R$12,Calc!$K$1:$K$774,1)</f>
        <v>#N/A</v>
      </c>
      <c r="C134" s="45" t="e">
        <f>INDEX(Calc!$K$1:$K$774,B134)</f>
        <v>#N/A</v>
      </c>
      <c r="D134" s="45" t="e">
        <f>1/(1/C134+1/Calc!K134)</f>
        <v>#N/A</v>
      </c>
      <c r="E134" s="45" t="e">
        <f>ABS(Show!$A$4-D134)/(Show!$A$4/100)</f>
        <v>#N/A</v>
      </c>
      <c r="F134" s="46">
        <f>Show!$A$4-Calc!L134</f>
        <v>37.85</v>
      </c>
      <c r="G134" s="46">
        <f>MATCH(F134*Calc!$R$12,Calc!$K$1:$K$774,1)</f>
        <v>256</v>
      </c>
      <c r="H134" s="46">
        <f>INDEX(Calc!$K$1:$K$774,G134)</f>
        <v>38.299999999999997</v>
      </c>
      <c r="I134" s="46">
        <f>H134+Calc!K134</f>
        <v>40.449999999999996</v>
      </c>
      <c r="J134" s="46">
        <f>ABS(Show!$A$4-I134)/(Show!$A$4/100)</f>
        <v>1.1249999999999893</v>
      </c>
      <c r="K134" s="45">
        <f>INDEX(Calc!L134:P134,Show!$B$4)</f>
        <v>2.15</v>
      </c>
      <c r="L134" s="46">
        <f t="shared" si="2"/>
        <v>2.15</v>
      </c>
      <c r="M134" s="46">
        <f>L134</f>
        <v>2.15</v>
      </c>
      <c r="N134" s="46">
        <f>L134</f>
        <v>2.15</v>
      </c>
      <c r="O134" s="46">
        <f t="shared" si="22"/>
        <v>2.2000000000000002</v>
      </c>
      <c r="P134" s="46">
        <f t="shared" ref="P134" si="35">O130</f>
        <v>2.2000000000000002</v>
      </c>
    </row>
    <row r="135" spans="1:16" x14ac:dyDescent="0.25">
      <c r="A135" s="45">
        <f>1/((1/Show!$A$4)-(1/Calc!K135))</f>
        <v>-2.2721268163804491</v>
      </c>
      <c r="B135" s="45" t="e">
        <f>MATCH(A135*Calc!$R$12,Calc!$K$1:$K$774,1)</f>
        <v>#N/A</v>
      </c>
      <c r="C135" s="45" t="e">
        <f>INDEX(Calc!$K$1:$K$774,B135)</f>
        <v>#N/A</v>
      </c>
      <c r="D135" s="45" t="e">
        <f>1/(1/C135+1/Calc!K135)</f>
        <v>#N/A</v>
      </c>
      <c r="E135" s="45" t="e">
        <f>ABS(Show!$A$4-D135)/(Show!$A$4/100)</f>
        <v>#N/A</v>
      </c>
      <c r="F135" s="46">
        <f>Show!$A$4-Calc!L135</f>
        <v>37.79</v>
      </c>
      <c r="G135" s="46">
        <f>MATCH(F135*Calc!$R$12,Calc!$K$1:$K$774,1)</f>
        <v>256</v>
      </c>
      <c r="H135" s="46">
        <f>INDEX(Calc!$K$1:$K$774,G135)</f>
        <v>38.299999999999997</v>
      </c>
      <c r="I135" s="46">
        <f>H135+Calc!K135</f>
        <v>40.449999999999996</v>
      </c>
      <c r="J135" s="46">
        <f>ABS(Show!$A$4-I135)/(Show!$A$4/100)</f>
        <v>1.1249999999999893</v>
      </c>
      <c r="K135" s="45">
        <f>INDEX(Calc!L135:P135,Show!$B$4)</f>
        <v>2.15</v>
      </c>
      <c r="L135" s="46">
        <f t="shared" si="2"/>
        <v>2.21</v>
      </c>
      <c r="M135" s="46">
        <f>L134</f>
        <v>2.15</v>
      </c>
      <c r="N135" s="46">
        <f>L134</f>
        <v>2.15</v>
      </c>
      <c r="O135" s="46">
        <f t="shared" si="22"/>
        <v>2.2000000000000002</v>
      </c>
      <c r="P135" s="46">
        <f t="shared" ref="P135" si="36">O130</f>
        <v>2.2000000000000002</v>
      </c>
    </row>
    <row r="136" spans="1:16" x14ac:dyDescent="0.25">
      <c r="A136" s="45">
        <f>1/((1/Show!$A$4)-(1/Calc!K136))</f>
        <v>-2.2721268163804491</v>
      </c>
      <c r="B136" s="45" t="e">
        <f>MATCH(A136*Calc!$R$12,Calc!$K$1:$K$774,1)</f>
        <v>#N/A</v>
      </c>
      <c r="C136" s="45" t="e">
        <f>INDEX(Calc!$K$1:$K$774,B136)</f>
        <v>#N/A</v>
      </c>
      <c r="D136" s="45" t="e">
        <f>1/(1/C136+1/Calc!K136)</f>
        <v>#N/A</v>
      </c>
      <c r="E136" s="45" t="e">
        <f>ABS(Show!$A$4-D136)/(Show!$A$4/100)</f>
        <v>#N/A</v>
      </c>
      <c r="F136" s="46">
        <f>Show!$A$4-Calc!L136</f>
        <v>37.74</v>
      </c>
      <c r="G136" s="46">
        <f>MATCH(F136*Calc!$R$12,Calc!$K$1:$K$774,1)</f>
        <v>256</v>
      </c>
      <c r="H136" s="46">
        <f>INDEX(Calc!$K$1:$K$774,G136)</f>
        <v>38.299999999999997</v>
      </c>
      <c r="I136" s="46">
        <f>H136+Calc!K136</f>
        <v>40.449999999999996</v>
      </c>
      <c r="J136" s="46">
        <f>ABS(Show!$A$4-I136)/(Show!$A$4/100)</f>
        <v>1.1249999999999893</v>
      </c>
      <c r="K136" s="45">
        <f>INDEX(Calc!L136:P136,Show!$B$4)</f>
        <v>2.15</v>
      </c>
      <c r="L136" s="46">
        <f t="shared" si="2"/>
        <v>2.2600000000000002</v>
      </c>
      <c r="M136" s="46">
        <f>L136</f>
        <v>2.2600000000000002</v>
      </c>
      <c r="N136" s="46">
        <f>L134</f>
        <v>2.15</v>
      </c>
      <c r="O136" s="46">
        <f t="shared" si="22"/>
        <v>2.2000000000000002</v>
      </c>
      <c r="P136" s="46">
        <f t="shared" ref="P136" si="37">O130</f>
        <v>2.2000000000000002</v>
      </c>
    </row>
    <row r="137" spans="1:16" x14ac:dyDescent="0.25">
      <c r="A137" s="45">
        <f>1/((1/Show!$A$4)-(1/Calc!K137))</f>
        <v>-2.5192665426521397</v>
      </c>
      <c r="B137" s="45" t="e">
        <f>MATCH(A137*Calc!$R$12,Calc!$K$1:$K$774,1)</f>
        <v>#N/A</v>
      </c>
      <c r="C137" s="45" t="e">
        <f>INDEX(Calc!$K$1:$K$774,B137)</f>
        <v>#N/A</v>
      </c>
      <c r="D137" s="45" t="e">
        <f>1/(1/C137+1/Calc!K137)</f>
        <v>#N/A</v>
      </c>
      <c r="E137" s="45" t="e">
        <f>ABS(Show!$A$4-D137)/(Show!$A$4/100)</f>
        <v>#N/A</v>
      </c>
      <c r="F137" s="46">
        <f>Show!$A$4-Calc!L137</f>
        <v>37.68</v>
      </c>
      <c r="G137" s="46">
        <f>MATCH(F137*Calc!$R$12,Calc!$K$1:$K$774,1)</f>
        <v>256</v>
      </c>
      <c r="H137" s="46">
        <f>INDEX(Calc!$K$1:$K$774,G137)</f>
        <v>38.299999999999997</v>
      </c>
      <c r="I137" s="46">
        <f>H137+Calc!K137</f>
        <v>40.669999999999995</v>
      </c>
      <c r="J137" s="46">
        <f>ABS(Show!$A$4-I137)/(Show!$A$4/100)</f>
        <v>1.6749999999999865</v>
      </c>
      <c r="K137" s="45">
        <f>INDEX(Calc!L137:P137,Show!$B$4)</f>
        <v>2.37</v>
      </c>
      <c r="L137" s="46">
        <f t="shared" si="2"/>
        <v>2.3199999999999998</v>
      </c>
      <c r="M137" s="46">
        <f>L136</f>
        <v>2.2600000000000002</v>
      </c>
      <c r="N137" s="46">
        <f>L138</f>
        <v>2.37</v>
      </c>
      <c r="O137" s="46">
        <f t="shared" si="22"/>
        <v>2.2000000000000002</v>
      </c>
      <c r="P137" s="46">
        <f t="shared" ref="P137" si="38">O130</f>
        <v>2.2000000000000002</v>
      </c>
    </row>
    <row r="138" spans="1:16" x14ac:dyDescent="0.25">
      <c r="A138" s="45">
        <f>1/((1/Show!$A$4)-(1/Calc!K138))</f>
        <v>-2.5192665426521397</v>
      </c>
      <c r="B138" s="45" t="e">
        <f>MATCH(A138*Calc!$R$12,Calc!$K$1:$K$774,1)</f>
        <v>#N/A</v>
      </c>
      <c r="C138" s="45" t="e">
        <f>INDEX(Calc!$K$1:$K$774,B138)</f>
        <v>#N/A</v>
      </c>
      <c r="D138" s="45" t="e">
        <f>1/(1/C138+1/Calc!K138)</f>
        <v>#N/A</v>
      </c>
      <c r="E138" s="45" t="e">
        <f>ABS(Show!$A$4-D138)/(Show!$A$4/100)</f>
        <v>#N/A</v>
      </c>
      <c r="F138" s="46">
        <f>Show!$A$4-Calc!L138</f>
        <v>37.630000000000003</v>
      </c>
      <c r="G138" s="46">
        <f>MATCH(F138*Calc!$R$12,Calc!$K$1:$K$774,1)</f>
        <v>256</v>
      </c>
      <c r="H138" s="46">
        <f>INDEX(Calc!$K$1:$K$774,G138)</f>
        <v>38.299999999999997</v>
      </c>
      <c r="I138" s="46">
        <f>H138+Calc!K138</f>
        <v>40.669999999999995</v>
      </c>
      <c r="J138" s="46">
        <f>ABS(Show!$A$4-I138)/(Show!$A$4/100)</f>
        <v>1.6749999999999865</v>
      </c>
      <c r="K138" s="45">
        <f>INDEX(Calc!L138:P138,Show!$B$4)</f>
        <v>2.37</v>
      </c>
      <c r="L138" s="46">
        <f t="shared" si="2"/>
        <v>2.37</v>
      </c>
      <c r="M138" s="46">
        <f>L138</f>
        <v>2.37</v>
      </c>
      <c r="N138" s="46">
        <f>L138</f>
        <v>2.37</v>
      </c>
      <c r="O138" s="46">
        <f t="shared" si="22"/>
        <v>2.7</v>
      </c>
      <c r="P138" s="46">
        <f t="shared" ref="P138" si="39">O130</f>
        <v>2.2000000000000002</v>
      </c>
    </row>
    <row r="139" spans="1:16" x14ac:dyDescent="0.25">
      <c r="A139" s="45">
        <f>1/((1/Show!$A$4)-(1/Calc!K139))</f>
        <v>-2.5192665426521397</v>
      </c>
      <c r="B139" s="45" t="e">
        <f>MATCH(A139*Calc!$R$12,Calc!$K$1:$K$774,1)</f>
        <v>#N/A</v>
      </c>
      <c r="C139" s="45" t="e">
        <f>INDEX(Calc!$K$1:$K$774,B139)</f>
        <v>#N/A</v>
      </c>
      <c r="D139" s="45" t="e">
        <f>1/(1/C139+1/Calc!K139)</f>
        <v>#N/A</v>
      </c>
      <c r="E139" s="45" t="e">
        <f>ABS(Show!$A$4-D139)/(Show!$A$4/100)</f>
        <v>#N/A</v>
      </c>
      <c r="F139" s="46">
        <f>Show!$A$4-Calc!L139</f>
        <v>37.57</v>
      </c>
      <c r="G139" s="46">
        <f>MATCH(F139*Calc!$R$12,Calc!$K$1:$K$774,1)</f>
        <v>256</v>
      </c>
      <c r="H139" s="46">
        <f>INDEX(Calc!$K$1:$K$774,G139)</f>
        <v>38.299999999999997</v>
      </c>
      <c r="I139" s="46">
        <f>H139+Calc!K139</f>
        <v>40.669999999999995</v>
      </c>
      <c r="J139" s="46">
        <f>ABS(Show!$A$4-I139)/(Show!$A$4/100)</f>
        <v>1.6749999999999865</v>
      </c>
      <c r="K139" s="45">
        <f>INDEX(Calc!L139:P139,Show!$B$4)</f>
        <v>2.37</v>
      </c>
      <c r="L139" s="46">
        <f t="shared" si="2"/>
        <v>2.4299999999999997</v>
      </c>
      <c r="M139" s="46">
        <f>L138</f>
        <v>2.37</v>
      </c>
      <c r="N139" s="46">
        <f>L138</f>
        <v>2.37</v>
      </c>
      <c r="O139" s="46">
        <f t="shared" si="22"/>
        <v>2.7</v>
      </c>
      <c r="P139" s="46">
        <f t="shared" ref="P139" si="40">O130</f>
        <v>2.2000000000000002</v>
      </c>
    </row>
    <row r="140" spans="1:16" x14ac:dyDescent="0.25">
      <c r="A140" s="45">
        <f>1/((1/Show!$A$4)-(1/Calc!K140))</f>
        <v>-2.5192665426521397</v>
      </c>
      <c r="B140" s="45" t="e">
        <f>MATCH(A140*Calc!$R$12,Calc!$K$1:$K$774,1)</f>
        <v>#N/A</v>
      </c>
      <c r="C140" s="45" t="e">
        <f>INDEX(Calc!$K$1:$K$774,B140)</f>
        <v>#N/A</v>
      </c>
      <c r="D140" s="45" t="e">
        <f>1/(1/C140+1/Calc!K140)</f>
        <v>#N/A</v>
      </c>
      <c r="E140" s="45" t="e">
        <f>ABS(Show!$A$4-D140)/(Show!$A$4/100)</f>
        <v>#N/A</v>
      </c>
      <c r="F140" s="46">
        <f>Show!$A$4-Calc!L140</f>
        <v>37.51</v>
      </c>
      <c r="G140" s="46">
        <f>MATCH(F140*Calc!$R$12,Calc!$K$1:$K$774,1)</f>
        <v>256</v>
      </c>
      <c r="H140" s="46">
        <f>INDEX(Calc!$K$1:$K$774,G140)</f>
        <v>38.299999999999997</v>
      </c>
      <c r="I140" s="46">
        <f>H140+Calc!K140</f>
        <v>40.669999999999995</v>
      </c>
      <c r="J140" s="46">
        <f>ABS(Show!$A$4-I140)/(Show!$A$4/100)</f>
        <v>1.6749999999999865</v>
      </c>
      <c r="K140" s="45">
        <f>INDEX(Calc!L140:P140,Show!$B$4)</f>
        <v>2.37</v>
      </c>
      <c r="L140" s="46">
        <f t="shared" si="2"/>
        <v>2.4900000000000002</v>
      </c>
      <c r="M140" s="46">
        <f>L140</f>
        <v>2.4900000000000002</v>
      </c>
      <c r="N140" s="46">
        <f>L138</f>
        <v>2.37</v>
      </c>
      <c r="O140" s="46">
        <f t="shared" si="22"/>
        <v>2.7</v>
      </c>
      <c r="P140" s="46">
        <f t="shared" ref="P140" si="41">O130</f>
        <v>2.2000000000000002</v>
      </c>
    </row>
    <row r="141" spans="1:16" x14ac:dyDescent="0.25">
      <c r="A141" s="45">
        <f>1/((1/Show!$A$4)-(1/Calc!K141))</f>
        <v>-2.792190425247393</v>
      </c>
      <c r="B141" s="45" t="e">
        <f>MATCH(A141*Calc!$R$12,Calc!$K$1:$K$774,1)</f>
        <v>#N/A</v>
      </c>
      <c r="C141" s="45" t="e">
        <f>INDEX(Calc!$K$1:$K$774,B141)</f>
        <v>#N/A</v>
      </c>
      <c r="D141" s="45" t="e">
        <f>1/(1/C141+1/Calc!K141)</f>
        <v>#N/A</v>
      </c>
      <c r="E141" s="45" t="e">
        <f>ABS(Show!$A$4-D141)/(Show!$A$4/100)</f>
        <v>#N/A</v>
      </c>
      <c r="F141" s="46">
        <f>Show!$A$4-Calc!L141</f>
        <v>37.450000000000003</v>
      </c>
      <c r="G141" s="46">
        <f>MATCH(F141*Calc!$R$12,Calc!$K$1:$K$774,1)</f>
        <v>256</v>
      </c>
      <c r="H141" s="46">
        <f>INDEX(Calc!$K$1:$K$774,G141)</f>
        <v>38.299999999999997</v>
      </c>
      <c r="I141" s="46">
        <f>H141+Calc!K141</f>
        <v>40.909999999999997</v>
      </c>
      <c r="J141" s="46">
        <f>ABS(Show!$A$4-I141)/(Show!$A$4/100)</f>
        <v>2.2749999999999915</v>
      </c>
      <c r="K141" s="45">
        <f>INDEX(Calc!L141:P141,Show!$B$4)</f>
        <v>2.6100000000000003</v>
      </c>
      <c r="L141" s="46">
        <f t="shared" si="2"/>
        <v>2.5499999999999998</v>
      </c>
      <c r="M141" s="46">
        <f>L140</f>
        <v>2.4900000000000002</v>
      </c>
      <c r="N141" s="46">
        <f>L142</f>
        <v>2.6100000000000003</v>
      </c>
      <c r="O141" s="46">
        <f t="shared" si="22"/>
        <v>2.7</v>
      </c>
      <c r="P141" s="46">
        <f t="shared" ref="P141" si="42">O130</f>
        <v>2.2000000000000002</v>
      </c>
    </row>
    <row r="142" spans="1:16" x14ac:dyDescent="0.25">
      <c r="A142" s="45">
        <f>1/((1/Show!$A$4)-(1/Calc!K142))</f>
        <v>-2.792190425247393</v>
      </c>
      <c r="B142" s="45" t="e">
        <f>MATCH(A142*Calc!$R$12,Calc!$K$1:$K$774,1)</f>
        <v>#N/A</v>
      </c>
      <c r="C142" s="45" t="e">
        <f>INDEX(Calc!$K$1:$K$774,B142)</f>
        <v>#N/A</v>
      </c>
      <c r="D142" s="45" t="e">
        <f>1/(1/C142+1/Calc!K142)</f>
        <v>#N/A</v>
      </c>
      <c r="E142" s="45" t="e">
        <f>ABS(Show!$A$4-D142)/(Show!$A$4/100)</f>
        <v>#N/A</v>
      </c>
      <c r="F142" s="46">
        <f>Show!$A$4-Calc!L142</f>
        <v>37.39</v>
      </c>
      <c r="G142" s="46">
        <f>MATCH(F142*Calc!$R$12,Calc!$K$1:$K$774,1)</f>
        <v>256</v>
      </c>
      <c r="H142" s="46">
        <f>INDEX(Calc!$K$1:$K$774,G142)</f>
        <v>38.299999999999997</v>
      </c>
      <c r="I142" s="46">
        <f>H142+Calc!K142</f>
        <v>40.909999999999997</v>
      </c>
      <c r="J142" s="46">
        <f>ABS(Show!$A$4-I142)/(Show!$A$4/100)</f>
        <v>2.2749999999999915</v>
      </c>
      <c r="K142" s="45">
        <f>INDEX(Calc!L142:P142,Show!$B$4)</f>
        <v>2.6100000000000003</v>
      </c>
      <c r="L142" s="46">
        <f t="shared" si="2"/>
        <v>2.6100000000000003</v>
      </c>
      <c r="M142" s="46">
        <f>L142</f>
        <v>2.6100000000000003</v>
      </c>
      <c r="N142" s="46">
        <f>L142</f>
        <v>2.6100000000000003</v>
      </c>
      <c r="O142" s="46">
        <f t="shared" ref="O142:O161" si="43">O46*10</f>
        <v>2.7</v>
      </c>
      <c r="P142" s="46">
        <f t="shared" ref="P142" si="44">O146</f>
        <v>3.3000000000000003</v>
      </c>
    </row>
    <row r="143" spans="1:16" x14ac:dyDescent="0.25">
      <c r="A143" s="45">
        <f>1/((1/Show!$A$4)-(1/Calc!K143))</f>
        <v>-2.792190425247393</v>
      </c>
      <c r="B143" s="45" t="e">
        <f>MATCH(A143*Calc!$R$12,Calc!$K$1:$K$774,1)</f>
        <v>#N/A</v>
      </c>
      <c r="C143" s="45" t="e">
        <f>INDEX(Calc!$K$1:$K$774,B143)</f>
        <v>#N/A</v>
      </c>
      <c r="D143" s="45" t="e">
        <f>1/(1/C143+1/Calc!K143)</f>
        <v>#N/A</v>
      </c>
      <c r="E143" s="45" t="e">
        <f>ABS(Show!$A$4-D143)/(Show!$A$4/100)</f>
        <v>#N/A</v>
      </c>
      <c r="F143" s="46">
        <f>Show!$A$4-Calc!L143</f>
        <v>37.33</v>
      </c>
      <c r="G143" s="46">
        <f>MATCH(F143*Calc!$R$12,Calc!$K$1:$K$774,1)</f>
        <v>256</v>
      </c>
      <c r="H143" s="46">
        <f>INDEX(Calc!$K$1:$K$774,G143)</f>
        <v>38.299999999999997</v>
      </c>
      <c r="I143" s="46">
        <f>H143+Calc!K143</f>
        <v>40.909999999999997</v>
      </c>
      <c r="J143" s="46">
        <f>ABS(Show!$A$4-I143)/(Show!$A$4/100)</f>
        <v>2.2749999999999915</v>
      </c>
      <c r="K143" s="45">
        <f>INDEX(Calc!L143:P143,Show!$B$4)</f>
        <v>2.6100000000000003</v>
      </c>
      <c r="L143" s="46">
        <f t="shared" si="2"/>
        <v>2.67</v>
      </c>
      <c r="M143" s="46">
        <f>L142</f>
        <v>2.6100000000000003</v>
      </c>
      <c r="N143" s="46">
        <f>L142</f>
        <v>2.6100000000000003</v>
      </c>
      <c r="O143" s="46">
        <f t="shared" si="43"/>
        <v>2.7</v>
      </c>
      <c r="P143" s="46">
        <f t="shared" ref="P143" si="45">O146</f>
        <v>3.3000000000000003</v>
      </c>
    </row>
    <row r="144" spans="1:16" x14ac:dyDescent="0.25">
      <c r="A144" s="45">
        <f>1/((1/Show!$A$4)-(1/Calc!K144))</f>
        <v>-2.792190425247393</v>
      </c>
      <c r="B144" s="45" t="e">
        <f>MATCH(A144*Calc!$R$12,Calc!$K$1:$K$774,1)</f>
        <v>#N/A</v>
      </c>
      <c r="C144" s="45" t="e">
        <f>INDEX(Calc!$K$1:$K$774,B144)</f>
        <v>#N/A</v>
      </c>
      <c r="D144" s="45" t="e">
        <f>1/(1/C144+1/Calc!K144)</f>
        <v>#N/A</v>
      </c>
      <c r="E144" s="45" t="e">
        <f>ABS(Show!$A$4-D144)/(Show!$A$4/100)</f>
        <v>#N/A</v>
      </c>
      <c r="F144" s="46">
        <f>Show!$A$4-Calc!L144</f>
        <v>37.26</v>
      </c>
      <c r="G144" s="46">
        <f>MATCH(F144*Calc!$R$12,Calc!$K$1:$K$774,1)</f>
        <v>256</v>
      </c>
      <c r="H144" s="46">
        <f>INDEX(Calc!$K$1:$K$774,G144)</f>
        <v>38.299999999999997</v>
      </c>
      <c r="I144" s="46">
        <f>H144+Calc!K144</f>
        <v>40.909999999999997</v>
      </c>
      <c r="J144" s="46">
        <f>ABS(Show!$A$4-I144)/(Show!$A$4/100)</f>
        <v>2.2749999999999915</v>
      </c>
      <c r="K144" s="45">
        <f>INDEX(Calc!L144:P144,Show!$B$4)</f>
        <v>2.6100000000000003</v>
      </c>
      <c r="L144" s="46">
        <f t="shared" si="2"/>
        <v>2.7399999999999998</v>
      </c>
      <c r="M144" s="46">
        <f>L144</f>
        <v>2.7399999999999998</v>
      </c>
      <c r="N144" s="46">
        <f>L142</f>
        <v>2.6100000000000003</v>
      </c>
      <c r="O144" s="46">
        <f t="shared" si="43"/>
        <v>2.7</v>
      </c>
      <c r="P144" s="46">
        <f t="shared" ref="P144" si="46">O146</f>
        <v>3.3000000000000003</v>
      </c>
    </row>
    <row r="145" spans="1:16" x14ac:dyDescent="0.25">
      <c r="A145" s="45">
        <f>1/((1/Show!$A$4)-(1/Calc!K145))</f>
        <v>-3.0918394828979263</v>
      </c>
      <c r="B145" s="45" t="e">
        <f>MATCH(A145*Calc!$R$12,Calc!$K$1:$K$774,1)</f>
        <v>#N/A</v>
      </c>
      <c r="C145" s="45" t="e">
        <f>INDEX(Calc!$K$1:$K$774,B145)</f>
        <v>#N/A</v>
      </c>
      <c r="D145" s="45" t="e">
        <f>1/(1/C145+1/Calc!K145)</f>
        <v>#N/A</v>
      </c>
      <c r="E145" s="45" t="e">
        <f>ABS(Show!$A$4-D145)/(Show!$A$4/100)</f>
        <v>#N/A</v>
      </c>
      <c r="F145" s="46">
        <f>Show!$A$4-Calc!L145</f>
        <v>37.200000000000003</v>
      </c>
      <c r="G145" s="46">
        <f>MATCH(F145*Calc!$R$12,Calc!$K$1:$K$774,1)</f>
        <v>256</v>
      </c>
      <c r="H145" s="46">
        <f>INDEX(Calc!$K$1:$K$774,G145)</f>
        <v>38.299999999999997</v>
      </c>
      <c r="I145" s="46">
        <f>H145+Calc!K145</f>
        <v>41.169999999999995</v>
      </c>
      <c r="J145" s="46">
        <f>ABS(Show!$A$4-I145)/(Show!$A$4/100)</f>
        <v>2.9249999999999865</v>
      </c>
      <c r="K145" s="45">
        <f>INDEX(Calc!L145:P145,Show!$B$4)</f>
        <v>2.8699999999999997</v>
      </c>
      <c r="L145" s="46">
        <f t="shared" si="2"/>
        <v>2.8000000000000003</v>
      </c>
      <c r="M145" s="46">
        <f>L144</f>
        <v>2.7399999999999998</v>
      </c>
      <c r="N145" s="46">
        <f>L146</f>
        <v>2.8699999999999997</v>
      </c>
      <c r="O145" s="46">
        <f t="shared" si="43"/>
        <v>2.7</v>
      </c>
      <c r="P145" s="46">
        <f t="shared" ref="P145" si="47">O146</f>
        <v>3.3000000000000003</v>
      </c>
    </row>
    <row r="146" spans="1:16" x14ac:dyDescent="0.25">
      <c r="A146" s="45">
        <f>1/((1/Show!$A$4)-(1/Calc!K146))</f>
        <v>-3.0918394828979263</v>
      </c>
      <c r="B146" s="45" t="e">
        <f>MATCH(A146*Calc!$R$12,Calc!$K$1:$K$774,1)</f>
        <v>#N/A</v>
      </c>
      <c r="C146" s="45" t="e">
        <f>INDEX(Calc!$K$1:$K$774,B146)</f>
        <v>#N/A</v>
      </c>
      <c r="D146" s="45" t="e">
        <f>1/(1/C146+1/Calc!K146)</f>
        <v>#N/A</v>
      </c>
      <c r="E146" s="45" t="e">
        <f>ABS(Show!$A$4-D146)/(Show!$A$4/100)</f>
        <v>#N/A</v>
      </c>
      <c r="F146" s="46">
        <f>Show!$A$4-Calc!L146</f>
        <v>37.130000000000003</v>
      </c>
      <c r="G146" s="46">
        <f>MATCH(F146*Calc!$R$12,Calc!$K$1:$K$774,1)</f>
        <v>256</v>
      </c>
      <c r="H146" s="46">
        <f>INDEX(Calc!$K$1:$K$774,G146)</f>
        <v>38.299999999999997</v>
      </c>
      <c r="I146" s="46">
        <f>H146+Calc!K146</f>
        <v>41.169999999999995</v>
      </c>
      <c r="J146" s="46">
        <f>ABS(Show!$A$4-I146)/(Show!$A$4/100)</f>
        <v>2.9249999999999865</v>
      </c>
      <c r="K146" s="45">
        <f>INDEX(Calc!L146:P146,Show!$B$4)</f>
        <v>2.8699999999999997</v>
      </c>
      <c r="L146" s="46">
        <f t="shared" si="2"/>
        <v>2.8699999999999997</v>
      </c>
      <c r="M146" s="46">
        <f>L146</f>
        <v>2.8699999999999997</v>
      </c>
      <c r="N146" s="46">
        <f>L146</f>
        <v>2.8699999999999997</v>
      </c>
      <c r="O146" s="46">
        <f t="shared" si="43"/>
        <v>3.3000000000000003</v>
      </c>
      <c r="P146" s="46">
        <f t="shared" ref="P146" si="48">O146</f>
        <v>3.3000000000000003</v>
      </c>
    </row>
    <row r="147" spans="1:16" x14ac:dyDescent="0.25">
      <c r="A147" s="45">
        <f>1/((1/Show!$A$4)-(1/Calc!K147))</f>
        <v>-3.0918394828979263</v>
      </c>
      <c r="B147" s="45" t="e">
        <f>MATCH(A147*Calc!$R$12,Calc!$K$1:$K$774,1)</f>
        <v>#N/A</v>
      </c>
      <c r="C147" s="45" t="e">
        <f>INDEX(Calc!$K$1:$K$774,B147)</f>
        <v>#N/A</v>
      </c>
      <c r="D147" s="45" t="e">
        <f>1/(1/C147+1/Calc!K147)</f>
        <v>#N/A</v>
      </c>
      <c r="E147" s="45" t="e">
        <f>ABS(Show!$A$4-D147)/(Show!$A$4/100)</f>
        <v>#N/A</v>
      </c>
      <c r="F147" s="46">
        <f>Show!$A$4-Calc!L147</f>
        <v>37.06</v>
      </c>
      <c r="G147" s="46">
        <f>MATCH(F147*Calc!$R$12,Calc!$K$1:$K$774,1)</f>
        <v>256</v>
      </c>
      <c r="H147" s="46">
        <f>INDEX(Calc!$K$1:$K$774,G147)</f>
        <v>38.299999999999997</v>
      </c>
      <c r="I147" s="46">
        <f>H147+Calc!K147</f>
        <v>41.169999999999995</v>
      </c>
      <c r="J147" s="46">
        <f>ABS(Show!$A$4-I147)/(Show!$A$4/100)</f>
        <v>2.9249999999999865</v>
      </c>
      <c r="K147" s="45">
        <f>INDEX(Calc!L147:P147,Show!$B$4)</f>
        <v>2.8699999999999997</v>
      </c>
      <c r="L147" s="46">
        <f t="shared" si="2"/>
        <v>2.94</v>
      </c>
      <c r="M147" s="46">
        <f>L146</f>
        <v>2.8699999999999997</v>
      </c>
      <c r="N147" s="46">
        <f>L146</f>
        <v>2.8699999999999997</v>
      </c>
      <c r="O147" s="46">
        <f t="shared" si="43"/>
        <v>3.3000000000000003</v>
      </c>
      <c r="P147" s="46">
        <f t="shared" ref="P147" si="49">O146</f>
        <v>3.3000000000000003</v>
      </c>
    </row>
    <row r="148" spans="1:16" x14ac:dyDescent="0.25">
      <c r="A148" s="45">
        <f>1/((1/Show!$A$4)-(1/Calc!K148))</f>
        <v>-3.0918394828979263</v>
      </c>
      <c r="B148" s="45" t="e">
        <f>MATCH(A148*Calc!$R$12,Calc!$K$1:$K$774,1)</f>
        <v>#N/A</v>
      </c>
      <c r="C148" s="45" t="e">
        <f>INDEX(Calc!$K$1:$K$774,B148)</f>
        <v>#N/A</v>
      </c>
      <c r="D148" s="45" t="e">
        <f>1/(1/C148+1/Calc!K148)</f>
        <v>#N/A</v>
      </c>
      <c r="E148" s="45" t="e">
        <f>ABS(Show!$A$4-D148)/(Show!$A$4/100)</f>
        <v>#N/A</v>
      </c>
      <c r="F148" s="46">
        <f>Show!$A$4-Calc!L148</f>
        <v>36.99</v>
      </c>
      <c r="G148" s="46">
        <f>MATCH(F148*Calc!$R$12,Calc!$K$1:$K$774,1)</f>
        <v>256</v>
      </c>
      <c r="H148" s="46">
        <f>INDEX(Calc!$K$1:$K$774,G148)</f>
        <v>38.299999999999997</v>
      </c>
      <c r="I148" s="46">
        <f>H148+Calc!K148</f>
        <v>41.169999999999995</v>
      </c>
      <c r="J148" s="46">
        <f>ABS(Show!$A$4-I148)/(Show!$A$4/100)</f>
        <v>2.9249999999999865</v>
      </c>
      <c r="K148" s="45">
        <f>INDEX(Calc!L148:P148,Show!$B$4)</f>
        <v>2.8699999999999997</v>
      </c>
      <c r="L148" s="46">
        <f t="shared" si="2"/>
        <v>3.01</v>
      </c>
      <c r="M148" s="46">
        <f>L148</f>
        <v>3.01</v>
      </c>
      <c r="N148" s="46">
        <f>L146</f>
        <v>2.8699999999999997</v>
      </c>
      <c r="O148" s="46">
        <f t="shared" si="43"/>
        <v>3.3000000000000003</v>
      </c>
      <c r="P148" s="46">
        <f t="shared" ref="P148" si="50">O146</f>
        <v>3.3000000000000003</v>
      </c>
    </row>
    <row r="149" spans="1:16" x14ac:dyDescent="0.25">
      <c r="A149" s="45">
        <f>1/((1/Show!$A$4)-(1/Calc!K149))</f>
        <v>-3.4310532030401744</v>
      </c>
      <c r="B149" s="45" t="e">
        <f>MATCH(A149*Calc!$R$12,Calc!$K$1:$K$774,1)</f>
        <v>#N/A</v>
      </c>
      <c r="C149" s="45" t="e">
        <f>INDEX(Calc!$K$1:$K$774,B149)</f>
        <v>#N/A</v>
      </c>
      <c r="D149" s="45" t="e">
        <f>1/(1/C149+1/Calc!K149)</f>
        <v>#N/A</v>
      </c>
      <c r="E149" s="45" t="e">
        <f>ABS(Show!$A$4-D149)/(Show!$A$4/100)</f>
        <v>#N/A</v>
      </c>
      <c r="F149" s="46">
        <f>Show!$A$4-Calc!L149</f>
        <v>36.909999999999997</v>
      </c>
      <c r="G149" s="46">
        <f>MATCH(F149*Calc!$R$12,Calc!$K$1:$K$774,1)</f>
        <v>256</v>
      </c>
      <c r="H149" s="46">
        <f>INDEX(Calc!$K$1:$K$774,G149)</f>
        <v>38.299999999999997</v>
      </c>
      <c r="I149" s="46">
        <f>H149+Calc!K149</f>
        <v>41.459999999999994</v>
      </c>
      <c r="J149" s="46">
        <f>ABS(Show!$A$4-I149)/(Show!$A$4/100)</f>
        <v>3.6499999999999844</v>
      </c>
      <c r="K149" s="45">
        <f>INDEX(Calc!L149:P149,Show!$B$4)</f>
        <v>3.16</v>
      </c>
      <c r="L149" s="46">
        <f t="shared" si="2"/>
        <v>3.09</v>
      </c>
      <c r="M149" s="46">
        <f>L148</f>
        <v>3.01</v>
      </c>
      <c r="N149" s="46">
        <f>L150</f>
        <v>3.16</v>
      </c>
      <c r="O149" s="46">
        <f t="shared" si="43"/>
        <v>3.3000000000000003</v>
      </c>
      <c r="P149" s="46">
        <f t="shared" ref="P149" si="51">O146</f>
        <v>3.3000000000000003</v>
      </c>
    </row>
    <row r="150" spans="1:16" x14ac:dyDescent="0.25">
      <c r="A150" s="45">
        <f>1/((1/Show!$A$4)-(1/Calc!K150))</f>
        <v>-3.4310532030401744</v>
      </c>
      <c r="B150" s="45" t="e">
        <f>MATCH(A150*Calc!$R$12,Calc!$K$1:$K$774,1)</f>
        <v>#N/A</v>
      </c>
      <c r="C150" s="45" t="e">
        <f>INDEX(Calc!$K$1:$K$774,B150)</f>
        <v>#N/A</v>
      </c>
      <c r="D150" s="45" t="e">
        <f>1/(1/C150+1/Calc!K150)</f>
        <v>#N/A</v>
      </c>
      <c r="E150" s="45" t="e">
        <f>ABS(Show!$A$4-D150)/(Show!$A$4/100)</f>
        <v>#N/A</v>
      </c>
      <c r="F150" s="46">
        <f>Show!$A$4-Calc!L150</f>
        <v>36.840000000000003</v>
      </c>
      <c r="G150" s="46">
        <f>MATCH(F150*Calc!$R$12,Calc!$K$1:$K$774,1)</f>
        <v>256</v>
      </c>
      <c r="H150" s="46">
        <f>INDEX(Calc!$K$1:$K$774,G150)</f>
        <v>38.299999999999997</v>
      </c>
      <c r="I150" s="46">
        <f>H150+Calc!K150</f>
        <v>41.459999999999994</v>
      </c>
      <c r="J150" s="46">
        <f>ABS(Show!$A$4-I150)/(Show!$A$4/100)</f>
        <v>3.6499999999999844</v>
      </c>
      <c r="K150" s="45">
        <f>INDEX(Calc!L150:P150,Show!$B$4)</f>
        <v>3.16</v>
      </c>
      <c r="L150" s="46">
        <f t="shared" si="2"/>
        <v>3.16</v>
      </c>
      <c r="M150" s="46">
        <f>L150</f>
        <v>3.16</v>
      </c>
      <c r="N150" s="46">
        <f>L150</f>
        <v>3.16</v>
      </c>
      <c r="O150" s="46">
        <f t="shared" si="43"/>
        <v>3.3000000000000003</v>
      </c>
      <c r="P150" s="46">
        <f t="shared" ref="P150" si="52">O146</f>
        <v>3.3000000000000003</v>
      </c>
    </row>
    <row r="151" spans="1:16" x14ac:dyDescent="0.25">
      <c r="A151" s="45">
        <f>1/((1/Show!$A$4)-(1/Calc!K151))</f>
        <v>-3.4310532030401744</v>
      </c>
      <c r="B151" s="45" t="e">
        <f>MATCH(A151*Calc!$R$12,Calc!$K$1:$K$774,1)</f>
        <v>#N/A</v>
      </c>
      <c r="C151" s="45" t="e">
        <f>INDEX(Calc!$K$1:$K$774,B151)</f>
        <v>#N/A</v>
      </c>
      <c r="D151" s="45" t="e">
        <f>1/(1/C151+1/Calc!K151)</f>
        <v>#N/A</v>
      </c>
      <c r="E151" s="45" t="e">
        <f>ABS(Show!$A$4-D151)/(Show!$A$4/100)</f>
        <v>#N/A</v>
      </c>
      <c r="F151" s="46">
        <f>Show!$A$4-Calc!L151</f>
        <v>36.76</v>
      </c>
      <c r="G151" s="46">
        <f>MATCH(F151*Calc!$R$12,Calc!$K$1:$K$774,1)</f>
        <v>256</v>
      </c>
      <c r="H151" s="46">
        <f>INDEX(Calc!$K$1:$K$774,G151)</f>
        <v>38.299999999999997</v>
      </c>
      <c r="I151" s="46">
        <f>H151+Calc!K151</f>
        <v>41.459999999999994</v>
      </c>
      <c r="J151" s="46">
        <f>ABS(Show!$A$4-I151)/(Show!$A$4/100)</f>
        <v>3.6499999999999844</v>
      </c>
      <c r="K151" s="45">
        <f>INDEX(Calc!L151:P151,Show!$B$4)</f>
        <v>3.16</v>
      </c>
      <c r="L151" s="46">
        <f t="shared" si="2"/>
        <v>3.24</v>
      </c>
      <c r="M151" s="46">
        <f>L150</f>
        <v>3.16</v>
      </c>
      <c r="N151" s="46">
        <f>L150</f>
        <v>3.16</v>
      </c>
      <c r="O151" s="46">
        <f t="shared" si="43"/>
        <v>3.3000000000000003</v>
      </c>
      <c r="P151" s="46">
        <f t="shared" ref="P151" si="53">O146</f>
        <v>3.3000000000000003</v>
      </c>
    </row>
    <row r="152" spans="1:16" x14ac:dyDescent="0.25">
      <c r="A152" s="45">
        <f>1/((1/Show!$A$4)-(1/Calc!K152))</f>
        <v>-3.4310532030401744</v>
      </c>
      <c r="B152" s="45" t="e">
        <f>MATCH(A152*Calc!$R$12,Calc!$K$1:$K$774,1)</f>
        <v>#N/A</v>
      </c>
      <c r="C152" s="45" t="e">
        <f>INDEX(Calc!$K$1:$K$774,B152)</f>
        <v>#N/A</v>
      </c>
      <c r="D152" s="45" t="e">
        <f>1/(1/C152+1/Calc!K152)</f>
        <v>#N/A</v>
      </c>
      <c r="E152" s="45" t="e">
        <f>ABS(Show!$A$4-D152)/(Show!$A$4/100)</f>
        <v>#N/A</v>
      </c>
      <c r="F152" s="46">
        <f>Show!$A$4-Calc!L152</f>
        <v>36.68</v>
      </c>
      <c r="G152" s="46">
        <f>MATCH(F152*Calc!$R$12,Calc!$K$1:$K$774,1)</f>
        <v>256</v>
      </c>
      <c r="H152" s="46">
        <f>INDEX(Calc!$K$1:$K$774,G152)</f>
        <v>38.299999999999997</v>
      </c>
      <c r="I152" s="46">
        <f>H152+Calc!K152</f>
        <v>41.459999999999994</v>
      </c>
      <c r="J152" s="46">
        <f>ABS(Show!$A$4-I152)/(Show!$A$4/100)</f>
        <v>3.6499999999999844</v>
      </c>
      <c r="K152" s="45">
        <f>INDEX(Calc!L152:P152,Show!$B$4)</f>
        <v>3.16</v>
      </c>
      <c r="L152" s="46">
        <f t="shared" si="2"/>
        <v>3.3200000000000003</v>
      </c>
      <c r="M152" s="46">
        <f>L152</f>
        <v>3.3200000000000003</v>
      </c>
      <c r="N152" s="46">
        <f>L150</f>
        <v>3.16</v>
      </c>
      <c r="O152" s="46">
        <f t="shared" si="43"/>
        <v>3.3000000000000003</v>
      </c>
      <c r="P152" s="46">
        <f t="shared" ref="P152" si="54">O146</f>
        <v>3.3000000000000003</v>
      </c>
    </row>
    <row r="153" spans="1:16" x14ac:dyDescent="0.25">
      <c r="A153" s="45">
        <f>1/((1/Show!$A$4)-(1/Calc!K153))</f>
        <v>-3.8116100766703176</v>
      </c>
      <c r="B153" s="45" t="e">
        <f>MATCH(A153*Calc!$R$12,Calc!$K$1:$K$774,1)</f>
        <v>#N/A</v>
      </c>
      <c r="C153" s="45" t="e">
        <f>INDEX(Calc!$K$1:$K$774,B153)</f>
        <v>#N/A</v>
      </c>
      <c r="D153" s="45" t="e">
        <f>1/(1/C153+1/Calc!K153)</f>
        <v>#N/A</v>
      </c>
      <c r="E153" s="45" t="e">
        <f>ABS(Show!$A$4-D153)/(Show!$A$4/100)</f>
        <v>#N/A</v>
      </c>
      <c r="F153" s="46">
        <f>Show!$A$4-Calc!L153</f>
        <v>36.6</v>
      </c>
      <c r="G153" s="46">
        <f>MATCH(F153*Calc!$R$12,Calc!$K$1:$K$774,1)</f>
        <v>256</v>
      </c>
      <c r="H153" s="46">
        <f>INDEX(Calc!$K$1:$K$774,G153)</f>
        <v>38.299999999999997</v>
      </c>
      <c r="I153" s="46">
        <f>H153+Calc!K153</f>
        <v>41.779999999999994</v>
      </c>
      <c r="J153" s="46">
        <f>ABS(Show!$A$4-I153)/(Show!$A$4/100)</f>
        <v>4.4499999999999851</v>
      </c>
      <c r="K153" s="45">
        <f>INDEX(Calc!L153:P153,Show!$B$4)</f>
        <v>3.4799999999999995</v>
      </c>
      <c r="L153" s="46">
        <f t="shared" si="2"/>
        <v>3.4000000000000004</v>
      </c>
      <c r="M153" s="46">
        <f>L152</f>
        <v>3.3200000000000003</v>
      </c>
      <c r="N153" s="46">
        <f>L154</f>
        <v>3.4799999999999995</v>
      </c>
      <c r="O153" s="46">
        <f t="shared" si="43"/>
        <v>3.3000000000000003</v>
      </c>
      <c r="P153" s="46">
        <f t="shared" ref="P153" si="55">O146</f>
        <v>3.3000000000000003</v>
      </c>
    </row>
    <row r="154" spans="1:16" x14ac:dyDescent="0.25">
      <c r="A154" s="45">
        <f>1/((1/Show!$A$4)-(1/Calc!K154))</f>
        <v>-3.8116100766703176</v>
      </c>
      <c r="B154" s="45" t="e">
        <f>MATCH(A154*Calc!$R$12,Calc!$K$1:$K$774,1)</f>
        <v>#N/A</v>
      </c>
      <c r="C154" s="45" t="e">
        <f>INDEX(Calc!$K$1:$K$774,B154)</f>
        <v>#N/A</v>
      </c>
      <c r="D154" s="45" t="e">
        <f>1/(1/C154+1/Calc!K154)</f>
        <v>#N/A</v>
      </c>
      <c r="E154" s="45" t="e">
        <f>ABS(Show!$A$4-D154)/(Show!$A$4/100)</f>
        <v>#N/A</v>
      </c>
      <c r="F154" s="46">
        <f>Show!$A$4-Calc!L154</f>
        <v>36.520000000000003</v>
      </c>
      <c r="G154" s="46">
        <f>MATCH(F154*Calc!$R$12,Calc!$K$1:$K$774,1)</f>
        <v>256</v>
      </c>
      <c r="H154" s="46">
        <f>INDEX(Calc!$K$1:$K$774,G154)</f>
        <v>38.299999999999997</v>
      </c>
      <c r="I154" s="46">
        <f>H154+Calc!K154</f>
        <v>41.779999999999994</v>
      </c>
      <c r="J154" s="46">
        <f>ABS(Show!$A$4-I154)/(Show!$A$4/100)</f>
        <v>4.4499999999999851</v>
      </c>
      <c r="K154" s="45">
        <f>INDEX(Calc!L154:P154,Show!$B$4)</f>
        <v>3.4799999999999995</v>
      </c>
      <c r="L154" s="46">
        <f t="shared" si="2"/>
        <v>3.4799999999999995</v>
      </c>
      <c r="M154" s="46">
        <f>L154</f>
        <v>3.4799999999999995</v>
      </c>
      <c r="N154" s="46">
        <f>L154</f>
        <v>3.4799999999999995</v>
      </c>
      <c r="O154" s="46">
        <f t="shared" si="43"/>
        <v>3.9000000000000004</v>
      </c>
      <c r="P154" s="46">
        <f t="shared" ref="P154" si="56">O146</f>
        <v>3.3000000000000003</v>
      </c>
    </row>
    <row r="155" spans="1:16" x14ac:dyDescent="0.25">
      <c r="A155" s="45">
        <f>1/((1/Show!$A$4)-(1/Calc!K155))</f>
        <v>-3.8116100766703176</v>
      </c>
      <c r="B155" s="45" t="e">
        <f>MATCH(A155*Calc!$R$12,Calc!$K$1:$K$774,1)</f>
        <v>#N/A</v>
      </c>
      <c r="C155" s="45" t="e">
        <f>INDEX(Calc!$K$1:$K$774,B155)</f>
        <v>#N/A</v>
      </c>
      <c r="D155" s="45" t="e">
        <f>1/(1/C155+1/Calc!K155)</f>
        <v>#N/A</v>
      </c>
      <c r="E155" s="45" t="e">
        <f>ABS(Show!$A$4-D155)/(Show!$A$4/100)</f>
        <v>#N/A</v>
      </c>
      <c r="F155" s="46">
        <f>Show!$A$4-Calc!L155</f>
        <v>36.43</v>
      </c>
      <c r="G155" s="46">
        <f>MATCH(F155*Calc!$R$12,Calc!$K$1:$K$774,1)</f>
        <v>252</v>
      </c>
      <c r="H155" s="46">
        <f>INDEX(Calc!$K$1:$K$774,G155)</f>
        <v>34.799999999999997</v>
      </c>
      <c r="I155" s="46">
        <f>H155+Calc!K155</f>
        <v>38.279999999999994</v>
      </c>
      <c r="J155" s="46">
        <f>ABS(Show!$A$4-I155)/(Show!$A$4/100)</f>
        <v>4.3000000000000149</v>
      </c>
      <c r="K155" s="45">
        <f>INDEX(Calc!L155:P155,Show!$B$4)</f>
        <v>3.4799999999999995</v>
      </c>
      <c r="L155" s="46">
        <f t="shared" si="2"/>
        <v>3.5700000000000003</v>
      </c>
      <c r="M155" s="46">
        <f>L154</f>
        <v>3.4799999999999995</v>
      </c>
      <c r="N155" s="46">
        <f>L154</f>
        <v>3.4799999999999995</v>
      </c>
      <c r="O155" s="46">
        <f t="shared" si="43"/>
        <v>3.9000000000000004</v>
      </c>
      <c r="P155" s="46">
        <f t="shared" ref="P155" si="57">O146</f>
        <v>3.3000000000000003</v>
      </c>
    </row>
    <row r="156" spans="1:16" x14ac:dyDescent="0.25">
      <c r="A156" s="45">
        <f>1/((1/Show!$A$4)-(1/Calc!K156))</f>
        <v>-3.8116100766703176</v>
      </c>
      <c r="B156" s="45" t="e">
        <f>MATCH(A156*Calc!$R$12,Calc!$K$1:$K$774,1)</f>
        <v>#N/A</v>
      </c>
      <c r="C156" s="45" t="e">
        <f>INDEX(Calc!$K$1:$K$774,B156)</f>
        <v>#N/A</v>
      </c>
      <c r="D156" s="45" t="e">
        <f>1/(1/C156+1/Calc!K156)</f>
        <v>#N/A</v>
      </c>
      <c r="E156" s="45" t="e">
        <f>ABS(Show!$A$4-D156)/(Show!$A$4/100)</f>
        <v>#N/A</v>
      </c>
      <c r="F156" s="46">
        <f>Show!$A$4-Calc!L156</f>
        <v>36.35</v>
      </c>
      <c r="G156" s="46">
        <f>MATCH(F156*Calc!$R$12,Calc!$K$1:$K$774,1)</f>
        <v>252</v>
      </c>
      <c r="H156" s="46">
        <f>INDEX(Calc!$K$1:$K$774,G156)</f>
        <v>34.799999999999997</v>
      </c>
      <c r="I156" s="46">
        <f>H156+Calc!K156</f>
        <v>38.279999999999994</v>
      </c>
      <c r="J156" s="46">
        <f>ABS(Show!$A$4-I156)/(Show!$A$4/100)</f>
        <v>4.3000000000000149</v>
      </c>
      <c r="K156" s="45">
        <f>INDEX(Calc!L156:P156,Show!$B$4)</f>
        <v>3.4799999999999995</v>
      </c>
      <c r="L156" s="46">
        <f t="shared" si="2"/>
        <v>3.65</v>
      </c>
      <c r="M156" s="46">
        <f>L156</f>
        <v>3.65</v>
      </c>
      <c r="N156" s="46">
        <f>L154</f>
        <v>3.4799999999999995</v>
      </c>
      <c r="O156" s="46">
        <f t="shared" si="43"/>
        <v>3.9000000000000004</v>
      </c>
      <c r="P156" s="46">
        <f t="shared" ref="P156" si="58">O146</f>
        <v>3.3000000000000003</v>
      </c>
    </row>
    <row r="157" spans="1:16" x14ac:dyDescent="0.25">
      <c r="A157" s="45">
        <f>1/((1/Show!$A$4)-(1/Calc!K157))</f>
        <v>-4.2355543267901572</v>
      </c>
      <c r="B157" s="45" t="e">
        <f>MATCH(A157*Calc!$R$12,Calc!$K$1:$K$774,1)</f>
        <v>#N/A</v>
      </c>
      <c r="C157" s="45" t="e">
        <f>INDEX(Calc!$K$1:$K$774,B157)</f>
        <v>#N/A</v>
      </c>
      <c r="D157" s="45" t="e">
        <f>1/(1/C157+1/Calc!K157)</f>
        <v>#N/A</v>
      </c>
      <c r="E157" s="45" t="e">
        <f>ABS(Show!$A$4-D157)/(Show!$A$4/100)</f>
        <v>#N/A</v>
      </c>
      <c r="F157" s="46">
        <f>Show!$A$4-Calc!L157</f>
        <v>36.26</v>
      </c>
      <c r="G157" s="46">
        <f>MATCH(F157*Calc!$R$12,Calc!$K$1:$K$774,1)</f>
        <v>252</v>
      </c>
      <c r="H157" s="46">
        <f>INDEX(Calc!$K$1:$K$774,G157)</f>
        <v>34.799999999999997</v>
      </c>
      <c r="I157" s="46">
        <f>H157+Calc!K157</f>
        <v>38.629999999999995</v>
      </c>
      <c r="J157" s="46">
        <f>ABS(Show!$A$4-I157)/(Show!$A$4/100)</f>
        <v>3.4250000000000114</v>
      </c>
      <c r="K157" s="45">
        <f>INDEX(Calc!L157:P157,Show!$B$4)</f>
        <v>3.8299999999999996</v>
      </c>
      <c r="L157" s="46">
        <f t="shared" si="2"/>
        <v>3.74</v>
      </c>
      <c r="M157" s="46">
        <f>L156</f>
        <v>3.65</v>
      </c>
      <c r="N157" s="46">
        <f>L158</f>
        <v>3.8299999999999996</v>
      </c>
      <c r="O157" s="46">
        <f t="shared" si="43"/>
        <v>3.9000000000000004</v>
      </c>
      <c r="P157" s="46">
        <f t="shared" ref="P157" si="59">O146</f>
        <v>3.3000000000000003</v>
      </c>
    </row>
    <row r="158" spans="1:16" x14ac:dyDescent="0.25">
      <c r="A158" s="45">
        <f>1/((1/Show!$A$4)-(1/Calc!K158))</f>
        <v>-4.2355543267901572</v>
      </c>
      <c r="B158" s="45" t="e">
        <f>MATCH(A158*Calc!$R$12,Calc!$K$1:$K$774,1)</f>
        <v>#N/A</v>
      </c>
      <c r="C158" s="45" t="e">
        <f>INDEX(Calc!$K$1:$K$774,B158)</f>
        <v>#N/A</v>
      </c>
      <c r="D158" s="45" t="e">
        <f>1/(1/C158+1/Calc!K158)</f>
        <v>#N/A</v>
      </c>
      <c r="E158" s="45" t="e">
        <f>ABS(Show!$A$4-D158)/(Show!$A$4/100)</f>
        <v>#N/A</v>
      </c>
      <c r="F158" s="46">
        <f>Show!$A$4-Calc!L158</f>
        <v>36.17</v>
      </c>
      <c r="G158" s="46">
        <f>MATCH(F158*Calc!$R$12,Calc!$K$1:$K$774,1)</f>
        <v>252</v>
      </c>
      <c r="H158" s="46">
        <f>INDEX(Calc!$K$1:$K$774,G158)</f>
        <v>34.799999999999997</v>
      </c>
      <c r="I158" s="46">
        <f>H158+Calc!K158</f>
        <v>38.629999999999995</v>
      </c>
      <c r="J158" s="46">
        <f>ABS(Show!$A$4-I158)/(Show!$A$4/100)</f>
        <v>3.4250000000000114</v>
      </c>
      <c r="K158" s="45">
        <f>INDEX(Calc!L158:P158,Show!$B$4)</f>
        <v>3.8299999999999996</v>
      </c>
      <c r="L158" s="46">
        <f t="shared" si="2"/>
        <v>3.8299999999999996</v>
      </c>
      <c r="M158" s="46">
        <f>L158</f>
        <v>3.8299999999999996</v>
      </c>
      <c r="N158" s="46">
        <f>L158</f>
        <v>3.8299999999999996</v>
      </c>
      <c r="O158" s="46">
        <f t="shared" si="43"/>
        <v>3.9000000000000004</v>
      </c>
      <c r="P158" s="46">
        <f t="shared" ref="P158" si="60">O162</f>
        <v>4.6999999999999993</v>
      </c>
    </row>
    <row r="159" spans="1:16" x14ac:dyDescent="0.25">
      <c r="A159" s="45">
        <f>1/((1/Show!$A$4)-(1/Calc!K159))</f>
        <v>-4.2355543267901572</v>
      </c>
      <c r="B159" s="45" t="e">
        <f>MATCH(A159*Calc!$R$12,Calc!$K$1:$K$774,1)</f>
        <v>#N/A</v>
      </c>
      <c r="C159" s="45" t="e">
        <f>INDEX(Calc!$K$1:$K$774,B159)</f>
        <v>#N/A</v>
      </c>
      <c r="D159" s="45" t="e">
        <f>1/(1/C159+1/Calc!K159)</f>
        <v>#N/A</v>
      </c>
      <c r="E159" s="45" t="e">
        <f>ABS(Show!$A$4-D159)/(Show!$A$4/100)</f>
        <v>#N/A</v>
      </c>
      <c r="F159" s="46">
        <f>Show!$A$4-Calc!L159</f>
        <v>36.08</v>
      </c>
      <c r="G159" s="46">
        <f>MATCH(F159*Calc!$R$12,Calc!$K$1:$K$774,1)</f>
        <v>252</v>
      </c>
      <c r="H159" s="46">
        <f>INDEX(Calc!$K$1:$K$774,G159)</f>
        <v>34.799999999999997</v>
      </c>
      <c r="I159" s="46">
        <f>H159+Calc!K159</f>
        <v>38.629999999999995</v>
      </c>
      <c r="J159" s="46">
        <f>ABS(Show!$A$4-I159)/(Show!$A$4/100)</f>
        <v>3.4250000000000114</v>
      </c>
      <c r="K159" s="45">
        <f>INDEX(Calc!L159:P159,Show!$B$4)</f>
        <v>3.8299999999999996</v>
      </c>
      <c r="L159" s="46">
        <f t="shared" si="2"/>
        <v>3.92</v>
      </c>
      <c r="M159" s="46">
        <f>L158</f>
        <v>3.8299999999999996</v>
      </c>
      <c r="N159" s="46">
        <f>L158</f>
        <v>3.8299999999999996</v>
      </c>
      <c r="O159" s="46">
        <f t="shared" si="43"/>
        <v>3.9000000000000004</v>
      </c>
      <c r="P159" s="46">
        <f t="shared" ref="P159" si="61">O162</f>
        <v>4.6999999999999993</v>
      </c>
    </row>
    <row r="160" spans="1:16" x14ac:dyDescent="0.25">
      <c r="A160" s="45">
        <f>1/((1/Show!$A$4)-(1/Calc!K160))</f>
        <v>-4.2355543267901572</v>
      </c>
      <c r="B160" s="45" t="e">
        <f>MATCH(A160*Calc!$R$12,Calc!$K$1:$K$774,1)</f>
        <v>#N/A</v>
      </c>
      <c r="C160" s="45" t="e">
        <f>INDEX(Calc!$K$1:$K$774,B160)</f>
        <v>#N/A</v>
      </c>
      <c r="D160" s="45" t="e">
        <f>1/(1/C160+1/Calc!K160)</f>
        <v>#N/A</v>
      </c>
      <c r="E160" s="45" t="e">
        <f>ABS(Show!$A$4-D160)/(Show!$A$4/100)</f>
        <v>#N/A</v>
      </c>
      <c r="F160" s="46">
        <f>Show!$A$4-Calc!L160</f>
        <v>35.979999999999997</v>
      </c>
      <c r="G160" s="46">
        <f>MATCH(F160*Calc!$R$12,Calc!$K$1:$K$774,1)</f>
        <v>252</v>
      </c>
      <c r="H160" s="46">
        <f>INDEX(Calc!$K$1:$K$774,G160)</f>
        <v>34.799999999999997</v>
      </c>
      <c r="I160" s="46">
        <f>H160+Calc!K160</f>
        <v>38.629999999999995</v>
      </c>
      <c r="J160" s="46">
        <f>ABS(Show!$A$4-I160)/(Show!$A$4/100)</f>
        <v>3.4250000000000114</v>
      </c>
      <c r="K160" s="45">
        <f>INDEX(Calc!L160:P160,Show!$B$4)</f>
        <v>3.8299999999999996</v>
      </c>
      <c r="L160" s="46">
        <f t="shared" si="2"/>
        <v>4.0200000000000005</v>
      </c>
      <c r="M160" s="46">
        <f>L160</f>
        <v>4.0200000000000005</v>
      </c>
      <c r="N160" s="46">
        <f>L158</f>
        <v>3.8299999999999996</v>
      </c>
      <c r="O160" s="46">
        <f t="shared" si="43"/>
        <v>3.9000000000000004</v>
      </c>
      <c r="P160" s="46">
        <f t="shared" ref="P160" si="62">O162</f>
        <v>4.6999999999999993</v>
      </c>
    </row>
    <row r="161" spans="1:16" x14ac:dyDescent="0.25">
      <c r="A161" s="45">
        <f>1/((1/Show!$A$4)-(1/Calc!K161))</f>
        <v>-4.7177193963107884</v>
      </c>
      <c r="B161" s="45" t="e">
        <f>MATCH(A161*Calc!$R$12,Calc!$K$1:$K$774,1)</f>
        <v>#N/A</v>
      </c>
      <c r="C161" s="45" t="e">
        <f>INDEX(Calc!$K$1:$K$774,B161)</f>
        <v>#N/A</v>
      </c>
      <c r="D161" s="45" t="e">
        <f>1/(1/C161+1/Calc!K161)</f>
        <v>#N/A</v>
      </c>
      <c r="E161" s="45" t="e">
        <f>ABS(Show!$A$4-D161)/(Show!$A$4/100)</f>
        <v>#N/A</v>
      </c>
      <c r="F161" s="46">
        <f>Show!$A$4-Calc!L161</f>
        <v>35.880000000000003</v>
      </c>
      <c r="G161" s="46">
        <f>MATCH(F161*Calc!$R$12,Calc!$K$1:$K$774,1)</f>
        <v>252</v>
      </c>
      <c r="H161" s="46">
        <f>INDEX(Calc!$K$1:$K$774,G161)</f>
        <v>34.799999999999997</v>
      </c>
      <c r="I161" s="46">
        <f>H161+Calc!K161</f>
        <v>39.019999999999996</v>
      </c>
      <c r="J161" s="46">
        <f>ABS(Show!$A$4-I161)/(Show!$A$4/100)</f>
        <v>2.4500000000000099</v>
      </c>
      <c r="K161" s="45">
        <f>INDEX(Calc!L161:P161,Show!$B$4)</f>
        <v>4.2200000000000006</v>
      </c>
      <c r="L161" s="46">
        <f t="shared" si="2"/>
        <v>4.12</v>
      </c>
      <c r="M161" s="46">
        <f>L160</f>
        <v>4.0200000000000005</v>
      </c>
      <c r="N161" s="46">
        <f>L162</f>
        <v>4.2200000000000006</v>
      </c>
      <c r="O161" s="46">
        <f t="shared" si="43"/>
        <v>3.9000000000000004</v>
      </c>
      <c r="P161" s="46">
        <f t="shared" ref="P161" si="63">O162</f>
        <v>4.6999999999999993</v>
      </c>
    </row>
    <row r="162" spans="1:16" x14ac:dyDescent="0.25">
      <c r="A162" s="45">
        <f>1/((1/Show!$A$4)-(1/Calc!K162))</f>
        <v>-4.7177193963107884</v>
      </c>
      <c r="B162" s="45" t="e">
        <f>MATCH(A162*Calc!$R$12,Calc!$K$1:$K$774,1)</f>
        <v>#N/A</v>
      </c>
      <c r="C162" s="45" t="e">
        <f>INDEX(Calc!$K$1:$K$774,B162)</f>
        <v>#N/A</v>
      </c>
      <c r="D162" s="45" t="e">
        <f>1/(1/C162+1/Calc!K162)</f>
        <v>#N/A</v>
      </c>
      <c r="E162" s="45" t="e">
        <f>ABS(Show!$A$4-D162)/(Show!$A$4/100)</f>
        <v>#N/A</v>
      </c>
      <c r="F162" s="46">
        <f>Show!$A$4-Calc!L162</f>
        <v>35.78</v>
      </c>
      <c r="G162" s="46">
        <f>MATCH(F162*Calc!$R$12,Calc!$K$1:$K$774,1)</f>
        <v>252</v>
      </c>
      <c r="H162" s="46">
        <f>INDEX(Calc!$K$1:$K$774,G162)</f>
        <v>34.799999999999997</v>
      </c>
      <c r="I162" s="46">
        <f>H162+Calc!K162</f>
        <v>39.019999999999996</v>
      </c>
      <c r="J162" s="46">
        <f>ABS(Show!$A$4-I162)/(Show!$A$4/100)</f>
        <v>2.4500000000000099</v>
      </c>
      <c r="K162" s="45">
        <f>INDEX(Calc!L162:P162,Show!$B$4)</f>
        <v>4.2200000000000006</v>
      </c>
      <c r="L162" s="46">
        <f t="shared" si="2"/>
        <v>4.2200000000000006</v>
      </c>
      <c r="M162" s="46">
        <f>L162</f>
        <v>4.2200000000000006</v>
      </c>
      <c r="N162" s="46">
        <f>L162</f>
        <v>4.2200000000000006</v>
      </c>
      <c r="O162" s="46">
        <f t="shared" ref="O162:O181" si="64">O66*10</f>
        <v>4.6999999999999993</v>
      </c>
      <c r="P162" s="46">
        <f t="shared" ref="P162" si="65">O162</f>
        <v>4.6999999999999993</v>
      </c>
    </row>
    <row r="163" spans="1:16" x14ac:dyDescent="0.25">
      <c r="A163" s="45">
        <f>1/((1/Show!$A$4)-(1/Calc!K163))</f>
        <v>-4.7177193963107884</v>
      </c>
      <c r="B163" s="45" t="e">
        <f>MATCH(A163*Calc!$R$12,Calc!$K$1:$K$774,1)</f>
        <v>#N/A</v>
      </c>
      <c r="C163" s="45" t="e">
        <f>INDEX(Calc!$K$1:$K$774,B163)</f>
        <v>#N/A</v>
      </c>
      <c r="D163" s="45" t="e">
        <f>1/(1/C163+1/Calc!K163)</f>
        <v>#N/A</v>
      </c>
      <c r="E163" s="45" t="e">
        <f>ABS(Show!$A$4-D163)/(Show!$A$4/100)</f>
        <v>#N/A</v>
      </c>
      <c r="F163" s="46">
        <f>Show!$A$4-Calc!L163</f>
        <v>35.68</v>
      </c>
      <c r="G163" s="46">
        <f>MATCH(F163*Calc!$R$12,Calc!$K$1:$K$774,1)</f>
        <v>252</v>
      </c>
      <c r="H163" s="46">
        <f>INDEX(Calc!$K$1:$K$774,G163)</f>
        <v>34.799999999999997</v>
      </c>
      <c r="I163" s="46">
        <f>H163+Calc!K163</f>
        <v>39.019999999999996</v>
      </c>
      <c r="J163" s="46">
        <f>ABS(Show!$A$4-I163)/(Show!$A$4/100)</f>
        <v>2.4500000000000099</v>
      </c>
      <c r="K163" s="45">
        <f>INDEX(Calc!L163:P163,Show!$B$4)</f>
        <v>4.2200000000000006</v>
      </c>
      <c r="L163" s="46">
        <f t="shared" si="2"/>
        <v>4.32</v>
      </c>
      <c r="M163" s="46">
        <f>L162</f>
        <v>4.2200000000000006</v>
      </c>
      <c r="N163" s="46">
        <f>L162</f>
        <v>4.2200000000000006</v>
      </c>
      <c r="O163" s="46">
        <f t="shared" si="64"/>
        <v>4.6999999999999993</v>
      </c>
      <c r="P163" s="46">
        <f t="shared" ref="P163" si="66">O162</f>
        <v>4.6999999999999993</v>
      </c>
    </row>
    <row r="164" spans="1:16" x14ac:dyDescent="0.25">
      <c r="A164" s="45">
        <f>1/((1/Show!$A$4)-(1/Calc!K164))</f>
        <v>-4.7177193963107884</v>
      </c>
      <c r="B164" s="45" t="e">
        <f>MATCH(A164*Calc!$R$12,Calc!$K$1:$K$774,1)</f>
        <v>#N/A</v>
      </c>
      <c r="C164" s="45" t="e">
        <f>INDEX(Calc!$K$1:$K$774,B164)</f>
        <v>#N/A</v>
      </c>
      <c r="D164" s="45" t="e">
        <f>1/(1/C164+1/Calc!K164)</f>
        <v>#N/A</v>
      </c>
      <c r="E164" s="45" t="e">
        <f>ABS(Show!$A$4-D164)/(Show!$A$4/100)</f>
        <v>#N/A</v>
      </c>
      <c r="F164" s="46">
        <f>Show!$A$4-Calc!L164</f>
        <v>35.58</v>
      </c>
      <c r="G164" s="46">
        <f>MATCH(F164*Calc!$R$12,Calc!$K$1:$K$774,1)</f>
        <v>252</v>
      </c>
      <c r="H164" s="46">
        <f>INDEX(Calc!$K$1:$K$774,G164)</f>
        <v>34.799999999999997</v>
      </c>
      <c r="I164" s="46">
        <f>H164+Calc!K164</f>
        <v>39.019999999999996</v>
      </c>
      <c r="J164" s="46">
        <f>ABS(Show!$A$4-I164)/(Show!$A$4/100)</f>
        <v>2.4500000000000099</v>
      </c>
      <c r="K164" s="45">
        <f>INDEX(Calc!L164:P164,Show!$B$4)</f>
        <v>4.2200000000000006</v>
      </c>
      <c r="L164" s="46">
        <f t="shared" si="2"/>
        <v>4.42</v>
      </c>
      <c r="M164" s="46">
        <f>L164</f>
        <v>4.42</v>
      </c>
      <c r="N164" s="46">
        <f>L162</f>
        <v>4.2200000000000006</v>
      </c>
      <c r="O164" s="46">
        <f t="shared" si="64"/>
        <v>4.6999999999999993</v>
      </c>
      <c r="P164" s="46">
        <f t="shared" ref="P164" si="67">O162</f>
        <v>4.6999999999999993</v>
      </c>
    </row>
    <row r="165" spans="1:16" x14ac:dyDescent="0.25">
      <c r="A165" s="45">
        <f>1/((1/Show!$A$4)-(1/Calc!K165))</f>
        <v>-5.2488687782805421</v>
      </c>
      <c r="B165" s="45" t="e">
        <f>MATCH(A165*Calc!$R$12,Calc!$K$1:$K$774,1)</f>
        <v>#N/A</v>
      </c>
      <c r="C165" s="45" t="e">
        <f>INDEX(Calc!$K$1:$K$774,B165)</f>
        <v>#N/A</v>
      </c>
      <c r="D165" s="45" t="e">
        <f>1/(1/C165+1/Calc!K165)</f>
        <v>#N/A</v>
      </c>
      <c r="E165" s="45" t="e">
        <f>ABS(Show!$A$4-D165)/(Show!$A$4/100)</f>
        <v>#N/A</v>
      </c>
      <c r="F165" s="46">
        <f>Show!$A$4-Calc!L165</f>
        <v>35.47</v>
      </c>
      <c r="G165" s="46">
        <f>MATCH(F165*Calc!$R$12,Calc!$K$1:$K$774,1)</f>
        <v>252</v>
      </c>
      <c r="H165" s="46">
        <f>INDEX(Calc!$K$1:$K$774,G165)</f>
        <v>34.799999999999997</v>
      </c>
      <c r="I165" s="46">
        <f>H165+Calc!K165</f>
        <v>39.44</v>
      </c>
      <c r="J165" s="46">
        <f>ABS(Show!$A$4-I165)/(Show!$A$4/100)</f>
        <v>1.4000000000000057</v>
      </c>
      <c r="K165" s="45">
        <f>INDEX(Calc!L165:P165,Show!$B$4)</f>
        <v>4.6399999999999997</v>
      </c>
      <c r="L165" s="46">
        <f t="shared" si="2"/>
        <v>4.5299999999999994</v>
      </c>
      <c r="M165" s="46">
        <f>L164</f>
        <v>4.42</v>
      </c>
      <c r="N165" s="46">
        <f>L166</f>
        <v>4.6399999999999997</v>
      </c>
      <c r="O165" s="46">
        <f t="shared" si="64"/>
        <v>4.6999999999999993</v>
      </c>
      <c r="P165" s="46">
        <f t="shared" ref="P165" si="68">O162</f>
        <v>4.6999999999999993</v>
      </c>
    </row>
    <row r="166" spans="1:16" x14ac:dyDescent="0.25">
      <c r="A166" s="45">
        <f>1/((1/Show!$A$4)-(1/Calc!K166))</f>
        <v>-5.2488687782805421</v>
      </c>
      <c r="B166" s="45" t="e">
        <f>MATCH(A166*Calc!$R$12,Calc!$K$1:$K$774,1)</f>
        <v>#N/A</v>
      </c>
      <c r="C166" s="45" t="e">
        <f>INDEX(Calc!$K$1:$K$774,B166)</f>
        <v>#N/A</v>
      </c>
      <c r="D166" s="45" t="e">
        <f>1/(1/C166+1/Calc!K166)</f>
        <v>#N/A</v>
      </c>
      <c r="E166" s="45" t="e">
        <f>ABS(Show!$A$4-D166)/(Show!$A$4/100)</f>
        <v>#N/A</v>
      </c>
      <c r="F166" s="46">
        <f>Show!$A$4-Calc!L166</f>
        <v>35.36</v>
      </c>
      <c r="G166" s="46">
        <f>MATCH(F166*Calc!$R$12,Calc!$K$1:$K$774,1)</f>
        <v>252</v>
      </c>
      <c r="H166" s="46">
        <f>INDEX(Calc!$K$1:$K$774,G166)</f>
        <v>34.799999999999997</v>
      </c>
      <c r="I166" s="46">
        <f>H166+Calc!K166</f>
        <v>39.44</v>
      </c>
      <c r="J166" s="46">
        <f>ABS(Show!$A$4-I166)/(Show!$A$4/100)</f>
        <v>1.4000000000000057</v>
      </c>
      <c r="K166" s="45">
        <f>INDEX(Calc!L166:P166,Show!$B$4)</f>
        <v>4.6399999999999997</v>
      </c>
      <c r="L166" s="46">
        <f t="shared" si="2"/>
        <v>4.6399999999999997</v>
      </c>
      <c r="M166" s="46">
        <f>L166</f>
        <v>4.6399999999999997</v>
      </c>
      <c r="N166" s="46">
        <f>L166</f>
        <v>4.6399999999999997</v>
      </c>
      <c r="O166" s="46">
        <f t="shared" si="64"/>
        <v>4.6999999999999993</v>
      </c>
      <c r="P166" s="46">
        <f t="shared" ref="P166" si="69">O162</f>
        <v>4.6999999999999993</v>
      </c>
    </row>
    <row r="167" spans="1:16" x14ac:dyDescent="0.25">
      <c r="A167" s="45">
        <f>1/((1/Show!$A$4)-(1/Calc!K167))</f>
        <v>-5.2488687782805421</v>
      </c>
      <c r="B167" s="45" t="e">
        <f>MATCH(A167*Calc!$R$12,Calc!$K$1:$K$774,1)</f>
        <v>#N/A</v>
      </c>
      <c r="C167" s="45" t="e">
        <f>INDEX(Calc!$K$1:$K$774,B167)</f>
        <v>#N/A</v>
      </c>
      <c r="D167" s="45" t="e">
        <f>1/(1/C167+1/Calc!K167)</f>
        <v>#N/A</v>
      </c>
      <c r="E167" s="45" t="e">
        <f>ABS(Show!$A$4-D167)/(Show!$A$4/100)</f>
        <v>#N/A</v>
      </c>
      <c r="F167" s="46">
        <f>Show!$A$4-Calc!L167</f>
        <v>35.25</v>
      </c>
      <c r="G167" s="46">
        <f>MATCH(F167*Calc!$R$12,Calc!$K$1:$K$774,1)</f>
        <v>252</v>
      </c>
      <c r="H167" s="46">
        <f>INDEX(Calc!$K$1:$K$774,G167)</f>
        <v>34.799999999999997</v>
      </c>
      <c r="I167" s="46">
        <f>H167+Calc!K167</f>
        <v>39.44</v>
      </c>
      <c r="J167" s="46">
        <f>ABS(Show!$A$4-I167)/(Show!$A$4/100)</f>
        <v>1.4000000000000057</v>
      </c>
      <c r="K167" s="45">
        <f>INDEX(Calc!L167:P167,Show!$B$4)</f>
        <v>4.6399999999999997</v>
      </c>
      <c r="L167" s="46">
        <f t="shared" ref="L167:L197" si="70">L71*10</f>
        <v>4.75</v>
      </c>
      <c r="M167" s="46">
        <f>L166</f>
        <v>4.6399999999999997</v>
      </c>
      <c r="N167" s="46">
        <f>L166</f>
        <v>4.6399999999999997</v>
      </c>
      <c r="O167" s="46">
        <f t="shared" si="64"/>
        <v>4.6999999999999993</v>
      </c>
      <c r="P167" s="46">
        <f t="shared" ref="P167" si="71">O162</f>
        <v>4.6999999999999993</v>
      </c>
    </row>
    <row r="168" spans="1:16" x14ac:dyDescent="0.25">
      <c r="A168" s="45">
        <f>1/((1/Show!$A$4)-(1/Calc!K168))</f>
        <v>-5.2488687782805421</v>
      </c>
      <c r="B168" s="45" t="e">
        <f>MATCH(A168*Calc!$R$12,Calc!$K$1:$K$774,1)</f>
        <v>#N/A</v>
      </c>
      <c r="C168" s="45" t="e">
        <f>INDEX(Calc!$K$1:$K$774,B168)</f>
        <v>#N/A</v>
      </c>
      <c r="D168" s="45" t="e">
        <f>1/(1/C168+1/Calc!K168)</f>
        <v>#N/A</v>
      </c>
      <c r="E168" s="45" t="e">
        <f>ABS(Show!$A$4-D168)/(Show!$A$4/100)</f>
        <v>#N/A</v>
      </c>
      <c r="F168" s="46">
        <f>Show!$A$4-Calc!L168</f>
        <v>35.130000000000003</v>
      </c>
      <c r="G168" s="46">
        <f>MATCH(F168*Calc!$R$12,Calc!$K$1:$K$774,1)</f>
        <v>252</v>
      </c>
      <c r="H168" s="46">
        <f>INDEX(Calc!$K$1:$K$774,G168)</f>
        <v>34.799999999999997</v>
      </c>
      <c r="I168" s="46">
        <f>H168+Calc!K168</f>
        <v>39.44</v>
      </c>
      <c r="J168" s="46">
        <f>ABS(Show!$A$4-I168)/(Show!$A$4/100)</f>
        <v>1.4000000000000057</v>
      </c>
      <c r="K168" s="45">
        <f>INDEX(Calc!L168:P168,Show!$B$4)</f>
        <v>4.6399999999999997</v>
      </c>
      <c r="L168" s="46">
        <f t="shared" si="70"/>
        <v>4.87</v>
      </c>
      <c r="M168" s="46">
        <f>L168</f>
        <v>4.87</v>
      </c>
      <c r="N168" s="46">
        <f>L166</f>
        <v>4.6399999999999997</v>
      </c>
      <c r="O168" s="46">
        <f t="shared" si="64"/>
        <v>4.6999999999999993</v>
      </c>
      <c r="P168" s="46">
        <f t="shared" ref="P168" si="72">O162</f>
        <v>4.6999999999999993</v>
      </c>
    </row>
    <row r="169" spans="1:16" x14ac:dyDescent="0.25">
      <c r="A169" s="45">
        <f>1/((1/Show!$A$4)-(1/Calc!K169))</f>
        <v>-5.8584121524792208</v>
      </c>
      <c r="B169" s="45" t="e">
        <f>MATCH(A169*Calc!$R$12,Calc!$K$1:$K$774,1)</f>
        <v>#N/A</v>
      </c>
      <c r="C169" s="45" t="e">
        <f>INDEX(Calc!$K$1:$K$774,B169)</f>
        <v>#N/A</v>
      </c>
      <c r="D169" s="45" t="e">
        <f>1/(1/C169+1/Calc!K169)</f>
        <v>#N/A</v>
      </c>
      <c r="E169" s="45" t="e">
        <f>ABS(Show!$A$4-D169)/(Show!$A$4/100)</f>
        <v>#N/A</v>
      </c>
      <c r="F169" s="46">
        <f>Show!$A$4-Calc!L169</f>
        <v>35.01</v>
      </c>
      <c r="G169" s="46">
        <f>MATCH(F169*Calc!$R$12,Calc!$K$1:$K$774,1)</f>
        <v>252</v>
      </c>
      <c r="H169" s="46">
        <f>INDEX(Calc!$K$1:$K$774,G169)</f>
        <v>34.799999999999997</v>
      </c>
      <c r="I169" s="46">
        <f>H169+Calc!K169</f>
        <v>39.909999999999997</v>
      </c>
      <c r="J169" s="46">
        <f>ABS(Show!$A$4-I169)/(Show!$A$4/100)</f>
        <v>0.22500000000000853</v>
      </c>
      <c r="K169" s="45">
        <f>INDEX(Calc!L169:P169,Show!$B$4)</f>
        <v>5.1100000000000003</v>
      </c>
      <c r="L169" s="46">
        <f t="shared" si="70"/>
        <v>4.99</v>
      </c>
      <c r="M169" s="46">
        <f>L168</f>
        <v>4.87</v>
      </c>
      <c r="N169" s="46">
        <f>L170</f>
        <v>5.1100000000000003</v>
      </c>
      <c r="O169" s="46">
        <f t="shared" si="64"/>
        <v>4.6999999999999993</v>
      </c>
      <c r="P169" s="46">
        <f t="shared" ref="P169" si="73">O162</f>
        <v>4.6999999999999993</v>
      </c>
    </row>
    <row r="170" spans="1:16" x14ac:dyDescent="0.25">
      <c r="A170" s="45">
        <f>1/((1/Show!$A$4)-(1/Calc!K170))</f>
        <v>-5.8584121524792208</v>
      </c>
      <c r="B170" s="45" t="e">
        <f>MATCH(A170*Calc!$R$12,Calc!$K$1:$K$774,1)</f>
        <v>#N/A</v>
      </c>
      <c r="C170" s="45" t="e">
        <f>INDEX(Calc!$K$1:$K$774,B170)</f>
        <v>#N/A</v>
      </c>
      <c r="D170" s="45" t="e">
        <f>1/(1/C170+1/Calc!K170)</f>
        <v>#N/A</v>
      </c>
      <c r="E170" s="45" t="e">
        <f>ABS(Show!$A$4-D170)/(Show!$A$4/100)</f>
        <v>#N/A</v>
      </c>
      <c r="F170" s="46">
        <f>Show!$A$4-Calc!L170</f>
        <v>34.89</v>
      </c>
      <c r="G170" s="46">
        <f>MATCH(F170*Calc!$R$12,Calc!$K$1:$K$774,1)</f>
        <v>252</v>
      </c>
      <c r="H170" s="46">
        <f>INDEX(Calc!$K$1:$K$774,G170)</f>
        <v>34.799999999999997</v>
      </c>
      <c r="I170" s="46">
        <f>H170+Calc!K170</f>
        <v>39.909999999999997</v>
      </c>
      <c r="J170" s="46">
        <f>ABS(Show!$A$4-I170)/(Show!$A$4/100)</f>
        <v>0.22500000000000853</v>
      </c>
      <c r="K170" s="45">
        <f>INDEX(Calc!L170:P170,Show!$B$4)</f>
        <v>5.1100000000000003</v>
      </c>
      <c r="L170" s="46">
        <f t="shared" si="70"/>
        <v>5.1100000000000003</v>
      </c>
      <c r="M170" s="46">
        <f>L170</f>
        <v>5.1100000000000003</v>
      </c>
      <c r="N170" s="46">
        <f>L170</f>
        <v>5.1100000000000003</v>
      </c>
      <c r="O170" s="46">
        <f t="shared" si="64"/>
        <v>5.6000000000000005</v>
      </c>
      <c r="P170" s="46">
        <f t="shared" ref="P170" si="74">O162</f>
        <v>4.6999999999999993</v>
      </c>
    </row>
    <row r="171" spans="1:16" x14ac:dyDescent="0.25">
      <c r="A171" s="45">
        <f>1/((1/Show!$A$4)-(1/Calc!K171))</f>
        <v>-5.8584121524792208</v>
      </c>
      <c r="B171" s="45" t="e">
        <f>MATCH(A171*Calc!$R$12,Calc!$K$1:$K$774,1)</f>
        <v>#N/A</v>
      </c>
      <c r="C171" s="45" t="e">
        <f>INDEX(Calc!$K$1:$K$774,B171)</f>
        <v>#N/A</v>
      </c>
      <c r="D171" s="45" t="e">
        <f>1/(1/C171+1/Calc!K171)</f>
        <v>#N/A</v>
      </c>
      <c r="E171" s="45" t="e">
        <f>ABS(Show!$A$4-D171)/(Show!$A$4/100)</f>
        <v>#N/A</v>
      </c>
      <c r="F171" s="46">
        <f>Show!$A$4-Calc!L171</f>
        <v>34.769999999999996</v>
      </c>
      <c r="G171" s="46">
        <f>MATCH(F171*Calc!$R$12,Calc!$K$1:$K$774,1)</f>
        <v>252</v>
      </c>
      <c r="H171" s="46">
        <f>INDEX(Calc!$K$1:$K$774,G171)</f>
        <v>34.799999999999997</v>
      </c>
      <c r="I171" s="46">
        <f>H171+Calc!K171</f>
        <v>39.909999999999997</v>
      </c>
      <c r="J171" s="46">
        <f>ABS(Show!$A$4-I171)/(Show!$A$4/100)</f>
        <v>0.22500000000000853</v>
      </c>
      <c r="K171" s="45">
        <f>INDEX(Calc!L171:P171,Show!$B$4)</f>
        <v>5.1100000000000003</v>
      </c>
      <c r="L171" s="46">
        <f t="shared" si="70"/>
        <v>5.23</v>
      </c>
      <c r="M171" s="46">
        <f>L170</f>
        <v>5.1100000000000003</v>
      </c>
      <c r="N171" s="46">
        <f>L170</f>
        <v>5.1100000000000003</v>
      </c>
      <c r="O171" s="46">
        <f t="shared" si="64"/>
        <v>5.6000000000000005</v>
      </c>
      <c r="P171" s="46">
        <f t="shared" ref="P171" si="75">O162</f>
        <v>4.6999999999999993</v>
      </c>
    </row>
    <row r="172" spans="1:16" x14ac:dyDescent="0.25">
      <c r="A172" s="45">
        <f>1/((1/Show!$A$4)-(1/Calc!K172))</f>
        <v>-5.8584121524792208</v>
      </c>
      <c r="B172" s="45" t="e">
        <f>MATCH(A172*Calc!$R$12,Calc!$K$1:$K$774,1)</f>
        <v>#N/A</v>
      </c>
      <c r="C172" s="45" t="e">
        <f>INDEX(Calc!$K$1:$K$774,B172)</f>
        <v>#N/A</v>
      </c>
      <c r="D172" s="45" t="e">
        <f>1/(1/C172+1/Calc!K172)</f>
        <v>#N/A</v>
      </c>
      <c r="E172" s="45" t="e">
        <f>ABS(Show!$A$4-D172)/(Show!$A$4/100)</f>
        <v>#N/A</v>
      </c>
      <c r="F172" s="46">
        <f>Show!$A$4-Calc!L172</f>
        <v>34.64</v>
      </c>
      <c r="G172" s="46">
        <f>MATCH(F172*Calc!$R$12,Calc!$K$1:$K$774,1)</f>
        <v>252</v>
      </c>
      <c r="H172" s="46">
        <f>INDEX(Calc!$K$1:$K$774,G172)</f>
        <v>34.799999999999997</v>
      </c>
      <c r="I172" s="46">
        <f>H172+Calc!K172</f>
        <v>39.909999999999997</v>
      </c>
      <c r="J172" s="46">
        <f>ABS(Show!$A$4-I172)/(Show!$A$4/100)</f>
        <v>0.22500000000000853</v>
      </c>
      <c r="K172" s="45">
        <f>INDEX(Calc!L172:P172,Show!$B$4)</f>
        <v>5.1100000000000003</v>
      </c>
      <c r="L172" s="46">
        <f t="shared" si="70"/>
        <v>5.36</v>
      </c>
      <c r="M172" s="46">
        <f>L172</f>
        <v>5.36</v>
      </c>
      <c r="N172" s="46">
        <f>L170</f>
        <v>5.1100000000000003</v>
      </c>
      <c r="O172" s="46">
        <f t="shared" si="64"/>
        <v>5.6000000000000005</v>
      </c>
      <c r="P172" s="46">
        <f t="shared" ref="P172" si="76">O162</f>
        <v>4.6999999999999993</v>
      </c>
    </row>
    <row r="173" spans="1:16" x14ac:dyDescent="0.25">
      <c r="A173" s="45">
        <f>1/((1/Show!$A$4)-(1/Calc!K173))</f>
        <v>-6.5386852821407802</v>
      </c>
      <c r="B173" s="45" t="e">
        <f>MATCH(A173*Calc!$R$12,Calc!$K$1:$K$774,1)</f>
        <v>#N/A</v>
      </c>
      <c r="C173" s="45" t="e">
        <f>INDEX(Calc!$K$1:$K$774,B173)</f>
        <v>#N/A</v>
      </c>
      <c r="D173" s="45" t="e">
        <f>1/(1/C173+1/Calc!K173)</f>
        <v>#N/A</v>
      </c>
      <c r="E173" s="45" t="e">
        <f>ABS(Show!$A$4-D173)/(Show!$A$4/100)</f>
        <v>#N/A</v>
      </c>
      <c r="F173" s="46">
        <f>Show!$A$4-Calc!L173</f>
        <v>34.51</v>
      </c>
      <c r="G173" s="46">
        <f>MATCH(F173*Calc!$R$12,Calc!$K$1:$K$774,1)</f>
        <v>252</v>
      </c>
      <c r="H173" s="46">
        <f>INDEX(Calc!$K$1:$K$774,G173)</f>
        <v>34.799999999999997</v>
      </c>
      <c r="I173" s="46">
        <f>H173+Calc!K173</f>
        <v>40.42</v>
      </c>
      <c r="J173" s="46">
        <f>ABS(Show!$A$4-I173)/(Show!$A$4/100)</f>
        <v>1.0500000000000043</v>
      </c>
      <c r="K173" s="45">
        <f>INDEX(Calc!L173:P173,Show!$B$4)</f>
        <v>5.620000000000001</v>
      </c>
      <c r="L173" s="46">
        <f t="shared" si="70"/>
        <v>5.4899999999999993</v>
      </c>
      <c r="M173" s="46">
        <f>L172</f>
        <v>5.36</v>
      </c>
      <c r="N173" s="46">
        <f>L174</f>
        <v>5.620000000000001</v>
      </c>
      <c r="O173" s="46">
        <f t="shared" si="64"/>
        <v>5.6000000000000005</v>
      </c>
      <c r="P173" s="46">
        <f t="shared" ref="P173" si="77">O162</f>
        <v>4.6999999999999993</v>
      </c>
    </row>
    <row r="174" spans="1:16" x14ac:dyDescent="0.25">
      <c r="A174" s="45">
        <f>1/((1/Show!$A$4)-(1/Calc!K174))</f>
        <v>-6.5386852821407802</v>
      </c>
      <c r="B174" s="45" t="e">
        <f>MATCH(A174*Calc!$R$12,Calc!$K$1:$K$774,1)</f>
        <v>#N/A</v>
      </c>
      <c r="C174" s="45" t="e">
        <f>INDEX(Calc!$K$1:$K$774,B174)</f>
        <v>#N/A</v>
      </c>
      <c r="D174" s="45" t="e">
        <f>1/(1/C174+1/Calc!K174)</f>
        <v>#N/A</v>
      </c>
      <c r="E174" s="45" t="e">
        <f>ABS(Show!$A$4-D174)/(Show!$A$4/100)</f>
        <v>#N/A</v>
      </c>
      <c r="F174" s="46">
        <f>Show!$A$4-Calc!L174</f>
        <v>34.379999999999995</v>
      </c>
      <c r="G174" s="46">
        <f>MATCH(F174*Calc!$R$12,Calc!$K$1:$K$774,1)</f>
        <v>252</v>
      </c>
      <c r="H174" s="46">
        <f>INDEX(Calc!$K$1:$K$774,G174)</f>
        <v>34.799999999999997</v>
      </c>
      <c r="I174" s="46">
        <f>H174+Calc!K174</f>
        <v>40.42</v>
      </c>
      <c r="J174" s="46">
        <f>ABS(Show!$A$4-I174)/(Show!$A$4/100)</f>
        <v>1.0500000000000043</v>
      </c>
      <c r="K174" s="45">
        <f>INDEX(Calc!L174:P174,Show!$B$4)</f>
        <v>5.620000000000001</v>
      </c>
      <c r="L174" s="46">
        <f t="shared" si="70"/>
        <v>5.620000000000001</v>
      </c>
      <c r="M174" s="46">
        <f>L174</f>
        <v>5.620000000000001</v>
      </c>
      <c r="N174" s="46">
        <f>L174</f>
        <v>5.620000000000001</v>
      </c>
      <c r="O174" s="46">
        <f t="shared" si="64"/>
        <v>5.6000000000000005</v>
      </c>
      <c r="P174" s="46">
        <f t="shared" ref="P174" si="78">O178</f>
        <v>6.8000000000000007</v>
      </c>
    </row>
    <row r="175" spans="1:16" x14ac:dyDescent="0.25">
      <c r="A175" s="45">
        <f>1/((1/Show!$A$4)-(1/Calc!K175))</f>
        <v>-6.5386852821407802</v>
      </c>
      <c r="B175" s="45" t="e">
        <f>MATCH(A175*Calc!$R$12,Calc!$K$1:$K$774,1)</f>
        <v>#N/A</v>
      </c>
      <c r="C175" s="45" t="e">
        <f>INDEX(Calc!$K$1:$K$774,B175)</f>
        <v>#N/A</v>
      </c>
      <c r="D175" s="45" t="e">
        <f>1/(1/C175+1/Calc!K175)</f>
        <v>#N/A</v>
      </c>
      <c r="E175" s="45" t="e">
        <f>ABS(Show!$A$4-D175)/(Show!$A$4/100)</f>
        <v>#N/A</v>
      </c>
      <c r="F175" s="46">
        <f>Show!$A$4-Calc!L175</f>
        <v>34.24</v>
      </c>
      <c r="G175" s="46">
        <f>MATCH(F175*Calc!$R$12,Calc!$K$1:$K$774,1)</f>
        <v>252</v>
      </c>
      <c r="H175" s="46">
        <f>INDEX(Calc!$K$1:$K$774,G175)</f>
        <v>34.799999999999997</v>
      </c>
      <c r="I175" s="46">
        <f>H175+Calc!K175</f>
        <v>40.42</v>
      </c>
      <c r="J175" s="46">
        <f>ABS(Show!$A$4-I175)/(Show!$A$4/100)</f>
        <v>1.0500000000000043</v>
      </c>
      <c r="K175" s="45">
        <f>INDEX(Calc!L175:P175,Show!$B$4)</f>
        <v>5.620000000000001</v>
      </c>
      <c r="L175" s="46">
        <f t="shared" si="70"/>
        <v>5.7600000000000007</v>
      </c>
      <c r="M175" s="46">
        <f>L174</f>
        <v>5.620000000000001</v>
      </c>
      <c r="N175" s="46">
        <f>L174</f>
        <v>5.620000000000001</v>
      </c>
      <c r="O175" s="46">
        <f t="shared" si="64"/>
        <v>5.6000000000000005</v>
      </c>
      <c r="P175" s="46">
        <f t="shared" ref="P175" si="79">O178</f>
        <v>6.8000000000000007</v>
      </c>
    </row>
    <row r="176" spans="1:16" x14ac:dyDescent="0.25">
      <c r="A176" s="45">
        <f>1/((1/Show!$A$4)-(1/Calc!K176))</f>
        <v>-6.5386852821407802</v>
      </c>
      <c r="B176" s="45" t="e">
        <f>MATCH(A176*Calc!$R$12,Calc!$K$1:$K$774,1)</f>
        <v>#N/A</v>
      </c>
      <c r="C176" s="45" t="e">
        <f>INDEX(Calc!$K$1:$K$774,B176)</f>
        <v>#N/A</v>
      </c>
      <c r="D176" s="45" t="e">
        <f>1/(1/C176+1/Calc!K176)</f>
        <v>#N/A</v>
      </c>
      <c r="E176" s="45" t="e">
        <f>ABS(Show!$A$4-D176)/(Show!$A$4/100)</f>
        <v>#N/A</v>
      </c>
      <c r="F176" s="46">
        <f>Show!$A$4-Calc!L176</f>
        <v>34.1</v>
      </c>
      <c r="G176" s="46">
        <f>MATCH(F176*Calc!$R$12,Calc!$K$1:$K$774,1)</f>
        <v>252</v>
      </c>
      <c r="H176" s="46">
        <f>INDEX(Calc!$K$1:$K$774,G176)</f>
        <v>34.799999999999997</v>
      </c>
      <c r="I176" s="46">
        <f>H176+Calc!K176</f>
        <v>40.42</v>
      </c>
      <c r="J176" s="46">
        <f>ABS(Show!$A$4-I176)/(Show!$A$4/100)</f>
        <v>1.0500000000000043</v>
      </c>
      <c r="K176" s="45">
        <f>INDEX(Calc!L176:P176,Show!$B$4)</f>
        <v>5.620000000000001</v>
      </c>
      <c r="L176" s="46">
        <f t="shared" si="70"/>
        <v>5.8999999999999995</v>
      </c>
      <c r="M176" s="46">
        <f>L176</f>
        <v>5.8999999999999995</v>
      </c>
      <c r="N176" s="46">
        <f>L174</f>
        <v>5.620000000000001</v>
      </c>
      <c r="O176" s="46">
        <f t="shared" si="64"/>
        <v>5.6000000000000005</v>
      </c>
      <c r="P176" s="46">
        <f t="shared" ref="P176" si="80">O178</f>
        <v>6.8000000000000007</v>
      </c>
    </row>
    <row r="177" spans="1:16" x14ac:dyDescent="0.25">
      <c r="A177" s="45">
        <f>1/((1/Show!$A$4)-(1/Calc!K177))</f>
        <v>-7.3232771369417327</v>
      </c>
      <c r="B177" s="45" t="e">
        <f>MATCH(A177*Calc!$R$12,Calc!$K$1:$K$774,1)</f>
        <v>#N/A</v>
      </c>
      <c r="C177" s="45" t="e">
        <f>INDEX(Calc!$K$1:$K$774,B177)</f>
        <v>#N/A</v>
      </c>
      <c r="D177" s="45" t="e">
        <f>1/(1/C177+1/Calc!K177)</f>
        <v>#N/A</v>
      </c>
      <c r="E177" s="45" t="e">
        <f>ABS(Show!$A$4-D177)/(Show!$A$4/100)</f>
        <v>#N/A</v>
      </c>
      <c r="F177" s="46">
        <f>Show!$A$4-Calc!L177</f>
        <v>33.96</v>
      </c>
      <c r="G177" s="46">
        <f>MATCH(F177*Calc!$R$12,Calc!$K$1:$K$774,1)</f>
        <v>252</v>
      </c>
      <c r="H177" s="46">
        <f>INDEX(Calc!$K$1:$K$774,G177)</f>
        <v>34.799999999999997</v>
      </c>
      <c r="I177" s="46">
        <f>H177+Calc!K177</f>
        <v>40.989999999999995</v>
      </c>
      <c r="J177" s="46">
        <f>ABS(Show!$A$4-I177)/(Show!$A$4/100)</f>
        <v>2.4749999999999872</v>
      </c>
      <c r="K177" s="45">
        <f>INDEX(Calc!L177:P177,Show!$B$4)</f>
        <v>6.1899999999999995</v>
      </c>
      <c r="L177" s="46">
        <f t="shared" si="70"/>
        <v>6.04</v>
      </c>
      <c r="M177" s="46">
        <f>L176</f>
        <v>5.8999999999999995</v>
      </c>
      <c r="N177" s="46">
        <f>L178</f>
        <v>6.1899999999999995</v>
      </c>
      <c r="O177" s="46">
        <f t="shared" si="64"/>
        <v>5.6000000000000005</v>
      </c>
      <c r="P177" s="46">
        <f t="shared" ref="P177" si="81">O178</f>
        <v>6.8000000000000007</v>
      </c>
    </row>
    <row r="178" spans="1:16" x14ac:dyDescent="0.25">
      <c r="A178" s="45">
        <f>1/((1/Show!$A$4)-(1/Calc!K178))</f>
        <v>-7.3232771369417327</v>
      </c>
      <c r="B178" s="45" t="e">
        <f>MATCH(A178*Calc!$R$12,Calc!$K$1:$K$774,1)</f>
        <v>#N/A</v>
      </c>
      <c r="C178" s="45" t="e">
        <f>INDEX(Calc!$K$1:$K$774,B178)</f>
        <v>#N/A</v>
      </c>
      <c r="D178" s="45" t="e">
        <f>1/(1/C178+1/Calc!K178)</f>
        <v>#N/A</v>
      </c>
      <c r="E178" s="45" t="e">
        <f>ABS(Show!$A$4-D178)/(Show!$A$4/100)</f>
        <v>#N/A</v>
      </c>
      <c r="F178" s="46">
        <f>Show!$A$4-Calc!L178</f>
        <v>33.81</v>
      </c>
      <c r="G178" s="46">
        <f>MATCH(F178*Calc!$R$12,Calc!$K$1:$K$774,1)</f>
        <v>252</v>
      </c>
      <c r="H178" s="46">
        <f>INDEX(Calc!$K$1:$K$774,G178)</f>
        <v>34.799999999999997</v>
      </c>
      <c r="I178" s="46">
        <f>H178+Calc!K178</f>
        <v>40.989999999999995</v>
      </c>
      <c r="J178" s="46">
        <f>ABS(Show!$A$4-I178)/(Show!$A$4/100)</f>
        <v>2.4749999999999872</v>
      </c>
      <c r="K178" s="45">
        <f>INDEX(Calc!L178:P178,Show!$B$4)</f>
        <v>6.1899999999999995</v>
      </c>
      <c r="L178" s="46">
        <f t="shared" si="70"/>
        <v>6.1899999999999995</v>
      </c>
      <c r="M178" s="46">
        <f>L178</f>
        <v>6.1899999999999995</v>
      </c>
      <c r="N178" s="46">
        <f>L178</f>
        <v>6.1899999999999995</v>
      </c>
      <c r="O178" s="46">
        <f t="shared" si="64"/>
        <v>6.8000000000000007</v>
      </c>
      <c r="P178" s="46">
        <f t="shared" ref="P178" si="82">O178</f>
        <v>6.8000000000000007</v>
      </c>
    </row>
    <row r="179" spans="1:16" x14ac:dyDescent="0.25">
      <c r="A179" s="45">
        <f>1/((1/Show!$A$4)-(1/Calc!K179))</f>
        <v>-7.3232771369417327</v>
      </c>
      <c r="B179" s="45" t="e">
        <f>MATCH(A179*Calc!$R$12,Calc!$K$1:$K$774,1)</f>
        <v>#N/A</v>
      </c>
      <c r="C179" s="45" t="e">
        <f>INDEX(Calc!$K$1:$K$774,B179)</f>
        <v>#N/A</v>
      </c>
      <c r="D179" s="45" t="e">
        <f>1/(1/C179+1/Calc!K179)</f>
        <v>#N/A</v>
      </c>
      <c r="E179" s="45" t="e">
        <f>ABS(Show!$A$4-D179)/(Show!$A$4/100)</f>
        <v>#N/A</v>
      </c>
      <c r="F179" s="46">
        <f>Show!$A$4-Calc!L179</f>
        <v>33.659999999999997</v>
      </c>
      <c r="G179" s="46">
        <f>MATCH(F179*Calc!$R$12,Calc!$K$1:$K$774,1)</f>
        <v>252</v>
      </c>
      <c r="H179" s="46">
        <f>INDEX(Calc!$K$1:$K$774,G179)</f>
        <v>34.799999999999997</v>
      </c>
      <c r="I179" s="46">
        <f>H179+Calc!K179</f>
        <v>40.989999999999995</v>
      </c>
      <c r="J179" s="46">
        <f>ABS(Show!$A$4-I179)/(Show!$A$4/100)</f>
        <v>2.4749999999999872</v>
      </c>
      <c r="K179" s="45">
        <f>INDEX(Calc!L179:P179,Show!$B$4)</f>
        <v>6.1899999999999995</v>
      </c>
      <c r="L179" s="46">
        <f t="shared" si="70"/>
        <v>6.34</v>
      </c>
      <c r="M179" s="46">
        <f>L178</f>
        <v>6.1899999999999995</v>
      </c>
      <c r="N179" s="46">
        <f>L178</f>
        <v>6.1899999999999995</v>
      </c>
      <c r="O179" s="46">
        <f t="shared" si="64"/>
        <v>6.8000000000000007</v>
      </c>
      <c r="P179" s="46">
        <f t="shared" ref="P179" si="83">O178</f>
        <v>6.8000000000000007</v>
      </c>
    </row>
    <row r="180" spans="1:16" x14ac:dyDescent="0.25">
      <c r="A180" s="45">
        <f>1/((1/Show!$A$4)-(1/Calc!K180))</f>
        <v>-7.3232771369417327</v>
      </c>
      <c r="B180" s="45" t="e">
        <f>MATCH(A180*Calc!$R$12,Calc!$K$1:$K$774,1)</f>
        <v>#N/A</v>
      </c>
      <c r="C180" s="45" t="e">
        <f>INDEX(Calc!$K$1:$K$774,B180)</f>
        <v>#N/A</v>
      </c>
      <c r="D180" s="45" t="e">
        <f>1/(1/C180+1/Calc!K180)</f>
        <v>#N/A</v>
      </c>
      <c r="E180" s="45" t="e">
        <f>ABS(Show!$A$4-D180)/(Show!$A$4/100)</f>
        <v>#N/A</v>
      </c>
      <c r="F180" s="46">
        <f>Show!$A$4-Calc!L180</f>
        <v>33.51</v>
      </c>
      <c r="G180" s="46">
        <f>MATCH(F180*Calc!$R$12,Calc!$K$1:$K$774,1)</f>
        <v>252</v>
      </c>
      <c r="H180" s="46">
        <f>INDEX(Calc!$K$1:$K$774,G180)</f>
        <v>34.799999999999997</v>
      </c>
      <c r="I180" s="46">
        <f>H180+Calc!K180</f>
        <v>40.989999999999995</v>
      </c>
      <c r="J180" s="46">
        <f>ABS(Show!$A$4-I180)/(Show!$A$4/100)</f>
        <v>2.4749999999999872</v>
      </c>
      <c r="K180" s="45">
        <f>INDEX(Calc!L180:P180,Show!$B$4)</f>
        <v>6.1899999999999995</v>
      </c>
      <c r="L180" s="46">
        <f t="shared" si="70"/>
        <v>6.49</v>
      </c>
      <c r="M180" s="46">
        <f>L180</f>
        <v>6.49</v>
      </c>
      <c r="N180" s="46">
        <f>L178</f>
        <v>6.1899999999999995</v>
      </c>
      <c r="O180" s="46">
        <f t="shared" si="64"/>
        <v>6.8000000000000007</v>
      </c>
      <c r="P180" s="46">
        <f t="shared" ref="P180" si="84">O178</f>
        <v>6.8000000000000007</v>
      </c>
    </row>
    <row r="181" spans="1:16" x14ac:dyDescent="0.25">
      <c r="A181" s="45">
        <f>1/((1/Show!$A$4)-(1/Calc!K181))</f>
        <v>-8.2072913528171139</v>
      </c>
      <c r="B181" s="45" t="e">
        <f>MATCH(A181*Calc!$R$12,Calc!$K$1:$K$774,1)</f>
        <v>#N/A</v>
      </c>
      <c r="C181" s="45" t="e">
        <f>INDEX(Calc!$K$1:$K$774,B181)</f>
        <v>#N/A</v>
      </c>
      <c r="D181" s="45" t="e">
        <f>1/(1/C181+1/Calc!K181)</f>
        <v>#N/A</v>
      </c>
      <c r="E181" s="45" t="e">
        <f>ABS(Show!$A$4-D181)/(Show!$A$4/100)</f>
        <v>#N/A</v>
      </c>
      <c r="F181" s="46">
        <f>Show!$A$4-Calc!L181</f>
        <v>33.35</v>
      </c>
      <c r="G181" s="46">
        <f>MATCH(F181*Calc!$R$12,Calc!$K$1:$K$774,1)</f>
        <v>252</v>
      </c>
      <c r="H181" s="46">
        <f>INDEX(Calc!$K$1:$K$774,G181)</f>
        <v>34.799999999999997</v>
      </c>
      <c r="I181" s="46">
        <f>H181+Calc!K181</f>
        <v>41.61</v>
      </c>
      <c r="J181" s="46">
        <f>ABS(Show!$A$4-I181)/(Show!$A$4/100)</f>
        <v>4.0249999999999986</v>
      </c>
      <c r="K181" s="45">
        <f>INDEX(Calc!L181:P181,Show!$B$4)</f>
        <v>6.81</v>
      </c>
      <c r="L181" s="46">
        <f t="shared" si="70"/>
        <v>6.65</v>
      </c>
      <c r="M181" s="46">
        <f>L180</f>
        <v>6.49</v>
      </c>
      <c r="N181" s="46">
        <f>L182</f>
        <v>6.81</v>
      </c>
      <c r="O181" s="46">
        <f t="shared" si="64"/>
        <v>6.8000000000000007</v>
      </c>
      <c r="P181" s="46">
        <f t="shared" ref="P181" si="85">O178</f>
        <v>6.8000000000000007</v>
      </c>
    </row>
    <row r="182" spans="1:16" x14ac:dyDescent="0.25">
      <c r="A182" s="45">
        <f>1/((1/Show!$A$4)-(1/Calc!K182))</f>
        <v>-8.2072913528171139</v>
      </c>
      <c r="B182" s="45" t="e">
        <f>MATCH(A182*Calc!$R$12,Calc!$K$1:$K$774,1)</f>
        <v>#N/A</v>
      </c>
      <c r="C182" s="45" t="e">
        <f>INDEX(Calc!$K$1:$K$774,B182)</f>
        <v>#N/A</v>
      </c>
      <c r="D182" s="45" t="e">
        <f>1/(1/C182+1/Calc!K182)</f>
        <v>#N/A</v>
      </c>
      <c r="E182" s="45" t="e">
        <f>ABS(Show!$A$4-D182)/(Show!$A$4/100)</f>
        <v>#N/A</v>
      </c>
      <c r="F182" s="46">
        <f>Show!$A$4-Calc!L182</f>
        <v>33.19</v>
      </c>
      <c r="G182" s="46">
        <f>MATCH(F182*Calc!$R$12,Calc!$K$1:$K$774,1)</f>
        <v>252</v>
      </c>
      <c r="H182" s="46">
        <f>INDEX(Calc!$K$1:$K$774,G182)</f>
        <v>34.799999999999997</v>
      </c>
      <c r="I182" s="46">
        <f>H182+Calc!K182</f>
        <v>41.61</v>
      </c>
      <c r="J182" s="46">
        <f>ABS(Show!$A$4-I182)/(Show!$A$4/100)</f>
        <v>4.0249999999999986</v>
      </c>
      <c r="K182" s="45">
        <f>INDEX(Calc!L182:P182,Show!$B$4)</f>
        <v>6.81</v>
      </c>
      <c r="L182" s="46">
        <f t="shared" si="70"/>
        <v>6.81</v>
      </c>
      <c r="M182" s="46">
        <f>L182</f>
        <v>6.81</v>
      </c>
      <c r="N182" s="46">
        <f>L182</f>
        <v>6.81</v>
      </c>
      <c r="O182" s="46">
        <f t="shared" ref="O182:O197" si="86">O86*10</f>
        <v>6.8000000000000007</v>
      </c>
      <c r="P182" s="46">
        <f t="shared" ref="P182" si="87">O178</f>
        <v>6.8000000000000007</v>
      </c>
    </row>
    <row r="183" spans="1:16" x14ac:dyDescent="0.25">
      <c r="A183" s="45">
        <f>1/((1/Show!$A$4)-(1/Calc!K183))</f>
        <v>-8.2072913528171139</v>
      </c>
      <c r="B183" s="45" t="e">
        <f>MATCH(A183*Calc!$R$12,Calc!$K$1:$K$774,1)</f>
        <v>#N/A</v>
      </c>
      <c r="C183" s="45" t="e">
        <f>INDEX(Calc!$K$1:$K$774,B183)</f>
        <v>#N/A</v>
      </c>
      <c r="D183" s="45" t="e">
        <f>1/(1/C183+1/Calc!K183)</f>
        <v>#N/A</v>
      </c>
      <c r="E183" s="45" t="e">
        <f>ABS(Show!$A$4-D183)/(Show!$A$4/100)</f>
        <v>#N/A</v>
      </c>
      <c r="F183" s="46">
        <f>Show!$A$4-Calc!L183</f>
        <v>33.020000000000003</v>
      </c>
      <c r="G183" s="46">
        <f>MATCH(F183*Calc!$R$12,Calc!$K$1:$K$774,1)</f>
        <v>248</v>
      </c>
      <c r="H183" s="46">
        <f>INDEX(Calc!$K$1:$K$774,G183)</f>
        <v>31.6</v>
      </c>
      <c r="I183" s="46">
        <f>H183+Calc!K183</f>
        <v>38.410000000000004</v>
      </c>
      <c r="J183" s="46">
        <f>ABS(Show!$A$4-I183)/(Show!$A$4/100)</f>
        <v>3.9749999999999908</v>
      </c>
      <c r="K183" s="45">
        <f>INDEX(Calc!L183:P183,Show!$B$4)</f>
        <v>6.81</v>
      </c>
      <c r="L183" s="46">
        <f t="shared" si="70"/>
        <v>6.9799999999999995</v>
      </c>
      <c r="M183" s="46">
        <f>L182</f>
        <v>6.81</v>
      </c>
      <c r="N183" s="46">
        <f>L182</f>
        <v>6.81</v>
      </c>
      <c r="O183" s="46">
        <f t="shared" si="86"/>
        <v>6.8000000000000007</v>
      </c>
      <c r="P183" s="46">
        <f t="shared" ref="P183" si="88">O178</f>
        <v>6.8000000000000007</v>
      </c>
    </row>
    <row r="184" spans="1:16" x14ac:dyDescent="0.25">
      <c r="A184" s="45">
        <f>1/((1/Show!$A$4)-(1/Calc!K184))</f>
        <v>-8.2072913528171139</v>
      </c>
      <c r="B184" s="45" t="e">
        <f>MATCH(A184*Calc!$R$12,Calc!$K$1:$K$774,1)</f>
        <v>#N/A</v>
      </c>
      <c r="C184" s="45" t="e">
        <f>INDEX(Calc!$K$1:$K$774,B184)</f>
        <v>#N/A</v>
      </c>
      <c r="D184" s="45" t="e">
        <f>1/(1/C184+1/Calc!K184)</f>
        <v>#N/A</v>
      </c>
      <c r="E184" s="45" t="e">
        <f>ABS(Show!$A$4-D184)/(Show!$A$4/100)</f>
        <v>#N/A</v>
      </c>
      <c r="F184" s="46">
        <f>Show!$A$4-Calc!L184</f>
        <v>32.85</v>
      </c>
      <c r="G184" s="46">
        <f>MATCH(F184*Calc!$R$12,Calc!$K$1:$K$774,1)</f>
        <v>248</v>
      </c>
      <c r="H184" s="46">
        <f>INDEX(Calc!$K$1:$K$774,G184)</f>
        <v>31.6</v>
      </c>
      <c r="I184" s="46">
        <f>H184+Calc!K184</f>
        <v>38.410000000000004</v>
      </c>
      <c r="J184" s="46">
        <f>ABS(Show!$A$4-I184)/(Show!$A$4/100)</f>
        <v>3.9749999999999908</v>
      </c>
      <c r="K184" s="45">
        <f>INDEX(Calc!L184:P184,Show!$B$4)</f>
        <v>6.81</v>
      </c>
      <c r="L184" s="46">
        <f t="shared" si="70"/>
        <v>7.1499999999999995</v>
      </c>
      <c r="M184" s="46">
        <f>L184</f>
        <v>7.1499999999999995</v>
      </c>
      <c r="N184" s="46">
        <f>L182</f>
        <v>6.81</v>
      </c>
      <c r="O184" s="46">
        <f t="shared" si="86"/>
        <v>6.8000000000000007</v>
      </c>
      <c r="P184" s="46">
        <f t="shared" ref="P184" si="89">O178</f>
        <v>6.8000000000000007</v>
      </c>
    </row>
    <row r="185" spans="1:16" x14ac:dyDescent="0.25">
      <c r="A185" s="45">
        <f>1/((1/Show!$A$4)-(1/Calc!K185))</f>
        <v>-9.2307692307692299</v>
      </c>
      <c r="B185" s="45" t="e">
        <f>MATCH(A185*Calc!$R$12,Calc!$K$1:$K$774,1)</f>
        <v>#N/A</v>
      </c>
      <c r="C185" s="45" t="e">
        <f>INDEX(Calc!$K$1:$K$774,B185)</f>
        <v>#N/A</v>
      </c>
      <c r="D185" s="45" t="e">
        <f>1/(1/C185+1/Calc!K185)</f>
        <v>#N/A</v>
      </c>
      <c r="E185" s="45" t="e">
        <f>ABS(Show!$A$4-D185)/(Show!$A$4/100)</f>
        <v>#N/A</v>
      </c>
      <c r="F185" s="46">
        <f>Show!$A$4-Calc!L185</f>
        <v>32.68</v>
      </c>
      <c r="G185" s="46">
        <f>MATCH(F185*Calc!$R$12,Calc!$K$1:$K$774,1)</f>
        <v>248</v>
      </c>
      <c r="H185" s="46">
        <f>INDEX(Calc!$K$1:$K$774,G185)</f>
        <v>31.6</v>
      </c>
      <c r="I185" s="46">
        <f>H185+Calc!K185</f>
        <v>39.1</v>
      </c>
      <c r="J185" s="46">
        <f>ABS(Show!$A$4-I185)/(Show!$A$4/100)</f>
        <v>2.2499999999999964</v>
      </c>
      <c r="K185" s="45">
        <f>INDEX(Calc!L185:P185,Show!$B$4)</f>
        <v>7.5</v>
      </c>
      <c r="L185" s="46">
        <f t="shared" si="70"/>
        <v>7.32</v>
      </c>
      <c r="M185" s="46">
        <f>L184</f>
        <v>7.1499999999999995</v>
      </c>
      <c r="N185" s="46">
        <f>L186</f>
        <v>7.5</v>
      </c>
      <c r="O185" s="46">
        <f t="shared" si="86"/>
        <v>6.8000000000000007</v>
      </c>
      <c r="P185" s="46">
        <f t="shared" ref="P185" si="90">O178</f>
        <v>6.8000000000000007</v>
      </c>
    </row>
    <row r="186" spans="1:16" x14ac:dyDescent="0.25">
      <c r="A186" s="45">
        <f>1/((1/Show!$A$4)-(1/Calc!K186))</f>
        <v>-9.2307692307692299</v>
      </c>
      <c r="B186" s="45" t="e">
        <f>MATCH(A186*Calc!$R$12,Calc!$K$1:$K$774,1)</f>
        <v>#N/A</v>
      </c>
      <c r="C186" s="45" t="e">
        <f>INDEX(Calc!$K$1:$K$774,B186)</f>
        <v>#N/A</v>
      </c>
      <c r="D186" s="45" t="e">
        <f>1/(1/C186+1/Calc!K186)</f>
        <v>#N/A</v>
      </c>
      <c r="E186" s="45" t="e">
        <f>ABS(Show!$A$4-D186)/(Show!$A$4/100)</f>
        <v>#N/A</v>
      </c>
      <c r="F186" s="46">
        <f>Show!$A$4-Calc!L186</f>
        <v>32.5</v>
      </c>
      <c r="G186" s="46">
        <f>MATCH(F186*Calc!$R$12,Calc!$K$1:$K$774,1)</f>
        <v>248</v>
      </c>
      <c r="H186" s="46">
        <f>INDEX(Calc!$K$1:$K$774,G186)</f>
        <v>31.6</v>
      </c>
      <c r="I186" s="46">
        <f>H186+Calc!K186</f>
        <v>39.1</v>
      </c>
      <c r="J186" s="46">
        <f>ABS(Show!$A$4-I186)/(Show!$A$4/100)</f>
        <v>2.2499999999999964</v>
      </c>
      <c r="K186" s="45">
        <f>INDEX(Calc!L186:P186,Show!$B$4)</f>
        <v>7.5</v>
      </c>
      <c r="L186" s="46">
        <f t="shared" si="70"/>
        <v>7.5</v>
      </c>
      <c r="M186" s="46">
        <f>L186</f>
        <v>7.5</v>
      </c>
      <c r="N186" s="46">
        <f>L186</f>
        <v>7.5</v>
      </c>
      <c r="O186" s="46">
        <f t="shared" si="86"/>
        <v>8.1999999999999993</v>
      </c>
      <c r="P186" s="46">
        <f t="shared" ref="P186" si="91">O178</f>
        <v>6.8000000000000007</v>
      </c>
    </row>
    <row r="187" spans="1:16" x14ac:dyDescent="0.25">
      <c r="A187" s="45">
        <f>1/((1/Show!$A$4)-(1/Calc!K187))</f>
        <v>-9.2307692307692299</v>
      </c>
      <c r="B187" s="45" t="e">
        <f>MATCH(A187*Calc!$R$12,Calc!$K$1:$K$774,1)</f>
        <v>#N/A</v>
      </c>
      <c r="C187" s="45" t="e">
        <f>INDEX(Calc!$K$1:$K$774,B187)</f>
        <v>#N/A</v>
      </c>
      <c r="D187" s="45" t="e">
        <f>1/(1/C187+1/Calc!K187)</f>
        <v>#N/A</v>
      </c>
      <c r="E187" s="45" t="e">
        <f>ABS(Show!$A$4-D187)/(Show!$A$4/100)</f>
        <v>#N/A</v>
      </c>
      <c r="F187" s="46">
        <f>Show!$A$4-Calc!L187</f>
        <v>32.32</v>
      </c>
      <c r="G187" s="46">
        <f>MATCH(F187*Calc!$R$12,Calc!$K$1:$K$774,1)</f>
        <v>248</v>
      </c>
      <c r="H187" s="46">
        <f>INDEX(Calc!$K$1:$K$774,G187)</f>
        <v>31.6</v>
      </c>
      <c r="I187" s="46">
        <f>H187+Calc!K187</f>
        <v>39.1</v>
      </c>
      <c r="J187" s="46">
        <f>ABS(Show!$A$4-I187)/(Show!$A$4/100)</f>
        <v>2.2499999999999964</v>
      </c>
      <c r="K187" s="45">
        <f>INDEX(Calc!L187:P187,Show!$B$4)</f>
        <v>7.5</v>
      </c>
      <c r="L187" s="46">
        <f t="shared" si="70"/>
        <v>7.68</v>
      </c>
      <c r="M187" s="46">
        <f>L186</f>
        <v>7.5</v>
      </c>
      <c r="N187" s="46">
        <f>L186</f>
        <v>7.5</v>
      </c>
      <c r="O187" s="46">
        <f t="shared" si="86"/>
        <v>8.1999999999999993</v>
      </c>
      <c r="P187" s="46">
        <f t="shared" ref="P187" si="92">O178</f>
        <v>6.8000000000000007</v>
      </c>
    </row>
    <row r="188" spans="1:16" x14ac:dyDescent="0.25">
      <c r="A188" s="45">
        <f>1/((1/Show!$A$4)-(1/Calc!K188))</f>
        <v>-9.2307692307692299</v>
      </c>
      <c r="B188" s="45" t="e">
        <f>MATCH(A188*Calc!$R$12,Calc!$K$1:$K$774,1)</f>
        <v>#N/A</v>
      </c>
      <c r="C188" s="45" t="e">
        <f>INDEX(Calc!$K$1:$K$774,B188)</f>
        <v>#N/A</v>
      </c>
      <c r="D188" s="45" t="e">
        <f>1/(1/C188+1/Calc!K188)</f>
        <v>#N/A</v>
      </c>
      <c r="E188" s="45" t="e">
        <f>ABS(Show!$A$4-D188)/(Show!$A$4/100)</f>
        <v>#N/A</v>
      </c>
      <c r="F188" s="46">
        <f>Show!$A$4-Calc!L188</f>
        <v>32.130000000000003</v>
      </c>
      <c r="G188" s="46">
        <f>MATCH(F188*Calc!$R$12,Calc!$K$1:$K$774,1)</f>
        <v>248</v>
      </c>
      <c r="H188" s="46">
        <f>INDEX(Calc!$K$1:$K$774,G188)</f>
        <v>31.6</v>
      </c>
      <c r="I188" s="46">
        <f>H188+Calc!K188</f>
        <v>39.1</v>
      </c>
      <c r="J188" s="46">
        <f>ABS(Show!$A$4-I188)/(Show!$A$4/100)</f>
        <v>2.2499999999999964</v>
      </c>
      <c r="K188" s="45">
        <f>INDEX(Calc!L188:P188,Show!$B$4)</f>
        <v>7.5</v>
      </c>
      <c r="L188" s="46">
        <f t="shared" si="70"/>
        <v>7.87</v>
      </c>
      <c r="M188" s="46">
        <f>L188</f>
        <v>7.87</v>
      </c>
      <c r="N188" s="46">
        <f>L186</f>
        <v>7.5</v>
      </c>
      <c r="O188" s="46">
        <f t="shared" si="86"/>
        <v>8.1999999999999993</v>
      </c>
      <c r="P188" s="46">
        <f t="shared" ref="P188" si="93">O178</f>
        <v>6.8000000000000007</v>
      </c>
    </row>
    <row r="189" spans="1:16" x14ac:dyDescent="0.25">
      <c r="A189" s="45">
        <f>1/((1/Show!$A$4)-(1/Calc!K189))</f>
        <v>-10.393700787401574</v>
      </c>
      <c r="B189" s="45" t="e">
        <f>MATCH(A189*Calc!$R$12,Calc!$K$1:$K$774,1)</f>
        <v>#N/A</v>
      </c>
      <c r="C189" s="45" t="e">
        <f>INDEX(Calc!$K$1:$K$774,B189)</f>
        <v>#N/A</v>
      </c>
      <c r="D189" s="45" t="e">
        <f>1/(1/C189+1/Calc!K189)</f>
        <v>#N/A</v>
      </c>
      <c r="E189" s="45" t="e">
        <f>ABS(Show!$A$4-D189)/(Show!$A$4/100)</f>
        <v>#N/A</v>
      </c>
      <c r="F189" s="46">
        <f>Show!$A$4-Calc!L189</f>
        <v>31.94</v>
      </c>
      <c r="G189" s="46">
        <f>MATCH(F189*Calc!$R$12,Calc!$K$1:$K$774,1)</f>
        <v>248</v>
      </c>
      <c r="H189" s="46">
        <f>INDEX(Calc!$K$1:$K$774,G189)</f>
        <v>31.6</v>
      </c>
      <c r="I189" s="46">
        <f>H189+Calc!K189</f>
        <v>39.85</v>
      </c>
      <c r="J189" s="46">
        <f>ABS(Show!$A$4-I189)/(Show!$A$4/100)</f>
        <v>0.37499999999999645</v>
      </c>
      <c r="K189" s="45">
        <f>INDEX(Calc!L189:P189,Show!$B$4)</f>
        <v>8.25</v>
      </c>
      <c r="L189" s="46">
        <f t="shared" si="70"/>
        <v>8.0599999999999987</v>
      </c>
      <c r="M189" s="46">
        <f>L188</f>
        <v>7.87</v>
      </c>
      <c r="N189" s="46">
        <f>L190</f>
        <v>8.25</v>
      </c>
      <c r="O189" s="46">
        <f t="shared" si="86"/>
        <v>8.1999999999999993</v>
      </c>
      <c r="P189" s="46">
        <f t="shared" ref="P189" si="94">O178</f>
        <v>6.8000000000000007</v>
      </c>
    </row>
    <row r="190" spans="1:16" x14ac:dyDescent="0.25">
      <c r="A190" s="45">
        <f>1/((1/Show!$A$4)-(1/Calc!K190))</f>
        <v>-10.393700787401574</v>
      </c>
      <c r="B190" s="45" t="e">
        <f>MATCH(A190*Calc!$R$12,Calc!$K$1:$K$774,1)</f>
        <v>#N/A</v>
      </c>
      <c r="C190" s="45" t="e">
        <f>INDEX(Calc!$K$1:$K$774,B190)</f>
        <v>#N/A</v>
      </c>
      <c r="D190" s="45" t="e">
        <f>1/(1/C190+1/Calc!K190)</f>
        <v>#N/A</v>
      </c>
      <c r="E190" s="45" t="e">
        <f>ABS(Show!$A$4-D190)/(Show!$A$4/100)</f>
        <v>#N/A</v>
      </c>
      <c r="F190" s="46">
        <f>Show!$A$4-Calc!L190</f>
        <v>31.75</v>
      </c>
      <c r="G190" s="46">
        <f>MATCH(F190*Calc!$R$12,Calc!$K$1:$K$774,1)</f>
        <v>248</v>
      </c>
      <c r="H190" s="46">
        <f>INDEX(Calc!$K$1:$K$774,G190)</f>
        <v>31.6</v>
      </c>
      <c r="I190" s="46">
        <f>H190+Calc!K190</f>
        <v>39.85</v>
      </c>
      <c r="J190" s="46">
        <f>ABS(Show!$A$4-I190)/(Show!$A$4/100)</f>
        <v>0.37499999999999645</v>
      </c>
      <c r="K190" s="45">
        <f>INDEX(Calc!L190:P190,Show!$B$4)</f>
        <v>8.25</v>
      </c>
      <c r="L190" s="46">
        <f t="shared" si="70"/>
        <v>8.25</v>
      </c>
      <c r="M190" s="46">
        <f>L190</f>
        <v>8.25</v>
      </c>
      <c r="N190" s="46">
        <f>L190</f>
        <v>8.25</v>
      </c>
      <c r="O190" s="46">
        <f t="shared" si="86"/>
        <v>8.1999999999999993</v>
      </c>
      <c r="P190" s="46">
        <f t="shared" ref="P190" si="95">O194</f>
        <v>10</v>
      </c>
    </row>
    <row r="191" spans="1:16" x14ac:dyDescent="0.25">
      <c r="A191" s="45">
        <f>1/((1/Show!$A$4)-(1/Calc!K191))</f>
        <v>-10.393700787401574</v>
      </c>
      <c r="B191" s="45" t="e">
        <f>MATCH(A191*Calc!$R$12,Calc!$K$1:$K$774,1)</f>
        <v>#N/A</v>
      </c>
      <c r="C191" s="45" t="e">
        <f>INDEX(Calc!$K$1:$K$774,B191)</f>
        <v>#N/A</v>
      </c>
      <c r="D191" s="45" t="e">
        <f>1/(1/C191+1/Calc!K191)</f>
        <v>#N/A</v>
      </c>
      <c r="E191" s="45" t="e">
        <f>ABS(Show!$A$4-D191)/(Show!$A$4/100)</f>
        <v>#N/A</v>
      </c>
      <c r="F191" s="46">
        <f>Show!$A$4-Calc!L191</f>
        <v>31.55</v>
      </c>
      <c r="G191" s="46">
        <f>MATCH(F191*Calc!$R$12,Calc!$K$1:$K$774,1)</f>
        <v>248</v>
      </c>
      <c r="H191" s="46">
        <f>INDEX(Calc!$K$1:$K$774,G191)</f>
        <v>31.6</v>
      </c>
      <c r="I191" s="46">
        <f>H191+Calc!K191</f>
        <v>39.85</v>
      </c>
      <c r="J191" s="46">
        <f>ABS(Show!$A$4-I191)/(Show!$A$4/100)</f>
        <v>0.37499999999999645</v>
      </c>
      <c r="K191" s="45">
        <f>INDEX(Calc!L191:P191,Show!$B$4)</f>
        <v>8.25</v>
      </c>
      <c r="L191" s="46">
        <f t="shared" si="70"/>
        <v>8.4499999999999993</v>
      </c>
      <c r="M191" s="46">
        <f>L190</f>
        <v>8.25</v>
      </c>
      <c r="N191" s="46">
        <f>L190</f>
        <v>8.25</v>
      </c>
      <c r="O191" s="46">
        <f t="shared" si="86"/>
        <v>8.1999999999999993</v>
      </c>
      <c r="P191" s="46">
        <f t="shared" ref="P191" si="96">O194</f>
        <v>10</v>
      </c>
    </row>
    <row r="192" spans="1:16" x14ac:dyDescent="0.25">
      <c r="A192" s="45">
        <f>1/((1/Show!$A$4)-(1/Calc!K192))</f>
        <v>-10.393700787401574</v>
      </c>
      <c r="B192" s="45" t="e">
        <f>MATCH(A192*Calc!$R$12,Calc!$K$1:$K$774,1)</f>
        <v>#N/A</v>
      </c>
      <c r="C192" s="45" t="e">
        <f>INDEX(Calc!$K$1:$K$774,B192)</f>
        <v>#N/A</v>
      </c>
      <c r="D192" s="45" t="e">
        <f>1/(1/C192+1/Calc!K192)</f>
        <v>#N/A</v>
      </c>
      <c r="E192" s="45" t="e">
        <f>ABS(Show!$A$4-D192)/(Show!$A$4/100)</f>
        <v>#N/A</v>
      </c>
      <c r="F192" s="46">
        <f>Show!$A$4-Calc!L192</f>
        <v>31.34</v>
      </c>
      <c r="G192" s="46">
        <f>MATCH(F192*Calc!$R$12,Calc!$K$1:$K$774,1)</f>
        <v>248</v>
      </c>
      <c r="H192" s="46">
        <f>INDEX(Calc!$K$1:$K$774,G192)</f>
        <v>31.6</v>
      </c>
      <c r="I192" s="46">
        <f>H192+Calc!K192</f>
        <v>39.85</v>
      </c>
      <c r="J192" s="46">
        <f>ABS(Show!$A$4-I192)/(Show!$A$4/100)</f>
        <v>0.37499999999999645</v>
      </c>
      <c r="K192" s="45">
        <f>INDEX(Calc!L192:P192,Show!$B$4)</f>
        <v>8.25</v>
      </c>
      <c r="L192" s="46">
        <f t="shared" si="70"/>
        <v>8.66</v>
      </c>
      <c r="M192" s="46">
        <f>L192</f>
        <v>8.66</v>
      </c>
      <c r="N192" s="46">
        <f>L190</f>
        <v>8.25</v>
      </c>
      <c r="O192" s="46">
        <f t="shared" si="86"/>
        <v>8.1999999999999993</v>
      </c>
      <c r="P192" s="46">
        <f t="shared" ref="P192" si="97">O194</f>
        <v>10</v>
      </c>
    </row>
    <row r="193" spans="1:18" x14ac:dyDescent="0.25">
      <c r="A193" s="45">
        <f>1/((1/Show!$A$4)-(1/Calc!K193))</f>
        <v>-11.763183435781301</v>
      </c>
      <c r="B193" s="45" t="e">
        <f>MATCH(A193*Calc!$R$12,Calc!$K$1:$K$774,1)</f>
        <v>#N/A</v>
      </c>
      <c r="C193" s="45" t="e">
        <f>INDEX(Calc!$K$1:$K$774,B193)</f>
        <v>#N/A</v>
      </c>
      <c r="D193" s="45" t="e">
        <f>1/(1/C193+1/Calc!K193)</f>
        <v>#N/A</v>
      </c>
      <c r="E193" s="45" t="e">
        <f>ABS(Show!$A$4-D193)/(Show!$A$4/100)</f>
        <v>#N/A</v>
      </c>
      <c r="F193" s="46">
        <f>Show!$A$4-Calc!L193</f>
        <v>31.13</v>
      </c>
      <c r="G193" s="46">
        <f>MATCH(F193*Calc!$R$12,Calc!$K$1:$K$774,1)</f>
        <v>248</v>
      </c>
      <c r="H193" s="46">
        <f>INDEX(Calc!$K$1:$K$774,G193)</f>
        <v>31.6</v>
      </c>
      <c r="I193" s="46">
        <f>H193+Calc!K193</f>
        <v>40.69</v>
      </c>
      <c r="J193" s="46">
        <f>ABS(Show!$A$4-I193)/(Show!$A$4/100)</f>
        <v>1.7249999999999943</v>
      </c>
      <c r="K193" s="45">
        <f>INDEX(Calc!L193:P193,Show!$B$4)</f>
        <v>9.09</v>
      </c>
      <c r="L193" s="46">
        <f t="shared" si="70"/>
        <v>8.870000000000001</v>
      </c>
      <c r="M193" s="46">
        <f>L192</f>
        <v>8.66</v>
      </c>
      <c r="N193" s="46">
        <f>L194</f>
        <v>9.09</v>
      </c>
      <c r="O193" s="46">
        <f t="shared" si="86"/>
        <v>8.1999999999999993</v>
      </c>
      <c r="P193" s="46">
        <f t="shared" ref="P193" si="98">O194</f>
        <v>10</v>
      </c>
    </row>
    <row r="194" spans="1:18" x14ac:dyDescent="0.25">
      <c r="A194" s="45">
        <f>1/((1/Show!$A$4)-(1/Calc!K194))</f>
        <v>-11.763183435781301</v>
      </c>
      <c r="B194" s="45" t="e">
        <f>MATCH(A194*Calc!$R$12,Calc!$K$1:$K$774,1)</f>
        <v>#N/A</v>
      </c>
      <c r="C194" s="45" t="e">
        <f>INDEX(Calc!$K$1:$K$774,B194)</f>
        <v>#N/A</v>
      </c>
      <c r="D194" s="45" t="e">
        <f>1/(1/C194+1/Calc!K194)</f>
        <v>#N/A</v>
      </c>
      <c r="E194" s="45" t="e">
        <f>ABS(Show!$A$4-D194)/(Show!$A$4/100)</f>
        <v>#N/A</v>
      </c>
      <c r="F194" s="46">
        <f>Show!$A$4-Calc!L194</f>
        <v>30.91</v>
      </c>
      <c r="G194" s="46">
        <f>MATCH(F194*Calc!$R$12,Calc!$K$1:$K$774,1)</f>
        <v>248</v>
      </c>
      <c r="H194" s="46">
        <f>INDEX(Calc!$K$1:$K$774,G194)</f>
        <v>31.6</v>
      </c>
      <c r="I194" s="46">
        <f>H194+Calc!K194</f>
        <v>40.69</v>
      </c>
      <c r="J194" s="46">
        <f>ABS(Show!$A$4-I194)/(Show!$A$4/100)</f>
        <v>1.7249999999999943</v>
      </c>
      <c r="K194" s="45">
        <f>INDEX(Calc!L194:P194,Show!$B$4)</f>
        <v>9.09</v>
      </c>
      <c r="L194" s="46">
        <f t="shared" si="70"/>
        <v>9.09</v>
      </c>
      <c r="M194" s="46">
        <f>L194</f>
        <v>9.09</v>
      </c>
      <c r="N194" s="46">
        <f>L194</f>
        <v>9.09</v>
      </c>
      <c r="O194" s="46">
        <f t="shared" si="86"/>
        <v>10</v>
      </c>
      <c r="P194" s="46">
        <f t="shared" ref="P194" si="99">O194</f>
        <v>10</v>
      </c>
    </row>
    <row r="195" spans="1:18" x14ac:dyDescent="0.25">
      <c r="A195" s="45">
        <f>1/((1/Show!$A$4)-(1/Calc!K195))</f>
        <v>-11.763183435781301</v>
      </c>
      <c r="B195" s="45" t="e">
        <f>MATCH(A195*Calc!$R$12,Calc!$K$1:$K$774,1)</f>
        <v>#N/A</v>
      </c>
      <c r="C195" s="45" t="e">
        <f>INDEX(Calc!$K$1:$K$774,B195)</f>
        <v>#N/A</v>
      </c>
      <c r="D195" s="45" t="e">
        <f>1/(1/C195+1/Calc!K195)</f>
        <v>#N/A</v>
      </c>
      <c r="E195" s="45" t="e">
        <f>ABS(Show!$A$4-D195)/(Show!$A$4/100)</f>
        <v>#N/A</v>
      </c>
      <c r="F195" s="46">
        <f>Show!$A$4-Calc!L195</f>
        <v>30.69</v>
      </c>
      <c r="G195" s="46">
        <f>MATCH(F195*Calc!$R$12,Calc!$K$1:$K$774,1)</f>
        <v>248</v>
      </c>
      <c r="H195" s="46">
        <f>INDEX(Calc!$K$1:$K$774,G195)</f>
        <v>31.6</v>
      </c>
      <c r="I195" s="46">
        <f>H195+Calc!K195</f>
        <v>40.69</v>
      </c>
      <c r="J195" s="46">
        <f>ABS(Show!$A$4-I195)/(Show!$A$4/100)</f>
        <v>1.7249999999999943</v>
      </c>
      <c r="K195" s="45">
        <f>INDEX(Calc!L195:P195,Show!$B$4)</f>
        <v>9.09</v>
      </c>
      <c r="L195" s="46">
        <f t="shared" si="70"/>
        <v>9.3099999999999987</v>
      </c>
      <c r="M195" s="46">
        <f>L194</f>
        <v>9.09</v>
      </c>
      <c r="N195" s="46">
        <f>L194</f>
        <v>9.09</v>
      </c>
      <c r="O195" s="46">
        <f t="shared" si="86"/>
        <v>10</v>
      </c>
      <c r="P195" s="46">
        <f t="shared" ref="P195" si="100">O194</f>
        <v>10</v>
      </c>
    </row>
    <row r="196" spans="1:18" x14ac:dyDescent="0.25">
      <c r="A196" s="45">
        <f>1/((1/Show!$A$4)-(1/Calc!K196))</f>
        <v>-11.763183435781301</v>
      </c>
      <c r="B196" s="45" t="e">
        <f>MATCH(A196*Calc!$R$12,Calc!$K$1:$K$774,1)</f>
        <v>#N/A</v>
      </c>
      <c r="C196" s="45" t="e">
        <f>INDEX(Calc!$K$1:$K$774,B196)</f>
        <v>#N/A</v>
      </c>
      <c r="D196" s="45" t="e">
        <f>1/(1/C196+1/Calc!K196)</f>
        <v>#N/A</v>
      </c>
      <c r="E196" s="45" t="e">
        <f>ABS(Show!$A$4-D196)/(Show!$A$4/100)</f>
        <v>#N/A</v>
      </c>
      <c r="F196" s="46">
        <f>Show!$A$4-Calc!L196</f>
        <v>30.47</v>
      </c>
      <c r="G196" s="46">
        <f>MATCH(F196*Calc!$R$12,Calc!$K$1:$K$774,1)</f>
        <v>248</v>
      </c>
      <c r="H196" s="46">
        <f>INDEX(Calc!$K$1:$K$774,G196)</f>
        <v>31.6</v>
      </c>
      <c r="I196" s="46">
        <f>H196+Calc!K196</f>
        <v>40.69</v>
      </c>
      <c r="J196" s="46">
        <f>ABS(Show!$A$4-I196)/(Show!$A$4/100)</f>
        <v>1.7249999999999943</v>
      </c>
      <c r="K196" s="45">
        <f>INDEX(Calc!L196:P196,Show!$B$4)</f>
        <v>9.09</v>
      </c>
      <c r="L196" s="46">
        <f t="shared" si="70"/>
        <v>9.5299999999999994</v>
      </c>
      <c r="M196" s="46">
        <f>L196</f>
        <v>9.5299999999999994</v>
      </c>
      <c r="N196" s="46">
        <f>L194</f>
        <v>9.09</v>
      </c>
      <c r="O196" s="46">
        <f t="shared" si="86"/>
        <v>10</v>
      </c>
      <c r="P196" s="46">
        <f t="shared" ref="P196" si="101">O194</f>
        <v>10</v>
      </c>
    </row>
    <row r="197" spans="1:18" s="43" customFormat="1" ht="15.75" thickBot="1" x14ac:dyDescent="0.3">
      <c r="A197" s="47">
        <f>1/((1/Show!$A$4)-(1/Calc!K197))</f>
        <v>-13.333333333333332</v>
      </c>
      <c r="B197" s="47" t="e">
        <f>MATCH(A197*Calc!$R$12,Calc!$K$1:$K$774,1)</f>
        <v>#N/A</v>
      </c>
      <c r="C197" s="47" t="e">
        <f>INDEX(Calc!$K$1:$K$774,B197)</f>
        <v>#N/A</v>
      </c>
      <c r="D197" s="47" t="e">
        <f>1/(1/C197+1/Calc!K197)</f>
        <v>#N/A</v>
      </c>
      <c r="E197" s="47" t="e">
        <f>ABS(Show!$A$4-D197)/(Show!$A$4/100)</f>
        <v>#N/A</v>
      </c>
      <c r="F197" s="48">
        <f>Show!$A$4-Calc!L197</f>
        <v>30.240000000000002</v>
      </c>
      <c r="G197" s="48">
        <f>MATCH(F197*Calc!$R$12,Calc!$K$1:$K$774,1)</f>
        <v>248</v>
      </c>
      <c r="H197" s="48">
        <f>INDEX(Calc!$K$1:$K$774,G197)</f>
        <v>31.6</v>
      </c>
      <c r="I197" s="48">
        <f>H197+Calc!K197</f>
        <v>41.6</v>
      </c>
      <c r="J197" s="48">
        <f>ABS(Show!$A$4-I197)/(Show!$A$4/100)</f>
        <v>4.0000000000000036</v>
      </c>
      <c r="K197" s="47">
        <f>INDEX(Calc!L197:P197,Show!$B$4)</f>
        <v>10</v>
      </c>
      <c r="L197" s="48">
        <f t="shared" si="70"/>
        <v>9.76</v>
      </c>
      <c r="M197" s="48">
        <f>L196</f>
        <v>9.5299999999999994</v>
      </c>
      <c r="N197" s="48">
        <f>L198</f>
        <v>10</v>
      </c>
      <c r="O197" s="48">
        <f t="shared" si="86"/>
        <v>10</v>
      </c>
      <c r="P197" s="48">
        <f t="shared" ref="P197" si="102">O194</f>
        <v>10</v>
      </c>
      <c r="Q197" s="47"/>
      <c r="R197" s="47"/>
    </row>
    <row r="198" spans="1:18" ht="15.75" thickTop="1" x14ac:dyDescent="0.25">
      <c r="A198" s="45">
        <f>1/((1/Show!$A$4)-(1/Calc!K198))</f>
        <v>-13.333333333333332</v>
      </c>
      <c r="B198" s="45" t="e">
        <f>MATCH(A198*Calc!$R$12,Calc!$K$1:$K$774,1)</f>
        <v>#N/A</v>
      </c>
      <c r="C198" s="45" t="e">
        <f>INDEX(Calc!$K$1:$K$774,B198)</f>
        <v>#N/A</v>
      </c>
      <c r="D198" s="45" t="e">
        <f>1/(1/C198+1/Calc!K198)</f>
        <v>#N/A</v>
      </c>
      <c r="E198" s="45" t="e">
        <f>ABS(Show!$A$4-D198)/(Show!$A$4/100)</f>
        <v>#N/A</v>
      </c>
      <c r="F198" s="46">
        <f>Show!$A$4-Calc!L198</f>
        <v>30</v>
      </c>
      <c r="G198" s="46">
        <f>MATCH(F198*Calc!$R$12,Calc!$K$1:$K$774,1)</f>
        <v>244</v>
      </c>
      <c r="H198" s="46">
        <f>INDEX(Calc!$K$1:$K$774,G198)</f>
        <v>28.7</v>
      </c>
      <c r="I198" s="46">
        <f>H198+Calc!K198</f>
        <v>38.700000000000003</v>
      </c>
      <c r="J198" s="46">
        <f>ABS(Show!$A$4-I198)/(Show!$A$4/100)</f>
        <v>3.2499999999999929</v>
      </c>
      <c r="K198" s="45">
        <f>INDEX(Calc!L198:P198,Show!$B$4)</f>
        <v>10</v>
      </c>
      <c r="L198" s="46">
        <f>L6*100</f>
        <v>10</v>
      </c>
      <c r="M198" s="46">
        <f>L198</f>
        <v>10</v>
      </c>
      <c r="N198" s="46">
        <f>L198</f>
        <v>10</v>
      </c>
      <c r="O198" s="46">
        <f>O6*100</f>
        <v>10</v>
      </c>
      <c r="P198" s="46">
        <f t="shared" ref="P198" si="103">O198</f>
        <v>10</v>
      </c>
    </row>
    <row r="199" spans="1:18" x14ac:dyDescent="0.25">
      <c r="A199" s="45">
        <f>1/((1/Show!$A$4)-(1/Calc!K199))</f>
        <v>-13.333333333333332</v>
      </c>
      <c r="B199" s="45" t="e">
        <f>MATCH(A199*Calc!$R$12,Calc!$K$1:$K$774,1)</f>
        <v>#N/A</v>
      </c>
      <c r="C199" s="45" t="e">
        <f>INDEX(Calc!$K$1:$K$774,B199)</f>
        <v>#N/A</v>
      </c>
      <c r="D199" s="45" t="e">
        <f>1/(1/C199+1/Calc!K199)</f>
        <v>#N/A</v>
      </c>
      <c r="E199" s="45" t="e">
        <f>ABS(Show!$A$4-D199)/(Show!$A$4/100)</f>
        <v>#N/A</v>
      </c>
      <c r="F199" s="46">
        <f>Show!$A$4-Calc!L199</f>
        <v>29.8</v>
      </c>
      <c r="G199" s="46">
        <f>MATCH(F199*Calc!$R$12,Calc!$K$1:$K$774,1)</f>
        <v>244</v>
      </c>
      <c r="H199" s="46">
        <f>INDEX(Calc!$K$1:$K$774,G199)</f>
        <v>28.7</v>
      </c>
      <c r="I199" s="46">
        <f>H199+Calc!K199</f>
        <v>38.700000000000003</v>
      </c>
      <c r="J199" s="46">
        <f>ABS(Show!$A$4-I199)/(Show!$A$4/100)</f>
        <v>3.2499999999999929</v>
      </c>
      <c r="K199" s="45">
        <f>INDEX(Calc!L199:P199,Show!$B$4)</f>
        <v>10</v>
      </c>
      <c r="L199" s="46">
        <f t="shared" ref="L199:L262" si="104">L7*100</f>
        <v>10.199999999999999</v>
      </c>
      <c r="M199" s="46">
        <f>L198</f>
        <v>10</v>
      </c>
      <c r="N199" s="46">
        <f>L198</f>
        <v>10</v>
      </c>
      <c r="O199" s="46">
        <f t="shared" ref="O199:O262" si="105">O7*100</f>
        <v>10</v>
      </c>
      <c r="P199" s="46">
        <f t="shared" ref="P199" si="106">O198</f>
        <v>10</v>
      </c>
    </row>
    <row r="200" spans="1:18" x14ac:dyDescent="0.25">
      <c r="A200" s="45">
        <f>1/((1/Show!$A$4)-(1/Calc!K200))</f>
        <v>-13.333333333333332</v>
      </c>
      <c r="B200" s="45" t="e">
        <f>MATCH(A200*Calc!$R$12,Calc!$K$1:$K$774,1)</f>
        <v>#N/A</v>
      </c>
      <c r="C200" s="45" t="e">
        <f>INDEX(Calc!$K$1:$K$774,B200)</f>
        <v>#N/A</v>
      </c>
      <c r="D200" s="45" t="e">
        <f>1/(1/C200+1/Calc!K200)</f>
        <v>#N/A</v>
      </c>
      <c r="E200" s="45" t="e">
        <f>ABS(Show!$A$4-D200)/(Show!$A$4/100)</f>
        <v>#N/A</v>
      </c>
      <c r="F200" s="46">
        <f>Show!$A$4-Calc!L200</f>
        <v>29.5</v>
      </c>
      <c r="G200" s="46">
        <f>MATCH(F200*Calc!$R$12,Calc!$K$1:$K$774,1)</f>
        <v>244</v>
      </c>
      <c r="H200" s="46">
        <f>INDEX(Calc!$K$1:$K$774,G200)</f>
        <v>28.7</v>
      </c>
      <c r="I200" s="46">
        <f>H200+Calc!K200</f>
        <v>38.700000000000003</v>
      </c>
      <c r="J200" s="46">
        <f>ABS(Show!$A$4-I200)/(Show!$A$4/100)</f>
        <v>3.2499999999999929</v>
      </c>
      <c r="K200" s="45">
        <f>INDEX(Calc!L200:P200,Show!$B$4)</f>
        <v>10</v>
      </c>
      <c r="L200" s="46">
        <f t="shared" si="104"/>
        <v>10.5</v>
      </c>
      <c r="M200" s="46">
        <f>L200</f>
        <v>10.5</v>
      </c>
      <c r="N200" s="46">
        <f>L198</f>
        <v>10</v>
      </c>
      <c r="O200" s="46">
        <f t="shared" si="105"/>
        <v>10</v>
      </c>
      <c r="P200" s="46">
        <f t="shared" ref="P200" si="107">O198</f>
        <v>10</v>
      </c>
    </row>
    <row r="201" spans="1:18" x14ac:dyDescent="0.25">
      <c r="A201" s="45">
        <f>1/((1/Show!$A$4)-(1/Calc!K201))</f>
        <v>-15.172413793103447</v>
      </c>
      <c r="B201" s="45" t="e">
        <f>MATCH(A201*Calc!$R$12,Calc!$K$1:$K$774,1)</f>
        <v>#N/A</v>
      </c>
      <c r="C201" s="45" t="e">
        <f>INDEX(Calc!$K$1:$K$774,B201)</f>
        <v>#N/A</v>
      </c>
      <c r="D201" s="45" t="e">
        <f>1/(1/C201+1/Calc!K201)</f>
        <v>#N/A</v>
      </c>
      <c r="E201" s="45" t="e">
        <f>ABS(Show!$A$4-D201)/(Show!$A$4/100)</f>
        <v>#N/A</v>
      </c>
      <c r="F201" s="46">
        <f>Show!$A$4-Calc!L201</f>
        <v>29.3</v>
      </c>
      <c r="G201" s="46">
        <f>MATCH(F201*Calc!$R$12,Calc!$K$1:$K$774,1)</f>
        <v>244</v>
      </c>
      <c r="H201" s="46">
        <f>INDEX(Calc!$K$1:$K$774,G201)</f>
        <v>28.7</v>
      </c>
      <c r="I201" s="46">
        <f>H201+Calc!K201</f>
        <v>39.700000000000003</v>
      </c>
      <c r="J201" s="46">
        <f>ABS(Show!$A$4-I201)/(Show!$A$4/100)</f>
        <v>0.74999999999999289</v>
      </c>
      <c r="K201" s="45">
        <f>INDEX(Calc!L201:P201,Show!$B$4)</f>
        <v>11</v>
      </c>
      <c r="L201" s="46">
        <f t="shared" si="104"/>
        <v>10.7</v>
      </c>
      <c r="M201" s="46">
        <f>L200</f>
        <v>10.5</v>
      </c>
      <c r="N201" s="46">
        <f>L202</f>
        <v>11</v>
      </c>
      <c r="O201" s="46">
        <f t="shared" si="105"/>
        <v>10</v>
      </c>
      <c r="P201" s="46">
        <f t="shared" ref="P201" si="108">O198</f>
        <v>10</v>
      </c>
    </row>
    <row r="202" spans="1:18" x14ac:dyDescent="0.25">
      <c r="A202" s="45">
        <f>1/((1/Show!$A$4)-(1/Calc!K202))</f>
        <v>-15.172413793103447</v>
      </c>
      <c r="B202" s="45" t="e">
        <f>MATCH(A202*Calc!$R$12,Calc!$K$1:$K$774,1)</f>
        <v>#N/A</v>
      </c>
      <c r="C202" s="45" t="e">
        <f>INDEX(Calc!$K$1:$K$774,B202)</f>
        <v>#N/A</v>
      </c>
      <c r="D202" s="45" t="e">
        <f>1/(1/C202+1/Calc!K202)</f>
        <v>#N/A</v>
      </c>
      <c r="E202" s="45" t="e">
        <f>ABS(Show!$A$4-D202)/(Show!$A$4/100)</f>
        <v>#N/A</v>
      </c>
      <c r="F202" s="46">
        <f>Show!$A$4-Calc!L202</f>
        <v>29</v>
      </c>
      <c r="G202" s="46">
        <f>MATCH(F202*Calc!$R$12,Calc!$K$1:$K$774,1)</f>
        <v>244</v>
      </c>
      <c r="H202" s="46">
        <f>INDEX(Calc!$K$1:$K$774,G202)</f>
        <v>28.7</v>
      </c>
      <c r="I202" s="46">
        <f>H202+Calc!K202</f>
        <v>39.700000000000003</v>
      </c>
      <c r="J202" s="46">
        <f>ABS(Show!$A$4-I202)/(Show!$A$4/100)</f>
        <v>0.74999999999999289</v>
      </c>
      <c r="K202" s="45">
        <f>INDEX(Calc!L202:P202,Show!$B$4)</f>
        <v>11</v>
      </c>
      <c r="L202" s="46">
        <f t="shared" si="104"/>
        <v>11</v>
      </c>
      <c r="M202" s="46">
        <f>L202</f>
        <v>11</v>
      </c>
      <c r="N202" s="46">
        <f>L202</f>
        <v>11</v>
      </c>
      <c r="O202" s="46">
        <f t="shared" si="105"/>
        <v>12</v>
      </c>
      <c r="P202" s="46">
        <f t="shared" ref="P202" si="109">O198</f>
        <v>10</v>
      </c>
    </row>
    <row r="203" spans="1:18" x14ac:dyDescent="0.25">
      <c r="A203" s="45">
        <f>1/((1/Show!$A$4)-(1/Calc!K203))</f>
        <v>-15.172413793103447</v>
      </c>
      <c r="B203" s="45" t="e">
        <f>MATCH(A203*Calc!$R$12,Calc!$K$1:$K$774,1)</f>
        <v>#N/A</v>
      </c>
      <c r="C203" s="45" t="e">
        <f>INDEX(Calc!$K$1:$K$774,B203)</f>
        <v>#N/A</v>
      </c>
      <c r="D203" s="45" t="e">
        <f>1/(1/C203+1/Calc!K203)</f>
        <v>#N/A</v>
      </c>
      <c r="E203" s="45" t="e">
        <f>ABS(Show!$A$4-D203)/(Show!$A$4/100)</f>
        <v>#N/A</v>
      </c>
      <c r="F203" s="46">
        <f>Show!$A$4-Calc!L203</f>
        <v>28.7</v>
      </c>
      <c r="G203" s="46">
        <f>MATCH(F203*Calc!$R$12,Calc!$K$1:$K$774,1)</f>
        <v>244</v>
      </c>
      <c r="H203" s="46">
        <f>INDEX(Calc!$K$1:$K$774,G203)</f>
        <v>28.7</v>
      </c>
      <c r="I203" s="46">
        <f>H203+Calc!K203</f>
        <v>39.700000000000003</v>
      </c>
      <c r="J203" s="46">
        <f>ABS(Show!$A$4-I203)/(Show!$A$4/100)</f>
        <v>0.74999999999999289</v>
      </c>
      <c r="K203" s="45">
        <f>INDEX(Calc!L203:P203,Show!$B$4)</f>
        <v>11</v>
      </c>
      <c r="L203" s="46">
        <f t="shared" si="104"/>
        <v>11.3</v>
      </c>
      <c r="M203" s="46">
        <f>L202</f>
        <v>11</v>
      </c>
      <c r="N203" s="46">
        <f>L202</f>
        <v>11</v>
      </c>
      <c r="O203" s="46">
        <f t="shared" si="105"/>
        <v>12</v>
      </c>
      <c r="P203" s="46">
        <f t="shared" ref="P203" si="110">O198</f>
        <v>10</v>
      </c>
    </row>
    <row r="204" spans="1:18" x14ac:dyDescent="0.25">
      <c r="A204" s="45">
        <f>1/((1/Show!$A$4)-(1/Calc!K204))</f>
        <v>-15.172413793103447</v>
      </c>
      <c r="B204" s="45" t="e">
        <f>MATCH(A204*Calc!$R$12,Calc!$K$1:$K$774,1)</f>
        <v>#N/A</v>
      </c>
      <c r="C204" s="45" t="e">
        <f>INDEX(Calc!$K$1:$K$774,B204)</f>
        <v>#N/A</v>
      </c>
      <c r="D204" s="45" t="e">
        <f>1/(1/C204+1/Calc!K204)</f>
        <v>#N/A</v>
      </c>
      <c r="E204" s="45" t="e">
        <f>ABS(Show!$A$4-D204)/(Show!$A$4/100)</f>
        <v>#N/A</v>
      </c>
      <c r="F204" s="46">
        <f>Show!$A$4-Calc!L204</f>
        <v>28.5</v>
      </c>
      <c r="G204" s="46">
        <f>MATCH(F204*Calc!$R$12,Calc!$K$1:$K$774,1)</f>
        <v>244</v>
      </c>
      <c r="H204" s="46">
        <f>INDEX(Calc!$K$1:$K$774,G204)</f>
        <v>28.7</v>
      </c>
      <c r="I204" s="46">
        <f>H204+Calc!K204</f>
        <v>39.700000000000003</v>
      </c>
      <c r="J204" s="46">
        <f>ABS(Show!$A$4-I204)/(Show!$A$4/100)</f>
        <v>0.74999999999999289</v>
      </c>
      <c r="K204" s="45">
        <f>INDEX(Calc!L204:P204,Show!$B$4)</f>
        <v>11</v>
      </c>
      <c r="L204" s="46">
        <f t="shared" si="104"/>
        <v>11.5</v>
      </c>
      <c r="M204" s="46">
        <f>L204</f>
        <v>11.5</v>
      </c>
      <c r="N204" s="46">
        <f>L202</f>
        <v>11</v>
      </c>
      <c r="O204" s="46">
        <f t="shared" si="105"/>
        <v>12</v>
      </c>
      <c r="P204" s="46">
        <f t="shared" ref="P204" si="111">O198</f>
        <v>10</v>
      </c>
    </row>
    <row r="205" spans="1:18" x14ac:dyDescent="0.25">
      <c r="A205" s="45">
        <f>1/((1/Show!$A$4)-(1/Calc!K205))</f>
        <v>-17.347670250896059</v>
      </c>
      <c r="B205" s="45" t="e">
        <f>MATCH(A205*Calc!$R$12,Calc!$K$1:$K$774,1)</f>
        <v>#N/A</v>
      </c>
      <c r="C205" s="45" t="e">
        <f>INDEX(Calc!$K$1:$K$774,B205)</f>
        <v>#N/A</v>
      </c>
      <c r="D205" s="45" t="e">
        <f>1/(1/C205+1/Calc!K205)</f>
        <v>#N/A</v>
      </c>
      <c r="E205" s="45" t="e">
        <f>ABS(Show!$A$4-D205)/(Show!$A$4/100)</f>
        <v>#N/A</v>
      </c>
      <c r="F205" s="46">
        <f>Show!$A$4-Calc!L205</f>
        <v>28.2</v>
      </c>
      <c r="G205" s="46">
        <f>MATCH(F205*Calc!$R$12,Calc!$K$1:$K$774,1)</f>
        <v>244</v>
      </c>
      <c r="H205" s="46">
        <f>INDEX(Calc!$K$1:$K$774,G205)</f>
        <v>28.7</v>
      </c>
      <c r="I205" s="46">
        <f>H205+Calc!K205</f>
        <v>40.799999999999997</v>
      </c>
      <c r="J205" s="46">
        <f>ABS(Show!$A$4-I205)/(Show!$A$4/100)</f>
        <v>1.9999999999999929</v>
      </c>
      <c r="K205" s="45">
        <f>INDEX(Calc!L205:P205,Show!$B$4)</f>
        <v>12.1</v>
      </c>
      <c r="L205" s="46">
        <f t="shared" si="104"/>
        <v>11.8</v>
      </c>
      <c r="M205" s="46">
        <f>L204</f>
        <v>11.5</v>
      </c>
      <c r="N205" s="46">
        <f>L206</f>
        <v>12.1</v>
      </c>
      <c r="O205" s="46">
        <f t="shared" si="105"/>
        <v>12</v>
      </c>
      <c r="P205" s="46">
        <f t="shared" ref="P205" si="112">O198</f>
        <v>10</v>
      </c>
    </row>
    <row r="206" spans="1:18" x14ac:dyDescent="0.25">
      <c r="A206" s="45">
        <f>1/((1/Show!$A$4)-(1/Calc!K206))</f>
        <v>-17.347670250896059</v>
      </c>
      <c r="B206" s="45" t="e">
        <f>MATCH(A206*Calc!$R$12,Calc!$K$1:$K$774,1)</f>
        <v>#N/A</v>
      </c>
      <c r="C206" s="45" t="e">
        <f>INDEX(Calc!$K$1:$K$774,B206)</f>
        <v>#N/A</v>
      </c>
      <c r="D206" s="45" t="e">
        <f>1/(1/C206+1/Calc!K206)</f>
        <v>#N/A</v>
      </c>
      <c r="E206" s="45" t="e">
        <f>ABS(Show!$A$4-D206)/(Show!$A$4/100)</f>
        <v>#N/A</v>
      </c>
      <c r="F206" s="46">
        <f>Show!$A$4-Calc!L206</f>
        <v>27.9</v>
      </c>
      <c r="G206" s="46">
        <f>MATCH(F206*Calc!$R$12,Calc!$K$1:$K$774,1)</f>
        <v>244</v>
      </c>
      <c r="H206" s="46">
        <f>INDEX(Calc!$K$1:$K$774,G206)</f>
        <v>28.7</v>
      </c>
      <c r="I206" s="46">
        <f>H206+Calc!K206</f>
        <v>40.799999999999997</v>
      </c>
      <c r="J206" s="46">
        <f>ABS(Show!$A$4-I206)/(Show!$A$4/100)</f>
        <v>1.9999999999999929</v>
      </c>
      <c r="K206" s="45">
        <f>INDEX(Calc!L206:P206,Show!$B$4)</f>
        <v>12.1</v>
      </c>
      <c r="L206" s="46">
        <f t="shared" si="104"/>
        <v>12.1</v>
      </c>
      <c r="M206" s="46">
        <f>L206</f>
        <v>12.1</v>
      </c>
      <c r="N206" s="46">
        <f>L206</f>
        <v>12.1</v>
      </c>
      <c r="O206" s="46">
        <f t="shared" si="105"/>
        <v>12</v>
      </c>
      <c r="P206" s="46">
        <f t="shared" ref="P206" si="113">O210</f>
        <v>15</v>
      </c>
    </row>
    <row r="207" spans="1:18" x14ac:dyDescent="0.25">
      <c r="A207" s="45">
        <f>1/((1/Show!$A$4)-(1/Calc!K207))</f>
        <v>-17.347670250896059</v>
      </c>
      <c r="B207" s="45" t="e">
        <f>MATCH(A207*Calc!$R$12,Calc!$K$1:$K$774,1)</f>
        <v>#N/A</v>
      </c>
      <c r="C207" s="45" t="e">
        <f>INDEX(Calc!$K$1:$K$774,B207)</f>
        <v>#N/A</v>
      </c>
      <c r="D207" s="45" t="e">
        <f>1/(1/C207+1/Calc!K207)</f>
        <v>#N/A</v>
      </c>
      <c r="E207" s="45" t="e">
        <f>ABS(Show!$A$4-D207)/(Show!$A$4/100)</f>
        <v>#N/A</v>
      </c>
      <c r="F207" s="46">
        <f>Show!$A$4-Calc!L207</f>
        <v>27.6</v>
      </c>
      <c r="G207" s="46">
        <f>MATCH(F207*Calc!$R$12,Calc!$K$1:$K$774,1)</f>
        <v>244</v>
      </c>
      <c r="H207" s="46">
        <f>INDEX(Calc!$K$1:$K$774,G207)</f>
        <v>28.7</v>
      </c>
      <c r="I207" s="46">
        <f>H207+Calc!K207</f>
        <v>40.799999999999997</v>
      </c>
      <c r="J207" s="46">
        <f>ABS(Show!$A$4-I207)/(Show!$A$4/100)</f>
        <v>1.9999999999999929</v>
      </c>
      <c r="K207" s="45">
        <f>INDEX(Calc!L207:P207,Show!$B$4)</f>
        <v>12.1</v>
      </c>
      <c r="L207" s="46">
        <f t="shared" si="104"/>
        <v>12.4</v>
      </c>
      <c r="M207" s="46">
        <f>L206</f>
        <v>12.1</v>
      </c>
      <c r="N207" s="46">
        <f>L206</f>
        <v>12.1</v>
      </c>
      <c r="O207" s="46">
        <f t="shared" si="105"/>
        <v>12</v>
      </c>
      <c r="P207" s="46">
        <f t="shared" ref="P207" si="114">O210</f>
        <v>15</v>
      </c>
    </row>
    <row r="208" spans="1:18" x14ac:dyDescent="0.25">
      <c r="A208" s="45">
        <f>1/((1/Show!$A$4)-(1/Calc!K208))</f>
        <v>-17.347670250896059</v>
      </c>
      <c r="B208" s="45" t="e">
        <f>MATCH(A208*Calc!$R$12,Calc!$K$1:$K$774,1)</f>
        <v>#N/A</v>
      </c>
      <c r="C208" s="45" t="e">
        <f>INDEX(Calc!$K$1:$K$774,B208)</f>
        <v>#N/A</v>
      </c>
      <c r="D208" s="45" t="e">
        <f>1/(1/C208+1/Calc!K208)</f>
        <v>#N/A</v>
      </c>
      <c r="E208" s="45" t="e">
        <f>ABS(Show!$A$4-D208)/(Show!$A$4/100)</f>
        <v>#N/A</v>
      </c>
      <c r="F208" s="46">
        <f>Show!$A$4-Calc!L208</f>
        <v>27.3</v>
      </c>
      <c r="G208" s="46">
        <f>MATCH(F208*Calc!$R$12,Calc!$K$1:$K$774,1)</f>
        <v>240</v>
      </c>
      <c r="H208" s="46">
        <f>INDEX(Calc!$K$1:$K$774,G208)</f>
        <v>26.1</v>
      </c>
      <c r="I208" s="46">
        <f>H208+Calc!K208</f>
        <v>38.200000000000003</v>
      </c>
      <c r="J208" s="46">
        <f>ABS(Show!$A$4-I208)/(Show!$A$4/100)</f>
        <v>4.4999999999999929</v>
      </c>
      <c r="K208" s="45">
        <f>INDEX(Calc!L208:P208,Show!$B$4)</f>
        <v>12.1</v>
      </c>
      <c r="L208" s="46">
        <f t="shared" si="104"/>
        <v>12.7</v>
      </c>
      <c r="M208" s="46">
        <f>L208</f>
        <v>12.7</v>
      </c>
      <c r="N208" s="46">
        <f>L206</f>
        <v>12.1</v>
      </c>
      <c r="O208" s="46">
        <f t="shared" si="105"/>
        <v>12</v>
      </c>
      <c r="P208" s="46">
        <f t="shared" ref="P208" si="115">O210</f>
        <v>15</v>
      </c>
    </row>
    <row r="209" spans="1:16" x14ac:dyDescent="0.25">
      <c r="A209" s="45">
        <f>1/((1/Show!$A$4)-(1/Calc!K209))</f>
        <v>-19.925093632958802</v>
      </c>
      <c r="B209" s="45" t="e">
        <f>MATCH(A209*Calc!$R$12,Calc!$K$1:$K$774,1)</f>
        <v>#N/A</v>
      </c>
      <c r="C209" s="45" t="e">
        <f>INDEX(Calc!$K$1:$K$774,B209)</f>
        <v>#N/A</v>
      </c>
      <c r="D209" s="45" t="e">
        <f>1/(1/C209+1/Calc!K209)</f>
        <v>#N/A</v>
      </c>
      <c r="E209" s="45" t="e">
        <f>ABS(Show!$A$4-D209)/(Show!$A$4/100)</f>
        <v>#N/A</v>
      </c>
      <c r="F209" s="46">
        <f>Show!$A$4-Calc!L209</f>
        <v>27</v>
      </c>
      <c r="G209" s="46">
        <f>MATCH(F209*Calc!$R$12,Calc!$K$1:$K$774,1)</f>
        <v>240</v>
      </c>
      <c r="H209" s="46">
        <f>INDEX(Calc!$K$1:$K$774,G209)</f>
        <v>26.1</v>
      </c>
      <c r="I209" s="46">
        <f>H209+Calc!K209</f>
        <v>39.400000000000006</v>
      </c>
      <c r="J209" s="46">
        <f>ABS(Show!$A$4-I209)/(Show!$A$4/100)</f>
        <v>1.4999999999999858</v>
      </c>
      <c r="K209" s="45">
        <f>INDEX(Calc!L209:P209,Show!$B$4)</f>
        <v>13.3</v>
      </c>
      <c r="L209" s="46">
        <f t="shared" si="104"/>
        <v>13</v>
      </c>
      <c r="M209" s="46">
        <f>L208</f>
        <v>12.7</v>
      </c>
      <c r="N209" s="46">
        <f>L210</f>
        <v>13.3</v>
      </c>
      <c r="O209" s="46">
        <f t="shared" si="105"/>
        <v>12</v>
      </c>
      <c r="P209" s="46">
        <f t="shared" ref="P209" si="116">O210</f>
        <v>15</v>
      </c>
    </row>
    <row r="210" spans="1:16" x14ac:dyDescent="0.25">
      <c r="A210" s="45">
        <f>1/((1/Show!$A$4)-(1/Calc!K210))</f>
        <v>-19.925093632958802</v>
      </c>
      <c r="B210" s="45" t="e">
        <f>MATCH(A210*Calc!$R$12,Calc!$K$1:$K$774,1)</f>
        <v>#N/A</v>
      </c>
      <c r="C210" s="45" t="e">
        <f>INDEX(Calc!$K$1:$K$774,B210)</f>
        <v>#N/A</v>
      </c>
      <c r="D210" s="45" t="e">
        <f>1/(1/C210+1/Calc!K210)</f>
        <v>#N/A</v>
      </c>
      <c r="E210" s="45" t="e">
        <f>ABS(Show!$A$4-D210)/(Show!$A$4/100)</f>
        <v>#N/A</v>
      </c>
      <c r="F210" s="46">
        <f>Show!$A$4-Calc!L210</f>
        <v>26.7</v>
      </c>
      <c r="G210" s="46">
        <f>MATCH(F210*Calc!$R$12,Calc!$K$1:$K$774,1)</f>
        <v>240</v>
      </c>
      <c r="H210" s="46">
        <f>INDEX(Calc!$K$1:$K$774,G210)</f>
        <v>26.1</v>
      </c>
      <c r="I210" s="46">
        <f>H210+Calc!K210</f>
        <v>39.400000000000006</v>
      </c>
      <c r="J210" s="46">
        <f>ABS(Show!$A$4-I210)/(Show!$A$4/100)</f>
        <v>1.4999999999999858</v>
      </c>
      <c r="K210" s="45">
        <f>INDEX(Calc!L210:P210,Show!$B$4)</f>
        <v>13.3</v>
      </c>
      <c r="L210" s="46">
        <f t="shared" si="104"/>
        <v>13.3</v>
      </c>
      <c r="M210" s="46">
        <f>L210</f>
        <v>13.3</v>
      </c>
      <c r="N210" s="46">
        <f>L210</f>
        <v>13.3</v>
      </c>
      <c r="O210" s="46">
        <f t="shared" si="105"/>
        <v>15</v>
      </c>
      <c r="P210" s="46">
        <f t="shared" ref="P210" si="117">O210</f>
        <v>15</v>
      </c>
    </row>
    <row r="211" spans="1:16" x14ac:dyDescent="0.25">
      <c r="A211" s="45">
        <f>1/((1/Show!$A$4)-(1/Calc!K211))</f>
        <v>-19.925093632958802</v>
      </c>
      <c r="B211" s="45" t="e">
        <f>MATCH(A211*Calc!$R$12,Calc!$K$1:$K$774,1)</f>
        <v>#N/A</v>
      </c>
      <c r="C211" s="45" t="e">
        <f>INDEX(Calc!$K$1:$K$774,B211)</f>
        <v>#N/A</v>
      </c>
      <c r="D211" s="45" t="e">
        <f>1/(1/C211+1/Calc!K211)</f>
        <v>#N/A</v>
      </c>
      <c r="E211" s="45" t="e">
        <f>ABS(Show!$A$4-D211)/(Show!$A$4/100)</f>
        <v>#N/A</v>
      </c>
      <c r="F211" s="46">
        <f>Show!$A$4-Calc!L211</f>
        <v>26.300000000000004</v>
      </c>
      <c r="G211" s="46">
        <f>MATCH(F211*Calc!$R$12,Calc!$K$1:$K$774,1)</f>
        <v>240</v>
      </c>
      <c r="H211" s="46">
        <f>INDEX(Calc!$K$1:$K$774,G211)</f>
        <v>26.1</v>
      </c>
      <c r="I211" s="46">
        <f>H211+Calc!K211</f>
        <v>39.400000000000006</v>
      </c>
      <c r="J211" s="46">
        <f>ABS(Show!$A$4-I211)/(Show!$A$4/100)</f>
        <v>1.4999999999999858</v>
      </c>
      <c r="K211" s="45">
        <f>INDEX(Calc!L211:P211,Show!$B$4)</f>
        <v>13.3</v>
      </c>
      <c r="L211" s="46">
        <f t="shared" si="104"/>
        <v>13.699999999999998</v>
      </c>
      <c r="M211" s="46">
        <f>L210</f>
        <v>13.3</v>
      </c>
      <c r="N211" s="46">
        <f>L210</f>
        <v>13.3</v>
      </c>
      <c r="O211" s="46">
        <f t="shared" si="105"/>
        <v>15</v>
      </c>
      <c r="P211" s="46">
        <f t="shared" ref="P211" si="118">O210</f>
        <v>15</v>
      </c>
    </row>
    <row r="212" spans="1:16" x14ac:dyDescent="0.25">
      <c r="A212" s="45">
        <f>1/((1/Show!$A$4)-(1/Calc!K212))</f>
        <v>-19.925093632958802</v>
      </c>
      <c r="B212" s="45" t="e">
        <f>MATCH(A212*Calc!$R$12,Calc!$K$1:$K$774,1)</f>
        <v>#N/A</v>
      </c>
      <c r="C212" s="45" t="e">
        <f>INDEX(Calc!$K$1:$K$774,B212)</f>
        <v>#N/A</v>
      </c>
      <c r="D212" s="45" t="e">
        <f>1/(1/C212+1/Calc!K212)</f>
        <v>#N/A</v>
      </c>
      <c r="E212" s="45" t="e">
        <f>ABS(Show!$A$4-D212)/(Show!$A$4/100)</f>
        <v>#N/A</v>
      </c>
      <c r="F212" s="46">
        <f>Show!$A$4-Calc!L212</f>
        <v>26</v>
      </c>
      <c r="G212" s="46">
        <f>MATCH(F212*Calc!$R$12,Calc!$K$1:$K$774,1)</f>
        <v>240</v>
      </c>
      <c r="H212" s="46">
        <f>INDEX(Calc!$K$1:$K$774,G212)</f>
        <v>26.1</v>
      </c>
      <c r="I212" s="46">
        <f>H212+Calc!K212</f>
        <v>39.400000000000006</v>
      </c>
      <c r="J212" s="46">
        <f>ABS(Show!$A$4-I212)/(Show!$A$4/100)</f>
        <v>1.4999999999999858</v>
      </c>
      <c r="K212" s="45">
        <f>INDEX(Calc!L212:P212,Show!$B$4)</f>
        <v>13.3</v>
      </c>
      <c r="L212" s="46">
        <f t="shared" si="104"/>
        <v>14.000000000000002</v>
      </c>
      <c r="M212" s="46">
        <f>L212</f>
        <v>14.000000000000002</v>
      </c>
      <c r="N212" s="46">
        <f>L210</f>
        <v>13.3</v>
      </c>
      <c r="O212" s="46">
        <f t="shared" si="105"/>
        <v>15</v>
      </c>
      <c r="P212" s="46">
        <f t="shared" ref="P212" si="119">O210</f>
        <v>15</v>
      </c>
    </row>
    <row r="213" spans="1:16" x14ac:dyDescent="0.25">
      <c r="A213" s="45">
        <f>1/((1/Show!$A$4)-(1/Calc!K213))</f>
        <v>-23.241106719367586</v>
      </c>
      <c r="B213" s="45" t="e">
        <f>MATCH(A213*Calc!$R$12,Calc!$K$1:$K$774,1)</f>
        <v>#N/A</v>
      </c>
      <c r="C213" s="45" t="e">
        <f>INDEX(Calc!$K$1:$K$774,B213)</f>
        <v>#N/A</v>
      </c>
      <c r="D213" s="45" t="e">
        <f>1/(1/C213+1/Calc!K213)</f>
        <v>#N/A</v>
      </c>
      <c r="E213" s="45" t="e">
        <f>ABS(Show!$A$4-D213)/(Show!$A$4/100)</f>
        <v>#N/A</v>
      </c>
      <c r="F213" s="46">
        <f>Show!$A$4-Calc!L213</f>
        <v>25.7</v>
      </c>
      <c r="G213" s="46">
        <f>MATCH(F213*Calc!$R$12,Calc!$K$1:$K$774,1)</f>
        <v>240</v>
      </c>
      <c r="H213" s="46">
        <f>INDEX(Calc!$K$1:$K$774,G213)</f>
        <v>26.1</v>
      </c>
      <c r="I213" s="46">
        <f>H213+Calc!K213</f>
        <v>40.799999999999997</v>
      </c>
      <c r="J213" s="46">
        <f>ABS(Show!$A$4-I213)/(Show!$A$4/100)</f>
        <v>1.9999999999999929</v>
      </c>
      <c r="K213" s="45">
        <f>INDEX(Calc!L213:P213,Show!$B$4)</f>
        <v>14.7</v>
      </c>
      <c r="L213" s="46">
        <f t="shared" si="104"/>
        <v>14.3</v>
      </c>
      <c r="M213" s="46">
        <f>L212</f>
        <v>14.000000000000002</v>
      </c>
      <c r="N213" s="46">
        <f>L214</f>
        <v>14.7</v>
      </c>
      <c r="O213" s="46">
        <f t="shared" si="105"/>
        <v>15</v>
      </c>
      <c r="P213" s="46">
        <f t="shared" ref="P213" si="120">O210</f>
        <v>15</v>
      </c>
    </row>
    <row r="214" spans="1:16" x14ac:dyDescent="0.25">
      <c r="A214" s="45">
        <f>1/((1/Show!$A$4)-(1/Calc!K214))</f>
        <v>-23.241106719367586</v>
      </c>
      <c r="B214" s="45" t="e">
        <f>MATCH(A214*Calc!$R$12,Calc!$K$1:$K$774,1)</f>
        <v>#N/A</v>
      </c>
      <c r="C214" s="45" t="e">
        <f>INDEX(Calc!$K$1:$K$774,B214)</f>
        <v>#N/A</v>
      </c>
      <c r="D214" s="45" t="e">
        <f>1/(1/C214+1/Calc!K214)</f>
        <v>#N/A</v>
      </c>
      <c r="E214" s="45" t="e">
        <f>ABS(Show!$A$4-D214)/(Show!$A$4/100)</f>
        <v>#N/A</v>
      </c>
      <c r="F214" s="46">
        <f>Show!$A$4-Calc!L214</f>
        <v>25.3</v>
      </c>
      <c r="G214" s="46">
        <f>MATCH(F214*Calc!$R$12,Calc!$K$1:$K$774,1)</f>
        <v>240</v>
      </c>
      <c r="H214" s="46">
        <f>INDEX(Calc!$K$1:$K$774,G214)</f>
        <v>26.1</v>
      </c>
      <c r="I214" s="46">
        <f>H214+Calc!K214</f>
        <v>40.799999999999997</v>
      </c>
      <c r="J214" s="46">
        <f>ABS(Show!$A$4-I214)/(Show!$A$4/100)</f>
        <v>1.9999999999999929</v>
      </c>
      <c r="K214" s="45">
        <f>INDEX(Calc!L214:P214,Show!$B$4)</f>
        <v>14.7</v>
      </c>
      <c r="L214" s="46">
        <f t="shared" si="104"/>
        <v>14.7</v>
      </c>
      <c r="M214" s="46">
        <f>L214</f>
        <v>14.7</v>
      </c>
      <c r="N214" s="46">
        <f>L214</f>
        <v>14.7</v>
      </c>
      <c r="O214" s="46">
        <f t="shared" si="105"/>
        <v>15</v>
      </c>
      <c r="P214" s="46">
        <f t="shared" ref="P214" si="121">O210</f>
        <v>15</v>
      </c>
    </row>
    <row r="215" spans="1:16" x14ac:dyDescent="0.25">
      <c r="A215" s="45">
        <f>1/((1/Show!$A$4)-(1/Calc!K215))</f>
        <v>-23.241106719367586</v>
      </c>
      <c r="B215" s="45" t="e">
        <f>MATCH(A215*Calc!$R$12,Calc!$K$1:$K$774,1)</f>
        <v>#N/A</v>
      </c>
      <c r="C215" s="45" t="e">
        <f>INDEX(Calc!$K$1:$K$774,B215)</f>
        <v>#N/A</v>
      </c>
      <c r="D215" s="45" t="e">
        <f>1/(1/C215+1/Calc!K215)</f>
        <v>#N/A</v>
      </c>
      <c r="E215" s="45" t="e">
        <f>ABS(Show!$A$4-D215)/(Show!$A$4/100)</f>
        <v>#N/A</v>
      </c>
      <c r="F215" s="46">
        <f>Show!$A$4-Calc!L215</f>
        <v>25</v>
      </c>
      <c r="G215" s="46">
        <f>MATCH(F215*Calc!$R$12,Calc!$K$1:$K$774,1)</f>
        <v>240</v>
      </c>
      <c r="H215" s="46">
        <f>INDEX(Calc!$K$1:$K$774,G215)</f>
        <v>26.1</v>
      </c>
      <c r="I215" s="46">
        <f>H215+Calc!K215</f>
        <v>40.799999999999997</v>
      </c>
      <c r="J215" s="46">
        <f>ABS(Show!$A$4-I215)/(Show!$A$4/100)</f>
        <v>1.9999999999999929</v>
      </c>
      <c r="K215" s="45">
        <f>INDEX(Calc!L215:P215,Show!$B$4)</f>
        <v>14.7</v>
      </c>
      <c r="L215" s="46">
        <f t="shared" si="104"/>
        <v>15</v>
      </c>
      <c r="M215" s="46">
        <f>L214</f>
        <v>14.7</v>
      </c>
      <c r="N215" s="46">
        <f>L214</f>
        <v>14.7</v>
      </c>
      <c r="O215" s="46">
        <f t="shared" si="105"/>
        <v>15</v>
      </c>
      <c r="P215" s="46">
        <f t="shared" ref="P215" si="122">O210</f>
        <v>15</v>
      </c>
    </row>
    <row r="216" spans="1:16" x14ac:dyDescent="0.25">
      <c r="A216" s="45">
        <f>1/((1/Show!$A$4)-(1/Calc!K216))</f>
        <v>-23.241106719367586</v>
      </c>
      <c r="B216" s="45" t="e">
        <f>MATCH(A216*Calc!$R$12,Calc!$K$1:$K$774,1)</f>
        <v>#N/A</v>
      </c>
      <c r="C216" s="45" t="e">
        <f>INDEX(Calc!$K$1:$K$774,B216)</f>
        <v>#N/A</v>
      </c>
      <c r="D216" s="45" t="e">
        <f>1/(1/C216+1/Calc!K216)</f>
        <v>#N/A</v>
      </c>
      <c r="E216" s="45" t="e">
        <f>ABS(Show!$A$4-D216)/(Show!$A$4/100)</f>
        <v>#N/A</v>
      </c>
      <c r="F216" s="46">
        <f>Show!$A$4-Calc!L216</f>
        <v>24.6</v>
      </c>
      <c r="G216" s="46">
        <f>MATCH(F216*Calc!$R$12,Calc!$K$1:$K$774,1)</f>
        <v>236</v>
      </c>
      <c r="H216" s="46">
        <f>INDEX(Calc!$K$1:$K$774,G216)</f>
        <v>23.7</v>
      </c>
      <c r="I216" s="46">
        <f>H216+Calc!K216</f>
        <v>38.4</v>
      </c>
      <c r="J216" s="46">
        <f>ABS(Show!$A$4-I216)/(Show!$A$4/100)</f>
        <v>4.0000000000000036</v>
      </c>
      <c r="K216" s="45">
        <f>INDEX(Calc!L216:P216,Show!$B$4)</f>
        <v>14.7</v>
      </c>
      <c r="L216" s="46">
        <f t="shared" si="104"/>
        <v>15.4</v>
      </c>
      <c r="M216" s="46">
        <f>L216</f>
        <v>15.4</v>
      </c>
      <c r="N216" s="46">
        <f>L214</f>
        <v>14.7</v>
      </c>
      <c r="O216" s="46">
        <f t="shared" si="105"/>
        <v>15</v>
      </c>
      <c r="P216" s="46">
        <f t="shared" ref="P216" si="123">O210</f>
        <v>15</v>
      </c>
    </row>
    <row r="217" spans="1:16" x14ac:dyDescent="0.25">
      <c r="A217" s="45">
        <f>1/((1/Show!$A$4)-(1/Calc!K217))</f>
        <v>-27.22689075630252</v>
      </c>
      <c r="B217" s="45" t="e">
        <f>MATCH(A217*Calc!$R$12,Calc!$K$1:$K$774,1)</f>
        <v>#N/A</v>
      </c>
      <c r="C217" s="45" t="e">
        <f>INDEX(Calc!$K$1:$K$774,B217)</f>
        <v>#N/A</v>
      </c>
      <c r="D217" s="45" t="e">
        <f>1/(1/C217+1/Calc!K217)</f>
        <v>#N/A</v>
      </c>
      <c r="E217" s="45" t="e">
        <f>ABS(Show!$A$4-D217)/(Show!$A$4/100)</f>
        <v>#N/A</v>
      </c>
      <c r="F217" s="46">
        <f>Show!$A$4-Calc!L217</f>
        <v>24.2</v>
      </c>
      <c r="G217" s="46">
        <f>MATCH(F217*Calc!$R$12,Calc!$K$1:$K$774,1)</f>
        <v>236</v>
      </c>
      <c r="H217" s="46">
        <f>INDEX(Calc!$K$1:$K$774,G217)</f>
        <v>23.7</v>
      </c>
      <c r="I217" s="46">
        <f>H217+Calc!K217</f>
        <v>39.9</v>
      </c>
      <c r="J217" s="46">
        <f>ABS(Show!$A$4-I217)/(Show!$A$4/100)</f>
        <v>0.25000000000000355</v>
      </c>
      <c r="K217" s="45">
        <f>INDEX(Calc!L217:P217,Show!$B$4)</f>
        <v>16.2</v>
      </c>
      <c r="L217" s="46">
        <f t="shared" si="104"/>
        <v>15.8</v>
      </c>
      <c r="M217" s="46">
        <f>L216</f>
        <v>15.4</v>
      </c>
      <c r="N217" s="46">
        <f>L218</f>
        <v>16.2</v>
      </c>
      <c r="O217" s="46">
        <f t="shared" si="105"/>
        <v>15</v>
      </c>
      <c r="P217" s="46">
        <f t="shared" ref="P217" si="124">O210</f>
        <v>15</v>
      </c>
    </row>
    <row r="218" spans="1:16" x14ac:dyDescent="0.25">
      <c r="A218" s="45">
        <f>1/((1/Show!$A$4)-(1/Calc!K218))</f>
        <v>-27.22689075630252</v>
      </c>
      <c r="B218" s="45" t="e">
        <f>MATCH(A218*Calc!$R$12,Calc!$K$1:$K$774,1)</f>
        <v>#N/A</v>
      </c>
      <c r="C218" s="45" t="e">
        <f>INDEX(Calc!$K$1:$K$774,B218)</f>
        <v>#N/A</v>
      </c>
      <c r="D218" s="45" t="e">
        <f>1/(1/C218+1/Calc!K218)</f>
        <v>#N/A</v>
      </c>
      <c r="E218" s="45" t="e">
        <f>ABS(Show!$A$4-D218)/(Show!$A$4/100)</f>
        <v>#N/A</v>
      </c>
      <c r="F218" s="46">
        <f>Show!$A$4-Calc!L218</f>
        <v>23.8</v>
      </c>
      <c r="G218" s="46">
        <f>MATCH(F218*Calc!$R$12,Calc!$K$1:$K$774,1)</f>
        <v>236</v>
      </c>
      <c r="H218" s="46">
        <f>INDEX(Calc!$K$1:$K$774,G218)</f>
        <v>23.7</v>
      </c>
      <c r="I218" s="46">
        <f>H218+Calc!K218</f>
        <v>39.9</v>
      </c>
      <c r="J218" s="46">
        <f>ABS(Show!$A$4-I218)/(Show!$A$4/100)</f>
        <v>0.25000000000000355</v>
      </c>
      <c r="K218" s="45">
        <f>INDEX(Calc!L218:P218,Show!$B$4)</f>
        <v>16.2</v>
      </c>
      <c r="L218" s="46">
        <f t="shared" si="104"/>
        <v>16.2</v>
      </c>
      <c r="M218" s="46">
        <f>L218</f>
        <v>16.2</v>
      </c>
      <c r="N218" s="46">
        <f>L218</f>
        <v>16.2</v>
      </c>
      <c r="O218" s="46">
        <f t="shared" si="105"/>
        <v>18</v>
      </c>
      <c r="P218" s="46">
        <f t="shared" ref="P218" si="125">O210</f>
        <v>15</v>
      </c>
    </row>
    <row r="219" spans="1:16" x14ac:dyDescent="0.25">
      <c r="A219" s="45">
        <f>1/((1/Show!$A$4)-(1/Calc!K219))</f>
        <v>-27.22689075630252</v>
      </c>
      <c r="B219" s="45" t="e">
        <f>MATCH(A219*Calc!$R$12,Calc!$K$1:$K$774,1)</f>
        <v>#N/A</v>
      </c>
      <c r="C219" s="45" t="e">
        <f>INDEX(Calc!$K$1:$K$774,B219)</f>
        <v>#N/A</v>
      </c>
      <c r="D219" s="45" t="e">
        <f>1/(1/C219+1/Calc!K219)</f>
        <v>#N/A</v>
      </c>
      <c r="E219" s="45" t="e">
        <f>ABS(Show!$A$4-D219)/(Show!$A$4/100)</f>
        <v>#N/A</v>
      </c>
      <c r="F219" s="46">
        <f>Show!$A$4-Calc!L219</f>
        <v>23.5</v>
      </c>
      <c r="G219" s="46">
        <f>MATCH(F219*Calc!$R$12,Calc!$K$1:$K$774,1)</f>
        <v>236</v>
      </c>
      <c r="H219" s="46">
        <f>INDEX(Calc!$K$1:$K$774,G219)</f>
        <v>23.7</v>
      </c>
      <c r="I219" s="46">
        <f>H219+Calc!K219</f>
        <v>39.9</v>
      </c>
      <c r="J219" s="46">
        <f>ABS(Show!$A$4-I219)/(Show!$A$4/100)</f>
        <v>0.25000000000000355</v>
      </c>
      <c r="K219" s="45">
        <f>INDEX(Calc!L219:P219,Show!$B$4)</f>
        <v>16.2</v>
      </c>
      <c r="L219" s="46">
        <f t="shared" si="104"/>
        <v>16.5</v>
      </c>
      <c r="M219" s="46">
        <f>L218</f>
        <v>16.2</v>
      </c>
      <c r="N219" s="46">
        <f>L218</f>
        <v>16.2</v>
      </c>
      <c r="O219" s="46">
        <f t="shared" si="105"/>
        <v>18</v>
      </c>
      <c r="P219" s="46">
        <f t="shared" ref="P219" si="126">O210</f>
        <v>15</v>
      </c>
    </row>
    <row r="220" spans="1:16" x14ac:dyDescent="0.25">
      <c r="A220" s="45">
        <f>1/((1/Show!$A$4)-(1/Calc!K220))</f>
        <v>-27.22689075630252</v>
      </c>
      <c r="B220" s="45" t="e">
        <f>MATCH(A220*Calc!$R$12,Calc!$K$1:$K$774,1)</f>
        <v>#N/A</v>
      </c>
      <c r="C220" s="45" t="e">
        <f>INDEX(Calc!$K$1:$K$774,B220)</f>
        <v>#N/A</v>
      </c>
      <c r="D220" s="45" t="e">
        <f>1/(1/C220+1/Calc!K220)</f>
        <v>#N/A</v>
      </c>
      <c r="E220" s="45" t="e">
        <f>ABS(Show!$A$4-D220)/(Show!$A$4/100)</f>
        <v>#N/A</v>
      </c>
      <c r="F220" s="46">
        <f>Show!$A$4-Calc!L220</f>
        <v>23.1</v>
      </c>
      <c r="G220" s="46">
        <f>MATCH(F220*Calc!$R$12,Calc!$K$1:$K$774,1)</f>
        <v>236</v>
      </c>
      <c r="H220" s="46">
        <f>INDEX(Calc!$K$1:$K$774,G220)</f>
        <v>23.7</v>
      </c>
      <c r="I220" s="46">
        <f>H220+Calc!K220</f>
        <v>39.9</v>
      </c>
      <c r="J220" s="46">
        <f>ABS(Show!$A$4-I220)/(Show!$A$4/100)</f>
        <v>0.25000000000000355</v>
      </c>
      <c r="K220" s="45">
        <f>INDEX(Calc!L220:P220,Show!$B$4)</f>
        <v>16.2</v>
      </c>
      <c r="L220" s="46">
        <f t="shared" si="104"/>
        <v>16.899999999999999</v>
      </c>
      <c r="M220" s="46">
        <f>L220</f>
        <v>16.899999999999999</v>
      </c>
      <c r="N220" s="46">
        <f>L218</f>
        <v>16.2</v>
      </c>
      <c r="O220" s="46">
        <f t="shared" si="105"/>
        <v>18</v>
      </c>
      <c r="P220" s="46">
        <f t="shared" ref="P220" si="127">O210</f>
        <v>15</v>
      </c>
    </row>
    <row r="221" spans="1:16" x14ac:dyDescent="0.25">
      <c r="A221" s="45">
        <f>1/((1/Show!$A$4)-(1/Calc!K221))</f>
        <v>-32.072072072072075</v>
      </c>
      <c r="B221" s="45" t="e">
        <f>MATCH(A221*Calc!$R$12,Calc!$K$1:$K$774,1)</f>
        <v>#N/A</v>
      </c>
      <c r="C221" s="45" t="e">
        <f>INDEX(Calc!$K$1:$K$774,B221)</f>
        <v>#N/A</v>
      </c>
      <c r="D221" s="45" t="e">
        <f>1/(1/C221+1/Calc!K221)</f>
        <v>#N/A</v>
      </c>
      <c r="E221" s="45" t="e">
        <f>ABS(Show!$A$4-D221)/(Show!$A$4/100)</f>
        <v>#N/A</v>
      </c>
      <c r="F221" s="46">
        <f>Show!$A$4-Calc!L221</f>
        <v>22.6</v>
      </c>
      <c r="G221" s="46">
        <f>MATCH(F221*Calc!$R$12,Calc!$K$1:$K$774,1)</f>
        <v>236</v>
      </c>
      <c r="H221" s="46">
        <f>INDEX(Calc!$K$1:$K$774,G221)</f>
        <v>23.7</v>
      </c>
      <c r="I221" s="46">
        <f>H221+Calc!K221</f>
        <v>41.5</v>
      </c>
      <c r="J221" s="46">
        <f>ABS(Show!$A$4-I221)/(Show!$A$4/100)</f>
        <v>3.75</v>
      </c>
      <c r="K221" s="45">
        <f>INDEX(Calc!L221:P221,Show!$B$4)</f>
        <v>17.8</v>
      </c>
      <c r="L221" s="46">
        <f t="shared" si="104"/>
        <v>17.399999999999999</v>
      </c>
      <c r="M221" s="46">
        <f>L220</f>
        <v>16.899999999999999</v>
      </c>
      <c r="N221" s="46">
        <f>L222</f>
        <v>17.8</v>
      </c>
      <c r="O221" s="46">
        <f t="shared" si="105"/>
        <v>18</v>
      </c>
      <c r="P221" s="46">
        <f t="shared" ref="P221" si="128">O210</f>
        <v>15</v>
      </c>
    </row>
    <row r="222" spans="1:16" x14ac:dyDescent="0.25">
      <c r="A222" s="45">
        <f>1/((1/Show!$A$4)-(1/Calc!K222))</f>
        <v>-32.072072072072075</v>
      </c>
      <c r="B222" s="45" t="e">
        <f>MATCH(A222*Calc!$R$12,Calc!$K$1:$K$774,1)</f>
        <v>#N/A</v>
      </c>
      <c r="C222" s="45" t="e">
        <f>INDEX(Calc!$K$1:$K$774,B222)</f>
        <v>#N/A</v>
      </c>
      <c r="D222" s="45" t="e">
        <f>1/(1/C222+1/Calc!K222)</f>
        <v>#N/A</v>
      </c>
      <c r="E222" s="45" t="e">
        <f>ABS(Show!$A$4-D222)/(Show!$A$4/100)</f>
        <v>#N/A</v>
      </c>
      <c r="F222" s="46">
        <f>Show!$A$4-Calc!L222</f>
        <v>22.2</v>
      </c>
      <c r="G222" s="46">
        <f>MATCH(F222*Calc!$R$12,Calc!$K$1:$K$774,1)</f>
        <v>232</v>
      </c>
      <c r="H222" s="46">
        <f>INDEX(Calc!$K$1:$K$774,G222)</f>
        <v>21.5</v>
      </c>
      <c r="I222" s="46">
        <f>H222+Calc!K222</f>
        <v>39.299999999999997</v>
      </c>
      <c r="J222" s="46">
        <f>ABS(Show!$A$4-I222)/(Show!$A$4/100)</f>
        <v>1.7500000000000071</v>
      </c>
      <c r="K222" s="45">
        <f>INDEX(Calc!L222:P222,Show!$B$4)</f>
        <v>17.8</v>
      </c>
      <c r="L222" s="46">
        <f t="shared" si="104"/>
        <v>17.8</v>
      </c>
      <c r="M222" s="46">
        <f>L222</f>
        <v>17.8</v>
      </c>
      <c r="N222" s="46">
        <f>L222</f>
        <v>17.8</v>
      </c>
      <c r="O222" s="46">
        <f t="shared" si="105"/>
        <v>18</v>
      </c>
      <c r="P222" s="46">
        <f t="shared" ref="P222" si="129">O226</f>
        <v>22</v>
      </c>
    </row>
    <row r="223" spans="1:16" x14ac:dyDescent="0.25">
      <c r="A223" s="45">
        <f>1/((1/Show!$A$4)-(1/Calc!K223))</f>
        <v>-32.072072072072075</v>
      </c>
      <c r="B223" s="45" t="e">
        <f>MATCH(A223*Calc!$R$12,Calc!$K$1:$K$774,1)</f>
        <v>#N/A</v>
      </c>
      <c r="C223" s="45" t="e">
        <f>INDEX(Calc!$K$1:$K$774,B223)</f>
        <v>#N/A</v>
      </c>
      <c r="D223" s="45" t="e">
        <f>1/(1/C223+1/Calc!K223)</f>
        <v>#N/A</v>
      </c>
      <c r="E223" s="45" t="e">
        <f>ABS(Show!$A$4-D223)/(Show!$A$4/100)</f>
        <v>#N/A</v>
      </c>
      <c r="F223" s="46">
        <f>Show!$A$4-Calc!L223</f>
        <v>21.8</v>
      </c>
      <c r="G223" s="46">
        <f>MATCH(F223*Calc!$R$12,Calc!$K$1:$K$774,1)</f>
        <v>232</v>
      </c>
      <c r="H223" s="46">
        <f>INDEX(Calc!$K$1:$K$774,G223)</f>
        <v>21.5</v>
      </c>
      <c r="I223" s="46">
        <f>H223+Calc!K223</f>
        <v>39.299999999999997</v>
      </c>
      <c r="J223" s="46">
        <f>ABS(Show!$A$4-I223)/(Show!$A$4/100)</f>
        <v>1.7500000000000071</v>
      </c>
      <c r="K223" s="45">
        <f>INDEX(Calc!L223:P223,Show!$B$4)</f>
        <v>17.8</v>
      </c>
      <c r="L223" s="46">
        <f t="shared" si="104"/>
        <v>18.2</v>
      </c>
      <c r="M223" s="46">
        <f>L222</f>
        <v>17.8</v>
      </c>
      <c r="N223" s="46">
        <f>L222</f>
        <v>17.8</v>
      </c>
      <c r="O223" s="46">
        <f t="shared" si="105"/>
        <v>18</v>
      </c>
      <c r="P223" s="46">
        <f t="shared" ref="P223" si="130">O226</f>
        <v>22</v>
      </c>
    </row>
    <row r="224" spans="1:16" x14ac:dyDescent="0.25">
      <c r="A224" s="45">
        <f>1/((1/Show!$A$4)-(1/Calc!K224))</f>
        <v>-32.072072072072075</v>
      </c>
      <c r="B224" s="45" t="e">
        <f>MATCH(A224*Calc!$R$12,Calc!$K$1:$K$774,1)</f>
        <v>#N/A</v>
      </c>
      <c r="C224" s="45" t="e">
        <f>INDEX(Calc!$K$1:$K$774,B224)</f>
        <v>#N/A</v>
      </c>
      <c r="D224" s="45" t="e">
        <f>1/(1/C224+1/Calc!K224)</f>
        <v>#N/A</v>
      </c>
      <c r="E224" s="45" t="e">
        <f>ABS(Show!$A$4-D224)/(Show!$A$4/100)</f>
        <v>#N/A</v>
      </c>
      <c r="F224" s="46">
        <f>Show!$A$4-Calc!L224</f>
        <v>21.3</v>
      </c>
      <c r="G224" s="46">
        <f>MATCH(F224*Calc!$R$12,Calc!$K$1:$K$774,1)</f>
        <v>232</v>
      </c>
      <c r="H224" s="46">
        <f>INDEX(Calc!$K$1:$K$774,G224)</f>
        <v>21.5</v>
      </c>
      <c r="I224" s="46">
        <f>H224+Calc!K224</f>
        <v>39.299999999999997</v>
      </c>
      <c r="J224" s="46">
        <f>ABS(Show!$A$4-I224)/(Show!$A$4/100)</f>
        <v>1.7500000000000071</v>
      </c>
      <c r="K224" s="45">
        <f>INDEX(Calc!L224:P224,Show!$B$4)</f>
        <v>17.8</v>
      </c>
      <c r="L224" s="46">
        <f t="shared" si="104"/>
        <v>18.7</v>
      </c>
      <c r="M224" s="46">
        <f>L224</f>
        <v>18.7</v>
      </c>
      <c r="N224" s="46">
        <f>L222</f>
        <v>17.8</v>
      </c>
      <c r="O224" s="46">
        <f t="shared" si="105"/>
        <v>18</v>
      </c>
      <c r="P224" s="46">
        <f t="shared" ref="P224" si="131">O226</f>
        <v>22</v>
      </c>
    </row>
    <row r="225" spans="1:16" x14ac:dyDescent="0.25">
      <c r="A225" s="45">
        <f>1/((1/Show!$A$4)-(1/Calc!K225))</f>
        <v>-38.431372549019621</v>
      </c>
      <c r="B225" s="45" t="e">
        <f>MATCH(A225*Calc!$R$12,Calc!$K$1:$K$774,1)</f>
        <v>#N/A</v>
      </c>
      <c r="C225" s="45" t="e">
        <f>INDEX(Calc!$K$1:$K$774,B225)</f>
        <v>#N/A</v>
      </c>
      <c r="D225" s="45" t="e">
        <f>1/(1/C225+1/Calc!K225)</f>
        <v>#N/A</v>
      </c>
      <c r="E225" s="45" t="e">
        <f>ABS(Show!$A$4-D225)/(Show!$A$4/100)</f>
        <v>#N/A</v>
      </c>
      <c r="F225" s="46">
        <f>Show!$A$4-Calc!L225</f>
        <v>20.9</v>
      </c>
      <c r="G225" s="46">
        <f>MATCH(F225*Calc!$R$12,Calc!$K$1:$K$774,1)</f>
        <v>232</v>
      </c>
      <c r="H225" s="46">
        <f>INDEX(Calc!$K$1:$K$774,G225)</f>
        <v>21.5</v>
      </c>
      <c r="I225" s="46">
        <f>H225+Calc!K225</f>
        <v>41.1</v>
      </c>
      <c r="J225" s="46">
        <f>ABS(Show!$A$4-I225)/(Show!$A$4/100)</f>
        <v>2.7500000000000036</v>
      </c>
      <c r="K225" s="45">
        <f>INDEX(Calc!L225:P225,Show!$B$4)</f>
        <v>19.600000000000001</v>
      </c>
      <c r="L225" s="46">
        <f t="shared" si="104"/>
        <v>19.100000000000001</v>
      </c>
      <c r="M225" s="46">
        <f>L224</f>
        <v>18.7</v>
      </c>
      <c r="N225" s="46">
        <f>L226</f>
        <v>19.600000000000001</v>
      </c>
      <c r="O225" s="46">
        <f t="shared" si="105"/>
        <v>18</v>
      </c>
      <c r="P225" s="46">
        <f t="shared" ref="P225" si="132">O226</f>
        <v>22</v>
      </c>
    </row>
    <row r="226" spans="1:16" x14ac:dyDescent="0.25">
      <c r="A226" s="45">
        <f>1/((1/Show!$A$4)-(1/Calc!K226))</f>
        <v>-38.431372549019621</v>
      </c>
      <c r="B226" s="45" t="e">
        <f>MATCH(A226*Calc!$R$12,Calc!$K$1:$K$774,1)</f>
        <v>#N/A</v>
      </c>
      <c r="C226" s="45" t="e">
        <f>INDEX(Calc!$K$1:$K$774,B226)</f>
        <v>#N/A</v>
      </c>
      <c r="D226" s="45" t="e">
        <f>1/(1/C226+1/Calc!K226)</f>
        <v>#N/A</v>
      </c>
      <c r="E226" s="45" t="e">
        <f>ABS(Show!$A$4-D226)/(Show!$A$4/100)</f>
        <v>#N/A</v>
      </c>
      <c r="F226" s="46">
        <f>Show!$A$4-Calc!L226</f>
        <v>20.399999999999999</v>
      </c>
      <c r="G226" s="46">
        <f>MATCH(F226*Calc!$R$12,Calc!$K$1:$K$774,1)</f>
        <v>228</v>
      </c>
      <c r="H226" s="46">
        <f>INDEX(Calc!$K$1:$K$774,G226)</f>
        <v>19.600000000000001</v>
      </c>
      <c r="I226" s="46">
        <f>H226+Calc!K226</f>
        <v>39.200000000000003</v>
      </c>
      <c r="J226" s="46">
        <f>ABS(Show!$A$4-I226)/(Show!$A$4/100)</f>
        <v>1.9999999999999929</v>
      </c>
      <c r="K226" s="45">
        <f>INDEX(Calc!L226:P226,Show!$B$4)</f>
        <v>19.600000000000001</v>
      </c>
      <c r="L226" s="46">
        <f t="shared" si="104"/>
        <v>19.600000000000001</v>
      </c>
      <c r="M226" s="46">
        <f>L226</f>
        <v>19.600000000000001</v>
      </c>
      <c r="N226" s="46">
        <f>L226</f>
        <v>19.600000000000001</v>
      </c>
      <c r="O226" s="46">
        <f t="shared" si="105"/>
        <v>22</v>
      </c>
      <c r="P226" s="46">
        <f t="shared" ref="P226" si="133">O226</f>
        <v>22</v>
      </c>
    </row>
    <row r="227" spans="1:16" x14ac:dyDescent="0.25">
      <c r="A227" s="45">
        <f>1/((1/Show!$A$4)-(1/Calc!K227))</f>
        <v>-38.431372549019621</v>
      </c>
      <c r="B227" s="45" t="e">
        <f>MATCH(A227*Calc!$R$12,Calc!$K$1:$K$774,1)</f>
        <v>#N/A</v>
      </c>
      <c r="C227" s="45" t="e">
        <f>INDEX(Calc!$K$1:$K$774,B227)</f>
        <v>#N/A</v>
      </c>
      <c r="D227" s="45" t="e">
        <f>1/(1/C227+1/Calc!K227)</f>
        <v>#N/A</v>
      </c>
      <c r="E227" s="45" t="e">
        <f>ABS(Show!$A$4-D227)/(Show!$A$4/100)</f>
        <v>#N/A</v>
      </c>
      <c r="F227" s="46">
        <f>Show!$A$4-Calc!L227</f>
        <v>20</v>
      </c>
      <c r="G227" s="46">
        <f>MATCH(F227*Calc!$R$12,Calc!$K$1:$K$774,1)</f>
        <v>228</v>
      </c>
      <c r="H227" s="46">
        <f>INDEX(Calc!$K$1:$K$774,G227)</f>
        <v>19.600000000000001</v>
      </c>
      <c r="I227" s="46">
        <f>H227+Calc!K227</f>
        <v>39.200000000000003</v>
      </c>
      <c r="J227" s="46">
        <f>ABS(Show!$A$4-I227)/(Show!$A$4/100)</f>
        <v>1.9999999999999929</v>
      </c>
      <c r="K227" s="45">
        <f>INDEX(Calc!L227:P227,Show!$B$4)</f>
        <v>19.600000000000001</v>
      </c>
      <c r="L227" s="46">
        <f t="shared" si="104"/>
        <v>20</v>
      </c>
      <c r="M227" s="46">
        <f>L226</f>
        <v>19.600000000000001</v>
      </c>
      <c r="N227" s="46">
        <f>L226</f>
        <v>19.600000000000001</v>
      </c>
      <c r="O227" s="46">
        <f t="shared" si="105"/>
        <v>22</v>
      </c>
      <c r="P227" s="46">
        <f t="shared" ref="P227" si="134">O226</f>
        <v>22</v>
      </c>
    </row>
    <row r="228" spans="1:16" x14ac:dyDescent="0.25">
      <c r="A228" s="45">
        <f>1/((1/Show!$A$4)-(1/Calc!K228))</f>
        <v>-38.431372549019621</v>
      </c>
      <c r="B228" s="45" t="e">
        <f>MATCH(A228*Calc!$R$12,Calc!$K$1:$K$774,1)</f>
        <v>#N/A</v>
      </c>
      <c r="C228" s="45" t="e">
        <f>INDEX(Calc!$K$1:$K$774,B228)</f>
        <v>#N/A</v>
      </c>
      <c r="D228" s="45" t="e">
        <f>1/(1/C228+1/Calc!K228)</f>
        <v>#N/A</v>
      </c>
      <c r="E228" s="45" t="e">
        <f>ABS(Show!$A$4-D228)/(Show!$A$4/100)</f>
        <v>#N/A</v>
      </c>
      <c r="F228" s="46">
        <f>Show!$A$4-Calc!L228</f>
        <v>19.5</v>
      </c>
      <c r="G228" s="46">
        <f>MATCH(F228*Calc!$R$12,Calc!$K$1:$K$774,1)</f>
        <v>228</v>
      </c>
      <c r="H228" s="46">
        <f>INDEX(Calc!$K$1:$K$774,G228)</f>
        <v>19.600000000000001</v>
      </c>
      <c r="I228" s="46">
        <f>H228+Calc!K228</f>
        <v>39.200000000000003</v>
      </c>
      <c r="J228" s="46">
        <f>ABS(Show!$A$4-I228)/(Show!$A$4/100)</f>
        <v>1.9999999999999929</v>
      </c>
      <c r="K228" s="45">
        <f>INDEX(Calc!L228:P228,Show!$B$4)</f>
        <v>19.600000000000001</v>
      </c>
      <c r="L228" s="46">
        <f t="shared" si="104"/>
        <v>20.5</v>
      </c>
      <c r="M228" s="46">
        <f>L228</f>
        <v>20.5</v>
      </c>
      <c r="N228" s="46">
        <f>L226</f>
        <v>19.600000000000001</v>
      </c>
      <c r="O228" s="46">
        <f t="shared" si="105"/>
        <v>22</v>
      </c>
      <c r="P228" s="46">
        <f t="shared" ref="P228" si="135">O226</f>
        <v>22</v>
      </c>
    </row>
    <row r="229" spans="1:16" x14ac:dyDescent="0.25">
      <c r="A229" s="45">
        <f>1/((1/Show!$A$4)-(1/Calc!K229))</f>
        <v>-46.486486486486491</v>
      </c>
      <c r="B229" s="45" t="e">
        <f>MATCH(A229*Calc!$R$12,Calc!$K$1:$K$774,1)</f>
        <v>#N/A</v>
      </c>
      <c r="C229" s="45" t="e">
        <f>INDEX(Calc!$K$1:$K$774,B229)</f>
        <v>#N/A</v>
      </c>
      <c r="D229" s="45" t="e">
        <f>1/(1/C229+1/Calc!K229)</f>
        <v>#N/A</v>
      </c>
      <c r="E229" s="45" t="e">
        <f>ABS(Show!$A$4-D229)/(Show!$A$4/100)</f>
        <v>#N/A</v>
      </c>
      <c r="F229" s="46">
        <f>Show!$A$4-Calc!L229</f>
        <v>19</v>
      </c>
      <c r="G229" s="46">
        <f>MATCH(F229*Calc!$R$12,Calc!$K$1:$K$774,1)</f>
        <v>228</v>
      </c>
      <c r="H229" s="46">
        <f>INDEX(Calc!$K$1:$K$774,G229)</f>
        <v>19.600000000000001</v>
      </c>
      <c r="I229" s="46">
        <f>H229+Calc!K229</f>
        <v>41.1</v>
      </c>
      <c r="J229" s="46">
        <f>ABS(Show!$A$4-I229)/(Show!$A$4/100)</f>
        <v>2.7500000000000036</v>
      </c>
      <c r="K229" s="45">
        <f>INDEX(Calc!L229:P229,Show!$B$4)</f>
        <v>21.5</v>
      </c>
      <c r="L229" s="46">
        <f t="shared" si="104"/>
        <v>21</v>
      </c>
      <c r="M229" s="46">
        <f>L228</f>
        <v>20.5</v>
      </c>
      <c r="N229" s="46">
        <f>L230</f>
        <v>21.5</v>
      </c>
      <c r="O229" s="46">
        <f t="shared" si="105"/>
        <v>22</v>
      </c>
      <c r="P229" s="46">
        <f t="shared" ref="P229" si="136">O226</f>
        <v>22</v>
      </c>
    </row>
    <row r="230" spans="1:16" x14ac:dyDescent="0.25">
      <c r="A230" s="45">
        <f>1/((1/Show!$A$4)-(1/Calc!K230))</f>
        <v>-46.486486486486491</v>
      </c>
      <c r="B230" s="45" t="e">
        <f>MATCH(A230*Calc!$R$12,Calc!$K$1:$K$774,1)</f>
        <v>#N/A</v>
      </c>
      <c r="C230" s="45" t="e">
        <f>INDEX(Calc!$K$1:$K$774,B230)</f>
        <v>#N/A</v>
      </c>
      <c r="D230" s="45" t="e">
        <f>1/(1/C230+1/Calc!K230)</f>
        <v>#N/A</v>
      </c>
      <c r="E230" s="45" t="e">
        <f>ABS(Show!$A$4-D230)/(Show!$A$4/100)</f>
        <v>#N/A</v>
      </c>
      <c r="F230" s="46">
        <f>Show!$A$4-Calc!L230</f>
        <v>18.5</v>
      </c>
      <c r="G230" s="46">
        <f>MATCH(F230*Calc!$R$12,Calc!$K$1:$K$774,1)</f>
        <v>224</v>
      </c>
      <c r="H230" s="46">
        <f>INDEX(Calc!$K$1:$K$774,G230)</f>
        <v>17.8</v>
      </c>
      <c r="I230" s="46">
        <f>H230+Calc!K230</f>
        <v>39.299999999999997</v>
      </c>
      <c r="J230" s="46">
        <f>ABS(Show!$A$4-I230)/(Show!$A$4/100)</f>
        <v>1.7500000000000071</v>
      </c>
      <c r="K230" s="45">
        <f>INDEX(Calc!L230:P230,Show!$B$4)</f>
        <v>21.5</v>
      </c>
      <c r="L230" s="46">
        <f t="shared" si="104"/>
        <v>21.5</v>
      </c>
      <c r="M230" s="46">
        <f>L230</f>
        <v>21.5</v>
      </c>
      <c r="N230" s="46">
        <f>L230</f>
        <v>21.5</v>
      </c>
      <c r="O230" s="46">
        <f t="shared" si="105"/>
        <v>22</v>
      </c>
      <c r="P230" s="46">
        <f t="shared" ref="P230" si="137">O226</f>
        <v>22</v>
      </c>
    </row>
    <row r="231" spans="1:16" x14ac:dyDescent="0.25">
      <c r="A231" s="45">
        <f>1/((1/Show!$A$4)-(1/Calc!K231))</f>
        <v>-46.486486486486491</v>
      </c>
      <c r="B231" s="45" t="e">
        <f>MATCH(A231*Calc!$R$12,Calc!$K$1:$K$774,1)</f>
        <v>#N/A</v>
      </c>
      <c r="C231" s="45" t="e">
        <f>INDEX(Calc!$K$1:$K$774,B231)</f>
        <v>#N/A</v>
      </c>
      <c r="D231" s="45" t="e">
        <f>1/(1/C231+1/Calc!K231)</f>
        <v>#N/A</v>
      </c>
      <c r="E231" s="45" t="e">
        <f>ABS(Show!$A$4-D231)/(Show!$A$4/100)</f>
        <v>#N/A</v>
      </c>
      <c r="F231" s="46">
        <f>Show!$A$4-Calc!L231</f>
        <v>17.899999999999999</v>
      </c>
      <c r="G231" s="46">
        <f>MATCH(F231*Calc!$R$12,Calc!$K$1:$K$774,1)</f>
        <v>224</v>
      </c>
      <c r="H231" s="46">
        <f>INDEX(Calc!$K$1:$K$774,G231)</f>
        <v>17.8</v>
      </c>
      <c r="I231" s="46">
        <f>H231+Calc!K231</f>
        <v>39.299999999999997</v>
      </c>
      <c r="J231" s="46">
        <f>ABS(Show!$A$4-I231)/(Show!$A$4/100)</f>
        <v>1.7500000000000071</v>
      </c>
      <c r="K231" s="45">
        <f>INDEX(Calc!L231:P231,Show!$B$4)</f>
        <v>21.5</v>
      </c>
      <c r="L231" s="46">
        <f t="shared" si="104"/>
        <v>22.1</v>
      </c>
      <c r="M231" s="46">
        <f>L230</f>
        <v>21.5</v>
      </c>
      <c r="N231" s="46">
        <f>L230</f>
        <v>21.5</v>
      </c>
      <c r="O231" s="46">
        <f t="shared" si="105"/>
        <v>22</v>
      </c>
      <c r="P231" s="46">
        <f t="shared" ref="P231" si="138">O226</f>
        <v>22</v>
      </c>
    </row>
    <row r="232" spans="1:16" x14ac:dyDescent="0.25">
      <c r="A232" s="45">
        <f>1/((1/Show!$A$4)-(1/Calc!K232))</f>
        <v>-46.486486486486491</v>
      </c>
      <c r="B232" s="45" t="e">
        <f>MATCH(A232*Calc!$R$12,Calc!$K$1:$K$774,1)</f>
        <v>#N/A</v>
      </c>
      <c r="C232" s="45" t="e">
        <f>INDEX(Calc!$K$1:$K$774,B232)</f>
        <v>#N/A</v>
      </c>
      <c r="D232" s="45" t="e">
        <f>1/(1/C232+1/Calc!K232)</f>
        <v>#N/A</v>
      </c>
      <c r="E232" s="45" t="e">
        <f>ABS(Show!$A$4-D232)/(Show!$A$4/100)</f>
        <v>#N/A</v>
      </c>
      <c r="F232" s="46">
        <f>Show!$A$4-Calc!L232</f>
        <v>17.399999999999999</v>
      </c>
      <c r="G232" s="46">
        <f>MATCH(F232*Calc!$R$12,Calc!$K$1:$K$774,1)</f>
        <v>224</v>
      </c>
      <c r="H232" s="46">
        <f>INDEX(Calc!$K$1:$K$774,G232)</f>
        <v>17.8</v>
      </c>
      <c r="I232" s="46">
        <f>H232+Calc!K232</f>
        <v>39.299999999999997</v>
      </c>
      <c r="J232" s="46">
        <f>ABS(Show!$A$4-I232)/(Show!$A$4/100)</f>
        <v>1.7500000000000071</v>
      </c>
      <c r="K232" s="45">
        <f>INDEX(Calc!L232:P232,Show!$B$4)</f>
        <v>21.5</v>
      </c>
      <c r="L232" s="46">
        <f t="shared" si="104"/>
        <v>22.6</v>
      </c>
      <c r="M232" s="46">
        <f>L232</f>
        <v>22.6</v>
      </c>
      <c r="N232" s="46">
        <f>L230</f>
        <v>21.5</v>
      </c>
      <c r="O232" s="46">
        <f t="shared" si="105"/>
        <v>22</v>
      </c>
      <c r="P232" s="46">
        <f t="shared" ref="P232" si="139">O226</f>
        <v>22</v>
      </c>
    </row>
    <row r="233" spans="1:16" x14ac:dyDescent="0.25">
      <c r="A233" s="45">
        <f>1/((1/Show!$A$4)-(1/Calc!K233))</f>
        <v>-58.159509202453997</v>
      </c>
      <c r="B233" s="45" t="e">
        <f>MATCH(A233*Calc!$R$12,Calc!$K$1:$K$774,1)</f>
        <v>#N/A</v>
      </c>
      <c r="C233" s="45" t="e">
        <f>INDEX(Calc!$K$1:$K$774,B233)</f>
        <v>#N/A</v>
      </c>
      <c r="D233" s="45" t="e">
        <f>1/(1/C233+1/Calc!K233)</f>
        <v>#N/A</v>
      </c>
      <c r="E233" s="45" t="e">
        <f>ABS(Show!$A$4-D233)/(Show!$A$4/100)</f>
        <v>#N/A</v>
      </c>
      <c r="F233" s="46">
        <f>Show!$A$4-Calc!L233</f>
        <v>16.8</v>
      </c>
      <c r="G233" s="46">
        <f>MATCH(F233*Calc!$R$12,Calc!$K$1:$K$774,1)</f>
        <v>220</v>
      </c>
      <c r="H233" s="46">
        <f>INDEX(Calc!$K$1:$K$774,G233)</f>
        <v>16.2</v>
      </c>
      <c r="I233" s="46">
        <f>H233+Calc!K233</f>
        <v>39.9</v>
      </c>
      <c r="J233" s="46">
        <f>ABS(Show!$A$4-I233)/(Show!$A$4/100)</f>
        <v>0.25000000000000355</v>
      </c>
      <c r="K233" s="45">
        <f>INDEX(Calc!L233:P233,Show!$B$4)</f>
        <v>23.7</v>
      </c>
      <c r="L233" s="46">
        <f t="shared" si="104"/>
        <v>23.2</v>
      </c>
      <c r="M233" s="46">
        <f>L232</f>
        <v>22.6</v>
      </c>
      <c r="N233" s="46">
        <f>L234</f>
        <v>23.7</v>
      </c>
      <c r="O233" s="46">
        <f t="shared" si="105"/>
        <v>22</v>
      </c>
      <c r="P233" s="46">
        <f t="shared" ref="P233" si="140">O226</f>
        <v>22</v>
      </c>
    </row>
    <row r="234" spans="1:16" x14ac:dyDescent="0.25">
      <c r="A234" s="45">
        <f>1/((1/Show!$A$4)-(1/Calc!K234))</f>
        <v>-58.159509202453997</v>
      </c>
      <c r="B234" s="45" t="e">
        <f>MATCH(A234*Calc!$R$12,Calc!$K$1:$K$774,1)</f>
        <v>#N/A</v>
      </c>
      <c r="C234" s="45" t="e">
        <f>INDEX(Calc!$K$1:$K$774,B234)</f>
        <v>#N/A</v>
      </c>
      <c r="D234" s="45" t="e">
        <f>1/(1/C234+1/Calc!K234)</f>
        <v>#N/A</v>
      </c>
      <c r="E234" s="45" t="e">
        <f>ABS(Show!$A$4-D234)/(Show!$A$4/100)</f>
        <v>#N/A</v>
      </c>
      <c r="F234" s="46">
        <f>Show!$A$4-Calc!L234</f>
        <v>16.3</v>
      </c>
      <c r="G234" s="46">
        <f>MATCH(F234*Calc!$R$12,Calc!$K$1:$K$774,1)</f>
        <v>220</v>
      </c>
      <c r="H234" s="46">
        <f>INDEX(Calc!$K$1:$K$774,G234)</f>
        <v>16.2</v>
      </c>
      <c r="I234" s="46">
        <f>H234+Calc!K234</f>
        <v>39.9</v>
      </c>
      <c r="J234" s="46">
        <f>ABS(Show!$A$4-I234)/(Show!$A$4/100)</f>
        <v>0.25000000000000355</v>
      </c>
      <c r="K234" s="45">
        <f>INDEX(Calc!L234:P234,Show!$B$4)</f>
        <v>23.7</v>
      </c>
      <c r="L234" s="46">
        <f t="shared" si="104"/>
        <v>23.7</v>
      </c>
      <c r="M234" s="46">
        <f>L234</f>
        <v>23.7</v>
      </c>
      <c r="N234" s="46">
        <f>L234</f>
        <v>23.7</v>
      </c>
      <c r="O234" s="46">
        <f t="shared" si="105"/>
        <v>27</v>
      </c>
      <c r="P234" s="46">
        <f t="shared" ref="P234" si="141">O226</f>
        <v>22</v>
      </c>
    </row>
    <row r="235" spans="1:16" x14ac:dyDescent="0.25">
      <c r="A235" s="45">
        <f>1/((1/Show!$A$4)-(1/Calc!K235))</f>
        <v>-58.159509202453997</v>
      </c>
      <c r="B235" s="45" t="e">
        <f>MATCH(A235*Calc!$R$12,Calc!$K$1:$K$774,1)</f>
        <v>#N/A</v>
      </c>
      <c r="C235" s="45" t="e">
        <f>INDEX(Calc!$K$1:$K$774,B235)</f>
        <v>#N/A</v>
      </c>
      <c r="D235" s="45" t="e">
        <f>1/(1/C235+1/Calc!K235)</f>
        <v>#N/A</v>
      </c>
      <c r="E235" s="45" t="e">
        <f>ABS(Show!$A$4-D235)/(Show!$A$4/100)</f>
        <v>#N/A</v>
      </c>
      <c r="F235" s="46">
        <f>Show!$A$4-Calc!L235</f>
        <v>15.7</v>
      </c>
      <c r="G235" s="46">
        <f>MATCH(F235*Calc!$R$12,Calc!$K$1:$K$774,1)</f>
        <v>220</v>
      </c>
      <c r="H235" s="46">
        <f>INDEX(Calc!$K$1:$K$774,G235)</f>
        <v>16.2</v>
      </c>
      <c r="I235" s="46">
        <f>H235+Calc!K235</f>
        <v>39.9</v>
      </c>
      <c r="J235" s="46">
        <f>ABS(Show!$A$4-I235)/(Show!$A$4/100)</f>
        <v>0.25000000000000355</v>
      </c>
      <c r="K235" s="45">
        <f>INDEX(Calc!L235:P235,Show!$B$4)</f>
        <v>23.7</v>
      </c>
      <c r="L235" s="46">
        <f t="shared" si="104"/>
        <v>24.3</v>
      </c>
      <c r="M235" s="46">
        <f>L234</f>
        <v>23.7</v>
      </c>
      <c r="N235" s="46">
        <f>L234</f>
        <v>23.7</v>
      </c>
      <c r="O235" s="46">
        <f t="shared" si="105"/>
        <v>27</v>
      </c>
      <c r="P235" s="46">
        <f t="shared" ref="P235" si="142">O226</f>
        <v>22</v>
      </c>
    </row>
    <row r="236" spans="1:16" x14ac:dyDescent="0.25">
      <c r="A236" s="45">
        <f>1/((1/Show!$A$4)-(1/Calc!K236))</f>
        <v>-58.159509202453997</v>
      </c>
      <c r="B236" s="45" t="e">
        <f>MATCH(A236*Calc!$R$12,Calc!$K$1:$K$774,1)</f>
        <v>#N/A</v>
      </c>
      <c r="C236" s="45" t="e">
        <f>INDEX(Calc!$K$1:$K$774,B236)</f>
        <v>#N/A</v>
      </c>
      <c r="D236" s="45" t="e">
        <f>1/(1/C236+1/Calc!K236)</f>
        <v>#N/A</v>
      </c>
      <c r="E236" s="45" t="e">
        <f>ABS(Show!$A$4-D236)/(Show!$A$4/100)</f>
        <v>#N/A</v>
      </c>
      <c r="F236" s="46">
        <f>Show!$A$4-Calc!L236</f>
        <v>15.100000000000001</v>
      </c>
      <c r="G236" s="46">
        <f>MATCH(F236*Calc!$R$12,Calc!$K$1:$K$774,1)</f>
        <v>216</v>
      </c>
      <c r="H236" s="46">
        <f>INDEX(Calc!$K$1:$K$774,G236)</f>
        <v>14.7</v>
      </c>
      <c r="I236" s="46">
        <f>H236+Calc!K236</f>
        <v>38.4</v>
      </c>
      <c r="J236" s="46">
        <f>ABS(Show!$A$4-I236)/(Show!$A$4/100)</f>
        <v>4.0000000000000036</v>
      </c>
      <c r="K236" s="45">
        <f>INDEX(Calc!L236:P236,Show!$B$4)</f>
        <v>23.7</v>
      </c>
      <c r="L236" s="46">
        <f t="shared" si="104"/>
        <v>24.9</v>
      </c>
      <c r="M236" s="46">
        <f>L236</f>
        <v>24.9</v>
      </c>
      <c r="N236" s="46">
        <f>L234</f>
        <v>23.7</v>
      </c>
      <c r="O236" s="46">
        <f t="shared" si="105"/>
        <v>27</v>
      </c>
      <c r="P236" s="46">
        <f t="shared" ref="P236" si="143">O226</f>
        <v>22</v>
      </c>
    </row>
    <row r="237" spans="1:16" x14ac:dyDescent="0.25">
      <c r="A237" s="45">
        <f>1/((1/Show!$A$4)-(1/Calc!K237))</f>
        <v>-75.107913669064772</v>
      </c>
      <c r="B237" s="45" t="e">
        <f>MATCH(A237*Calc!$R$12,Calc!$K$1:$K$774,1)</f>
        <v>#N/A</v>
      </c>
      <c r="C237" s="45" t="e">
        <f>INDEX(Calc!$K$1:$K$774,B237)</f>
        <v>#N/A</v>
      </c>
      <c r="D237" s="45" t="e">
        <f>1/(1/C237+1/Calc!K237)</f>
        <v>#N/A</v>
      </c>
      <c r="E237" s="45" t="e">
        <f>ABS(Show!$A$4-D237)/(Show!$A$4/100)</f>
        <v>#N/A</v>
      </c>
      <c r="F237" s="46">
        <f>Show!$A$4-Calc!L237</f>
        <v>14.5</v>
      </c>
      <c r="G237" s="46">
        <f>MATCH(F237*Calc!$R$12,Calc!$K$1:$K$774,1)</f>
        <v>216</v>
      </c>
      <c r="H237" s="46">
        <f>INDEX(Calc!$K$1:$K$774,G237)</f>
        <v>14.7</v>
      </c>
      <c r="I237" s="46">
        <f>H237+Calc!K237</f>
        <v>40.799999999999997</v>
      </c>
      <c r="J237" s="46">
        <f>ABS(Show!$A$4-I237)/(Show!$A$4/100)</f>
        <v>1.9999999999999929</v>
      </c>
      <c r="K237" s="45">
        <f>INDEX(Calc!L237:P237,Show!$B$4)</f>
        <v>26.1</v>
      </c>
      <c r="L237" s="46">
        <f t="shared" si="104"/>
        <v>25.5</v>
      </c>
      <c r="M237" s="46">
        <f>L236</f>
        <v>24.9</v>
      </c>
      <c r="N237" s="46">
        <f>L238</f>
        <v>26.1</v>
      </c>
      <c r="O237" s="46">
        <f t="shared" si="105"/>
        <v>27</v>
      </c>
      <c r="P237" s="46">
        <f t="shared" ref="P237" si="144">O226</f>
        <v>22</v>
      </c>
    </row>
    <row r="238" spans="1:16" x14ac:dyDescent="0.25">
      <c r="A238" s="45">
        <f>1/((1/Show!$A$4)-(1/Calc!K238))</f>
        <v>-75.107913669064772</v>
      </c>
      <c r="B238" s="45" t="e">
        <f>MATCH(A238*Calc!$R$12,Calc!$K$1:$K$774,1)</f>
        <v>#N/A</v>
      </c>
      <c r="C238" s="45" t="e">
        <f>INDEX(Calc!$K$1:$K$774,B238)</f>
        <v>#N/A</v>
      </c>
      <c r="D238" s="45" t="e">
        <f>1/(1/C238+1/Calc!K238)</f>
        <v>#N/A</v>
      </c>
      <c r="E238" s="45" t="e">
        <f>ABS(Show!$A$4-D238)/(Show!$A$4/100)</f>
        <v>#N/A</v>
      </c>
      <c r="F238" s="46">
        <f>Show!$A$4-Calc!L238</f>
        <v>13.899999999999999</v>
      </c>
      <c r="G238" s="46">
        <f>MATCH(F238*Calc!$R$12,Calc!$K$1:$K$774,1)</f>
        <v>212</v>
      </c>
      <c r="H238" s="46">
        <f>INDEX(Calc!$K$1:$K$774,G238)</f>
        <v>13.3</v>
      </c>
      <c r="I238" s="46">
        <f>H238+Calc!K238</f>
        <v>39.400000000000006</v>
      </c>
      <c r="J238" s="46">
        <f>ABS(Show!$A$4-I238)/(Show!$A$4/100)</f>
        <v>1.4999999999999858</v>
      </c>
      <c r="K238" s="45">
        <f>INDEX(Calc!L238:P238,Show!$B$4)</f>
        <v>26.1</v>
      </c>
      <c r="L238" s="46">
        <f t="shared" si="104"/>
        <v>26.1</v>
      </c>
      <c r="M238" s="46">
        <f>L238</f>
        <v>26.1</v>
      </c>
      <c r="N238" s="46">
        <f>L238</f>
        <v>26.1</v>
      </c>
      <c r="O238" s="46">
        <f t="shared" si="105"/>
        <v>27</v>
      </c>
      <c r="P238" s="46">
        <f t="shared" ref="P238" si="145">O242</f>
        <v>33</v>
      </c>
    </row>
    <row r="239" spans="1:16" x14ac:dyDescent="0.25">
      <c r="A239" s="45">
        <f>1/((1/Show!$A$4)-(1/Calc!K239))</f>
        <v>-75.107913669064772</v>
      </c>
      <c r="B239" s="45" t="e">
        <f>MATCH(A239*Calc!$R$12,Calc!$K$1:$K$774,1)</f>
        <v>#N/A</v>
      </c>
      <c r="C239" s="45" t="e">
        <f>INDEX(Calc!$K$1:$K$774,B239)</f>
        <v>#N/A</v>
      </c>
      <c r="D239" s="45" t="e">
        <f>1/(1/C239+1/Calc!K239)</f>
        <v>#N/A</v>
      </c>
      <c r="E239" s="45" t="e">
        <f>ABS(Show!$A$4-D239)/(Show!$A$4/100)</f>
        <v>#N/A</v>
      </c>
      <c r="F239" s="46">
        <f>Show!$A$4-Calc!L239</f>
        <v>13.299999999999997</v>
      </c>
      <c r="G239" s="46">
        <f>MATCH(F239*Calc!$R$12,Calc!$K$1:$K$774,1)</f>
        <v>212</v>
      </c>
      <c r="H239" s="46">
        <f>INDEX(Calc!$K$1:$K$774,G239)</f>
        <v>13.3</v>
      </c>
      <c r="I239" s="46">
        <f>H239+Calc!K239</f>
        <v>39.400000000000006</v>
      </c>
      <c r="J239" s="46">
        <f>ABS(Show!$A$4-I239)/(Show!$A$4/100)</f>
        <v>1.4999999999999858</v>
      </c>
      <c r="K239" s="45">
        <f>INDEX(Calc!L239:P239,Show!$B$4)</f>
        <v>26.1</v>
      </c>
      <c r="L239" s="46">
        <f t="shared" si="104"/>
        <v>26.700000000000003</v>
      </c>
      <c r="M239" s="46">
        <f>L238</f>
        <v>26.1</v>
      </c>
      <c r="N239" s="46">
        <f>L238</f>
        <v>26.1</v>
      </c>
      <c r="O239" s="46">
        <f t="shared" si="105"/>
        <v>27</v>
      </c>
      <c r="P239" s="46">
        <f t="shared" ref="P239" si="146">O242</f>
        <v>33</v>
      </c>
    </row>
    <row r="240" spans="1:16" x14ac:dyDescent="0.25">
      <c r="A240" s="45">
        <f>1/((1/Show!$A$4)-(1/Calc!K240))</f>
        <v>-75.107913669064772</v>
      </c>
      <c r="B240" s="45" t="e">
        <f>MATCH(A240*Calc!$R$12,Calc!$K$1:$K$774,1)</f>
        <v>#N/A</v>
      </c>
      <c r="C240" s="45" t="e">
        <f>INDEX(Calc!$K$1:$K$774,B240)</f>
        <v>#N/A</v>
      </c>
      <c r="D240" s="45" t="e">
        <f>1/(1/C240+1/Calc!K240)</f>
        <v>#N/A</v>
      </c>
      <c r="E240" s="45" t="e">
        <f>ABS(Show!$A$4-D240)/(Show!$A$4/100)</f>
        <v>#N/A</v>
      </c>
      <c r="F240" s="46">
        <f>Show!$A$4-Calc!L240</f>
        <v>12.600000000000005</v>
      </c>
      <c r="G240" s="46">
        <f>MATCH(F240*Calc!$R$12,Calc!$K$1:$K$774,1)</f>
        <v>208</v>
      </c>
      <c r="H240" s="46">
        <f>INDEX(Calc!$K$1:$K$774,G240)</f>
        <v>12.1</v>
      </c>
      <c r="I240" s="46">
        <f>H240+Calc!K240</f>
        <v>38.200000000000003</v>
      </c>
      <c r="J240" s="46">
        <f>ABS(Show!$A$4-I240)/(Show!$A$4/100)</f>
        <v>4.4999999999999929</v>
      </c>
      <c r="K240" s="45">
        <f>INDEX(Calc!L240:P240,Show!$B$4)</f>
        <v>26.1</v>
      </c>
      <c r="L240" s="46">
        <f t="shared" si="104"/>
        <v>27.399999999999995</v>
      </c>
      <c r="M240" s="46">
        <f>L240</f>
        <v>27.399999999999995</v>
      </c>
      <c r="N240" s="46">
        <f>L238</f>
        <v>26.1</v>
      </c>
      <c r="O240" s="46">
        <f t="shared" si="105"/>
        <v>27</v>
      </c>
      <c r="P240" s="46">
        <f t="shared" ref="P240" si="147">O242</f>
        <v>33</v>
      </c>
    </row>
    <row r="241" spans="1:16" x14ac:dyDescent="0.25">
      <c r="A241" s="45">
        <f>1/((1/Show!$A$4)-(1/Calc!K241))</f>
        <v>-101.59292035398234</v>
      </c>
      <c r="B241" s="45" t="e">
        <f>MATCH(A241*Calc!$R$12,Calc!$K$1:$K$774,1)</f>
        <v>#N/A</v>
      </c>
      <c r="C241" s="45" t="e">
        <f>INDEX(Calc!$K$1:$K$774,B241)</f>
        <v>#N/A</v>
      </c>
      <c r="D241" s="45" t="e">
        <f>1/(1/C241+1/Calc!K241)</f>
        <v>#N/A</v>
      </c>
      <c r="E241" s="45" t="e">
        <f>ABS(Show!$A$4-D241)/(Show!$A$4/100)</f>
        <v>#N/A</v>
      </c>
      <c r="F241" s="46">
        <f>Show!$A$4-Calc!L241</f>
        <v>11.999999999999996</v>
      </c>
      <c r="G241" s="46">
        <f>MATCH(F241*Calc!$R$12,Calc!$K$1:$K$774,1)</f>
        <v>208</v>
      </c>
      <c r="H241" s="46">
        <f>INDEX(Calc!$K$1:$K$774,G241)</f>
        <v>12.1</v>
      </c>
      <c r="I241" s="46">
        <f>H241+Calc!K241</f>
        <v>40.799999999999997</v>
      </c>
      <c r="J241" s="46">
        <f>ABS(Show!$A$4-I241)/(Show!$A$4/100)</f>
        <v>1.9999999999999929</v>
      </c>
      <c r="K241" s="45">
        <f>INDEX(Calc!L241:P241,Show!$B$4)</f>
        <v>28.7</v>
      </c>
      <c r="L241" s="46">
        <f t="shared" si="104"/>
        <v>28.000000000000004</v>
      </c>
      <c r="M241" s="46">
        <f>L240</f>
        <v>27.399999999999995</v>
      </c>
      <c r="N241" s="46">
        <f>L242</f>
        <v>28.7</v>
      </c>
      <c r="O241" s="46">
        <f t="shared" si="105"/>
        <v>27</v>
      </c>
      <c r="P241" s="46">
        <f t="shared" ref="P241" si="148">O242</f>
        <v>33</v>
      </c>
    </row>
    <row r="242" spans="1:16" x14ac:dyDescent="0.25">
      <c r="A242" s="45">
        <f>1/((1/Show!$A$4)-(1/Calc!K242))</f>
        <v>-101.59292035398234</v>
      </c>
      <c r="B242" s="45" t="e">
        <f>MATCH(A242*Calc!$R$12,Calc!$K$1:$K$774,1)</f>
        <v>#N/A</v>
      </c>
      <c r="C242" s="45" t="e">
        <f>INDEX(Calc!$K$1:$K$774,B242)</f>
        <v>#N/A</v>
      </c>
      <c r="D242" s="45" t="e">
        <f>1/(1/C242+1/Calc!K242)</f>
        <v>#N/A</v>
      </c>
      <c r="E242" s="45" t="e">
        <f>ABS(Show!$A$4-D242)/(Show!$A$4/100)</f>
        <v>#N/A</v>
      </c>
      <c r="F242" s="46">
        <f>Show!$A$4-Calc!L242</f>
        <v>11.3</v>
      </c>
      <c r="G242" s="46">
        <f>MATCH(F242*Calc!$R$12,Calc!$K$1:$K$774,1)</f>
        <v>204</v>
      </c>
      <c r="H242" s="46">
        <f>INDEX(Calc!$K$1:$K$774,G242)</f>
        <v>11</v>
      </c>
      <c r="I242" s="46">
        <f>H242+Calc!K242</f>
        <v>39.700000000000003</v>
      </c>
      <c r="J242" s="46">
        <f>ABS(Show!$A$4-I242)/(Show!$A$4/100)</f>
        <v>0.74999999999999289</v>
      </c>
      <c r="K242" s="45">
        <f>INDEX(Calc!L242:P242,Show!$B$4)</f>
        <v>28.7</v>
      </c>
      <c r="L242" s="46">
        <f t="shared" si="104"/>
        <v>28.7</v>
      </c>
      <c r="M242" s="46">
        <f>L242</f>
        <v>28.7</v>
      </c>
      <c r="N242" s="46">
        <f>L242</f>
        <v>28.7</v>
      </c>
      <c r="O242" s="46">
        <f t="shared" si="105"/>
        <v>33</v>
      </c>
      <c r="P242" s="46">
        <f t="shared" ref="P242" si="149">O242</f>
        <v>33</v>
      </c>
    </row>
    <row r="243" spans="1:16" x14ac:dyDescent="0.25">
      <c r="A243" s="45">
        <f>1/((1/Show!$A$4)-(1/Calc!K243))</f>
        <v>-101.59292035398234</v>
      </c>
      <c r="B243" s="45" t="e">
        <f>MATCH(A243*Calc!$R$12,Calc!$K$1:$K$774,1)</f>
        <v>#N/A</v>
      </c>
      <c r="C243" s="45" t="e">
        <f>INDEX(Calc!$K$1:$K$774,B243)</f>
        <v>#N/A</v>
      </c>
      <c r="D243" s="45" t="e">
        <f>1/(1/C243+1/Calc!K243)</f>
        <v>#N/A</v>
      </c>
      <c r="E243" s="45" t="e">
        <f>ABS(Show!$A$4-D243)/(Show!$A$4/100)</f>
        <v>#N/A</v>
      </c>
      <c r="F243" s="46">
        <f>Show!$A$4-Calc!L243</f>
        <v>10.600000000000001</v>
      </c>
      <c r="G243" s="46">
        <f>MATCH(F243*Calc!$R$12,Calc!$K$1:$K$774,1)</f>
        <v>204</v>
      </c>
      <c r="H243" s="46">
        <f>INDEX(Calc!$K$1:$K$774,G243)</f>
        <v>11</v>
      </c>
      <c r="I243" s="46">
        <f>H243+Calc!K243</f>
        <v>39.700000000000003</v>
      </c>
      <c r="J243" s="46">
        <f>ABS(Show!$A$4-I243)/(Show!$A$4/100)</f>
        <v>0.74999999999999289</v>
      </c>
      <c r="K243" s="45">
        <f>INDEX(Calc!L243:P243,Show!$B$4)</f>
        <v>28.7</v>
      </c>
      <c r="L243" s="46">
        <f t="shared" si="104"/>
        <v>29.4</v>
      </c>
      <c r="M243" s="46">
        <f>L242</f>
        <v>28.7</v>
      </c>
      <c r="N243" s="46">
        <f>L242</f>
        <v>28.7</v>
      </c>
      <c r="O243" s="46">
        <f t="shared" si="105"/>
        <v>33</v>
      </c>
      <c r="P243" s="46">
        <f t="shared" ref="P243" si="150">O242</f>
        <v>33</v>
      </c>
    </row>
    <row r="244" spans="1:16" x14ac:dyDescent="0.25">
      <c r="A244" s="45">
        <f>1/((1/Show!$A$4)-(1/Calc!K244))</f>
        <v>-101.59292035398234</v>
      </c>
      <c r="B244" s="45" t="e">
        <f>MATCH(A244*Calc!$R$12,Calc!$K$1:$K$774,1)</f>
        <v>#N/A</v>
      </c>
      <c r="C244" s="45" t="e">
        <f>INDEX(Calc!$K$1:$K$774,B244)</f>
        <v>#N/A</v>
      </c>
      <c r="D244" s="45" t="e">
        <f>1/(1/C244+1/Calc!K244)</f>
        <v>#N/A</v>
      </c>
      <c r="E244" s="45" t="e">
        <f>ABS(Show!$A$4-D244)/(Show!$A$4/100)</f>
        <v>#N/A</v>
      </c>
      <c r="F244" s="46">
        <f>Show!$A$4-Calc!L244</f>
        <v>9.9000000000000021</v>
      </c>
      <c r="G244" s="46">
        <f>MATCH(F244*Calc!$R$12,Calc!$K$1:$K$774,1)</f>
        <v>200</v>
      </c>
      <c r="H244" s="46">
        <f>INDEX(Calc!$K$1:$K$774,G244)</f>
        <v>10</v>
      </c>
      <c r="I244" s="46">
        <f>H244+Calc!K244</f>
        <v>38.700000000000003</v>
      </c>
      <c r="J244" s="46">
        <f>ABS(Show!$A$4-I244)/(Show!$A$4/100)</f>
        <v>3.2499999999999929</v>
      </c>
      <c r="K244" s="45">
        <f>INDEX(Calc!L244:P244,Show!$B$4)</f>
        <v>28.7</v>
      </c>
      <c r="L244" s="46">
        <f t="shared" si="104"/>
        <v>30.099999999999998</v>
      </c>
      <c r="M244" s="46">
        <f>L244</f>
        <v>30.099999999999998</v>
      </c>
      <c r="N244" s="46">
        <f>L242</f>
        <v>28.7</v>
      </c>
      <c r="O244" s="46">
        <f t="shared" si="105"/>
        <v>33</v>
      </c>
      <c r="P244" s="46">
        <f t="shared" ref="P244" si="151">O242</f>
        <v>33</v>
      </c>
    </row>
    <row r="245" spans="1:16" x14ac:dyDescent="0.25">
      <c r="A245" s="45">
        <f>1/((1/Show!$A$4)-(1/Calc!K245))</f>
        <v>-150.47619047619062</v>
      </c>
      <c r="B245" s="45" t="e">
        <f>MATCH(A245*Calc!$R$12,Calc!$K$1:$K$774,1)</f>
        <v>#N/A</v>
      </c>
      <c r="C245" s="45" t="e">
        <f>INDEX(Calc!$K$1:$K$774,B245)</f>
        <v>#N/A</v>
      </c>
      <c r="D245" s="45" t="e">
        <f>1/(1/C245+1/Calc!K245)</f>
        <v>#N/A</v>
      </c>
      <c r="E245" s="45" t="e">
        <f>ABS(Show!$A$4-D245)/(Show!$A$4/100)</f>
        <v>#N/A</v>
      </c>
      <c r="F245" s="46">
        <f>Show!$A$4-Calc!L245</f>
        <v>9.1000000000000014</v>
      </c>
      <c r="G245" s="46">
        <f>MATCH(F245*Calc!$R$12,Calc!$K$1:$K$774,1)</f>
        <v>196</v>
      </c>
      <c r="H245" s="46">
        <f>INDEX(Calc!$K$1:$K$774,G245)</f>
        <v>9.09</v>
      </c>
      <c r="I245" s="46">
        <f>H245+Calc!K245</f>
        <v>40.69</v>
      </c>
      <c r="J245" s="46">
        <f>ABS(Show!$A$4-I245)/(Show!$A$4/100)</f>
        <v>1.7249999999999943</v>
      </c>
      <c r="K245" s="45">
        <f>INDEX(Calc!L245:P245,Show!$B$4)</f>
        <v>31.6</v>
      </c>
      <c r="L245" s="46">
        <f t="shared" si="104"/>
        <v>30.9</v>
      </c>
      <c r="M245" s="46">
        <f>L244</f>
        <v>30.099999999999998</v>
      </c>
      <c r="N245" s="46">
        <f>L246</f>
        <v>31.6</v>
      </c>
      <c r="O245" s="46">
        <f t="shared" si="105"/>
        <v>33</v>
      </c>
      <c r="P245" s="46">
        <f t="shared" ref="P245" si="152">O242</f>
        <v>33</v>
      </c>
    </row>
    <row r="246" spans="1:16" x14ac:dyDescent="0.25">
      <c r="A246" s="45">
        <f>1/((1/Show!$A$4)-(1/Calc!K246))</f>
        <v>-150.47619047619062</v>
      </c>
      <c r="B246" s="45" t="e">
        <f>MATCH(A246*Calc!$R$12,Calc!$K$1:$K$774,1)</f>
        <v>#N/A</v>
      </c>
      <c r="C246" s="45" t="e">
        <f>INDEX(Calc!$K$1:$K$774,B246)</f>
        <v>#N/A</v>
      </c>
      <c r="D246" s="45" t="e">
        <f>1/(1/C246+1/Calc!K246)</f>
        <v>#N/A</v>
      </c>
      <c r="E246" s="45" t="e">
        <f>ABS(Show!$A$4-D246)/(Show!$A$4/100)</f>
        <v>#N/A</v>
      </c>
      <c r="F246" s="46">
        <f>Show!$A$4-Calc!L246</f>
        <v>8.3999999999999986</v>
      </c>
      <c r="G246" s="46">
        <f>MATCH(F246*Calc!$R$12,Calc!$K$1:$K$774,1)</f>
        <v>192</v>
      </c>
      <c r="H246" s="46">
        <f>INDEX(Calc!$K$1:$K$774,G246)</f>
        <v>8.25</v>
      </c>
      <c r="I246" s="46">
        <f>H246+Calc!K246</f>
        <v>39.85</v>
      </c>
      <c r="J246" s="46">
        <f>ABS(Show!$A$4-I246)/(Show!$A$4/100)</f>
        <v>0.37499999999999645</v>
      </c>
      <c r="K246" s="45">
        <f>INDEX(Calc!L246:P246,Show!$B$4)</f>
        <v>31.6</v>
      </c>
      <c r="L246" s="46">
        <f t="shared" si="104"/>
        <v>31.6</v>
      </c>
      <c r="M246" s="46">
        <f>L246</f>
        <v>31.6</v>
      </c>
      <c r="N246" s="46">
        <f>L246</f>
        <v>31.6</v>
      </c>
      <c r="O246" s="46">
        <f t="shared" si="105"/>
        <v>33</v>
      </c>
      <c r="P246" s="46">
        <f t="shared" ref="P246" si="153">O242</f>
        <v>33</v>
      </c>
    </row>
    <row r="247" spans="1:16" x14ac:dyDescent="0.25">
      <c r="A247" s="45">
        <f>1/((1/Show!$A$4)-(1/Calc!K247))</f>
        <v>-150.47619047619062</v>
      </c>
      <c r="B247" s="45" t="e">
        <f>MATCH(A247*Calc!$R$12,Calc!$K$1:$K$774,1)</f>
        <v>#N/A</v>
      </c>
      <c r="C247" s="45" t="e">
        <f>INDEX(Calc!$K$1:$K$774,B247)</f>
        <v>#N/A</v>
      </c>
      <c r="D247" s="45" t="e">
        <f>1/(1/C247+1/Calc!K247)</f>
        <v>#N/A</v>
      </c>
      <c r="E247" s="45" t="e">
        <f>ABS(Show!$A$4-D247)/(Show!$A$4/100)</f>
        <v>#N/A</v>
      </c>
      <c r="F247" s="46">
        <f>Show!$A$4-Calc!L247</f>
        <v>7.6000000000000014</v>
      </c>
      <c r="G247" s="46">
        <f>MATCH(F247*Calc!$R$12,Calc!$K$1:$K$774,1)</f>
        <v>188</v>
      </c>
      <c r="H247" s="46">
        <f>INDEX(Calc!$K$1:$K$774,G247)</f>
        <v>7.5</v>
      </c>
      <c r="I247" s="46">
        <f>H247+Calc!K247</f>
        <v>39.1</v>
      </c>
      <c r="J247" s="46">
        <f>ABS(Show!$A$4-I247)/(Show!$A$4/100)</f>
        <v>2.2499999999999964</v>
      </c>
      <c r="K247" s="45">
        <f>INDEX(Calc!L247:P247,Show!$B$4)</f>
        <v>31.6</v>
      </c>
      <c r="L247" s="46">
        <f t="shared" si="104"/>
        <v>32.4</v>
      </c>
      <c r="M247" s="46">
        <f>L246</f>
        <v>31.6</v>
      </c>
      <c r="N247" s="46">
        <f>L246</f>
        <v>31.6</v>
      </c>
      <c r="O247" s="46">
        <f t="shared" si="105"/>
        <v>33</v>
      </c>
      <c r="P247" s="46">
        <f t="shared" ref="P247" si="154">O242</f>
        <v>33</v>
      </c>
    </row>
    <row r="248" spans="1:16" x14ac:dyDescent="0.25">
      <c r="A248" s="45">
        <f>1/((1/Show!$A$4)-(1/Calc!K248))</f>
        <v>-150.47619047619062</v>
      </c>
      <c r="B248" s="45" t="e">
        <f>MATCH(A248*Calc!$R$12,Calc!$K$1:$K$774,1)</f>
        <v>#N/A</v>
      </c>
      <c r="C248" s="45" t="e">
        <f>INDEX(Calc!$K$1:$K$774,B248)</f>
        <v>#N/A</v>
      </c>
      <c r="D248" s="45" t="e">
        <f>1/(1/C248+1/Calc!K248)</f>
        <v>#N/A</v>
      </c>
      <c r="E248" s="45" t="e">
        <f>ABS(Show!$A$4-D248)/(Show!$A$4/100)</f>
        <v>#N/A</v>
      </c>
      <c r="F248" s="46">
        <f>Show!$A$4-Calc!L248</f>
        <v>6.7999999999999972</v>
      </c>
      <c r="G248" s="46">
        <f>MATCH(F248*Calc!$R$12,Calc!$K$1:$K$774,1)</f>
        <v>184</v>
      </c>
      <c r="H248" s="46">
        <f>INDEX(Calc!$K$1:$K$774,G248)</f>
        <v>6.81</v>
      </c>
      <c r="I248" s="46">
        <f>H248+Calc!K248</f>
        <v>38.410000000000004</v>
      </c>
      <c r="J248" s="46">
        <f>ABS(Show!$A$4-I248)/(Show!$A$4/100)</f>
        <v>3.9749999999999908</v>
      </c>
      <c r="K248" s="45">
        <f>INDEX(Calc!L248:P248,Show!$B$4)</f>
        <v>31.6</v>
      </c>
      <c r="L248" s="46">
        <f t="shared" si="104"/>
        <v>33.200000000000003</v>
      </c>
      <c r="M248" s="46">
        <f>L248</f>
        <v>33.200000000000003</v>
      </c>
      <c r="N248" s="46">
        <f>L246</f>
        <v>31.6</v>
      </c>
      <c r="O248" s="46">
        <f t="shared" si="105"/>
        <v>33</v>
      </c>
      <c r="P248" s="46">
        <f t="shared" ref="P248" si="155">O242</f>
        <v>33</v>
      </c>
    </row>
    <row r="249" spans="1:16" x14ac:dyDescent="0.25">
      <c r="A249" s="45">
        <f>1/((1/Show!$A$4)-(1/Calc!K249))</f>
        <v>-267.69230769230757</v>
      </c>
      <c r="B249" s="45" t="e">
        <f>MATCH(A249*Calc!$R$12,Calc!$K$1:$K$774,1)</f>
        <v>#N/A</v>
      </c>
      <c r="C249" s="45" t="e">
        <f>INDEX(Calc!$K$1:$K$774,B249)</f>
        <v>#N/A</v>
      </c>
      <c r="D249" s="45" t="e">
        <f>1/(1/C249+1/Calc!K249)</f>
        <v>#N/A</v>
      </c>
      <c r="E249" s="45" t="e">
        <f>ABS(Show!$A$4-D249)/(Show!$A$4/100)</f>
        <v>#N/A</v>
      </c>
      <c r="F249" s="46">
        <f>Show!$A$4-Calc!L249</f>
        <v>6</v>
      </c>
      <c r="G249" s="46">
        <f>MATCH(F249*Calc!$R$12,Calc!$K$1:$K$774,1)</f>
        <v>180</v>
      </c>
      <c r="H249" s="46">
        <f>INDEX(Calc!$K$1:$K$774,G249)</f>
        <v>6.1899999999999995</v>
      </c>
      <c r="I249" s="46">
        <f>H249+Calc!K249</f>
        <v>40.989999999999995</v>
      </c>
      <c r="J249" s="46">
        <f>ABS(Show!$A$4-I249)/(Show!$A$4/100)</f>
        <v>2.4749999999999872</v>
      </c>
      <c r="K249" s="45">
        <f>INDEX(Calc!L249:P249,Show!$B$4)</f>
        <v>34.799999999999997</v>
      </c>
      <c r="L249" s="46">
        <f t="shared" si="104"/>
        <v>34</v>
      </c>
      <c r="M249" s="46">
        <f>L248</f>
        <v>33.200000000000003</v>
      </c>
      <c r="N249" s="46">
        <f>L250</f>
        <v>34.799999999999997</v>
      </c>
      <c r="O249" s="46">
        <f t="shared" si="105"/>
        <v>33</v>
      </c>
      <c r="P249" s="46">
        <f t="shared" ref="P249" si="156">O242</f>
        <v>33</v>
      </c>
    </row>
    <row r="250" spans="1:16" x14ac:dyDescent="0.25">
      <c r="A250" s="45">
        <f>1/((1/Show!$A$4)-(1/Calc!K250))</f>
        <v>-267.69230769230757</v>
      </c>
      <c r="B250" s="45" t="e">
        <f>MATCH(A250*Calc!$R$12,Calc!$K$1:$K$774,1)</f>
        <v>#N/A</v>
      </c>
      <c r="C250" s="45" t="e">
        <f>INDEX(Calc!$K$1:$K$774,B250)</f>
        <v>#N/A</v>
      </c>
      <c r="D250" s="45" t="e">
        <f>1/(1/C250+1/Calc!K250)</f>
        <v>#N/A</v>
      </c>
      <c r="E250" s="45" t="e">
        <f>ABS(Show!$A$4-D250)/(Show!$A$4/100)</f>
        <v>#N/A</v>
      </c>
      <c r="F250" s="46">
        <f>Show!$A$4-Calc!L250</f>
        <v>5.2000000000000028</v>
      </c>
      <c r="G250" s="46">
        <f>MATCH(F250*Calc!$R$12,Calc!$K$1:$K$774,1)</f>
        <v>172</v>
      </c>
      <c r="H250" s="46">
        <f>INDEX(Calc!$K$1:$K$774,G250)</f>
        <v>5.1100000000000003</v>
      </c>
      <c r="I250" s="46">
        <f>H250+Calc!K250</f>
        <v>39.909999999999997</v>
      </c>
      <c r="J250" s="46">
        <f>ABS(Show!$A$4-I250)/(Show!$A$4/100)</f>
        <v>0.22500000000000853</v>
      </c>
      <c r="K250" s="45">
        <f>INDEX(Calc!L250:P250,Show!$B$4)</f>
        <v>34.799999999999997</v>
      </c>
      <c r="L250" s="46">
        <f t="shared" si="104"/>
        <v>34.799999999999997</v>
      </c>
      <c r="M250" s="46">
        <f>L250</f>
        <v>34.799999999999997</v>
      </c>
      <c r="N250" s="46">
        <f>L250</f>
        <v>34.799999999999997</v>
      </c>
      <c r="O250" s="46">
        <f t="shared" si="105"/>
        <v>39</v>
      </c>
      <c r="P250" s="46">
        <f t="shared" ref="P250" si="157">O242</f>
        <v>33</v>
      </c>
    </row>
    <row r="251" spans="1:16" x14ac:dyDescent="0.25">
      <c r="A251" s="45">
        <f>1/((1/Show!$A$4)-(1/Calc!K251))</f>
        <v>-267.69230769230757</v>
      </c>
      <c r="B251" s="45" t="e">
        <f>MATCH(A251*Calc!$R$12,Calc!$K$1:$K$774,1)</f>
        <v>#N/A</v>
      </c>
      <c r="C251" s="45" t="e">
        <f>INDEX(Calc!$K$1:$K$774,B251)</f>
        <v>#N/A</v>
      </c>
      <c r="D251" s="45" t="e">
        <f>1/(1/C251+1/Calc!K251)</f>
        <v>#N/A</v>
      </c>
      <c r="E251" s="45" t="e">
        <f>ABS(Show!$A$4-D251)/(Show!$A$4/100)</f>
        <v>#N/A</v>
      </c>
      <c r="F251" s="46">
        <f>Show!$A$4-Calc!L251</f>
        <v>4.2999999999999972</v>
      </c>
      <c r="G251" s="46">
        <f>MATCH(F251*Calc!$R$12,Calc!$K$1:$K$774,1)</f>
        <v>164</v>
      </c>
      <c r="H251" s="46">
        <f>INDEX(Calc!$K$1:$K$774,G251)</f>
        <v>4.2200000000000006</v>
      </c>
      <c r="I251" s="46">
        <f>H251+Calc!K251</f>
        <v>39.019999999999996</v>
      </c>
      <c r="J251" s="46">
        <f>ABS(Show!$A$4-I251)/(Show!$A$4/100)</f>
        <v>2.4500000000000099</v>
      </c>
      <c r="K251" s="45">
        <f>INDEX(Calc!L251:P251,Show!$B$4)</f>
        <v>34.799999999999997</v>
      </c>
      <c r="L251" s="46">
        <f t="shared" si="104"/>
        <v>35.700000000000003</v>
      </c>
      <c r="M251" s="46">
        <f>L250</f>
        <v>34.799999999999997</v>
      </c>
      <c r="N251" s="46">
        <f>L250</f>
        <v>34.799999999999997</v>
      </c>
      <c r="O251" s="46">
        <f t="shared" si="105"/>
        <v>39</v>
      </c>
      <c r="P251" s="46">
        <f t="shared" ref="P251" si="158">O242</f>
        <v>33</v>
      </c>
    </row>
    <row r="252" spans="1:16" x14ac:dyDescent="0.25">
      <c r="A252" s="45">
        <f>1/((1/Show!$A$4)-(1/Calc!K252))</f>
        <v>-267.69230769230757</v>
      </c>
      <c r="B252" s="45" t="e">
        <f>MATCH(A252*Calc!$R$12,Calc!$K$1:$K$774,1)</f>
        <v>#N/A</v>
      </c>
      <c r="C252" s="45" t="e">
        <f>INDEX(Calc!$K$1:$K$774,B252)</f>
        <v>#N/A</v>
      </c>
      <c r="D252" s="45" t="e">
        <f>1/(1/C252+1/Calc!K252)</f>
        <v>#N/A</v>
      </c>
      <c r="E252" s="45" t="e">
        <f>ABS(Show!$A$4-D252)/(Show!$A$4/100)</f>
        <v>#N/A</v>
      </c>
      <c r="F252" s="46">
        <f>Show!$A$4-Calc!L252</f>
        <v>3.5</v>
      </c>
      <c r="G252" s="46">
        <f>MATCH(F252*Calc!$R$12,Calc!$K$1:$K$774,1)</f>
        <v>156</v>
      </c>
      <c r="H252" s="46">
        <f>INDEX(Calc!$K$1:$K$774,G252)</f>
        <v>3.4799999999999995</v>
      </c>
      <c r="I252" s="46">
        <f>H252+Calc!K252</f>
        <v>38.279999999999994</v>
      </c>
      <c r="J252" s="46">
        <f>ABS(Show!$A$4-I252)/(Show!$A$4/100)</f>
        <v>4.3000000000000149</v>
      </c>
      <c r="K252" s="45">
        <f>INDEX(Calc!L252:P252,Show!$B$4)</f>
        <v>34.799999999999997</v>
      </c>
      <c r="L252" s="46">
        <f t="shared" si="104"/>
        <v>36.5</v>
      </c>
      <c r="M252" s="46">
        <f>L252</f>
        <v>36.5</v>
      </c>
      <c r="N252" s="46">
        <f>L250</f>
        <v>34.799999999999997</v>
      </c>
      <c r="O252" s="46">
        <f t="shared" si="105"/>
        <v>39</v>
      </c>
      <c r="P252" s="46">
        <f t="shared" ref="P252" si="159">O242</f>
        <v>33</v>
      </c>
    </row>
    <row r="253" spans="1:16" x14ac:dyDescent="0.25">
      <c r="A253" s="45">
        <f>1/((1/Show!$A$4)-(1/Calc!K253))</f>
        <v>-901.17647058823479</v>
      </c>
      <c r="B253" s="45" t="e">
        <f>MATCH(A253*Calc!$R$12,Calc!$K$1:$K$774,1)</f>
        <v>#N/A</v>
      </c>
      <c r="C253" s="45" t="e">
        <f>INDEX(Calc!$K$1:$K$774,B253)</f>
        <v>#N/A</v>
      </c>
      <c r="D253" s="45" t="e">
        <f>1/(1/C253+1/Calc!K253)</f>
        <v>#N/A</v>
      </c>
      <c r="E253" s="45" t="e">
        <f>ABS(Show!$A$4-D253)/(Show!$A$4/100)</f>
        <v>#N/A</v>
      </c>
      <c r="F253" s="46">
        <f>Show!$A$4-Calc!L253</f>
        <v>2.6000000000000014</v>
      </c>
      <c r="G253" s="46">
        <f>MATCH(F253*Calc!$R$12,Calc!$K$1:$K$774,1)</f>
        <v>144</v>
      </c>
      <c r="H253" s="46">
        <f>INDEX(Calc!$K$1:$K$774,G253)</f>
        <v>2.6100000000000003</v>
      </c>
      <c r="I253" s="46">
        <f>H253+Calc!K253</f>
        <v>40.909999999999997</v>
      </c>
      <c r="J253" s="46">
        <f>ABS(Show!$A$4-I253)/(Show!$A$4/100)</f>
        <v>2.2749999999999915</v>
      </c>
      <c r="K253" s="45">
        <f>INDEX(Calc!L253:P253,Show!$B$4)</f>
        <v>38.299999999999997</v>
      </c>
      <c r="L253" s="46">
        <f t="shared" si="104"/>
        <v>37.4</v>
      </c>
      <c r="M253" s="46">
        <f>L252</f>
        <v>36.5</v>
      </c>
      <c r="N253" s="46">
        <f>L254</f>
        <v>38.299999999999997</v>
      </c>
      <c r="O253" s="46">
        <f t="shared" si="105"/>
        <v>39</v>
      </c>
      <c r="P253" s="46">
        <f t="shared" ref="P253" si="160">O242</f>
        <v>33</v>
      </c>
    </row>
    <row r="254" spans="1:16" x14ac:dyDescent="0.25">
      <c r="A254" s="45">
        <f>1/((1/Show!$A$4)-(1/Calc!K254))</f>
        <v>-901.17647058823479</v>
      </c>
      <c r="B254" s="45" t="e">
        <f>MATCH(A254*Calc!$R$12,Calc!$K$1:$K$774,1)</f>
        <v>#N/A</v>
      </c>
      <c r="C254" s="45" t="e">
        <f>INDEX(Calc!$K$1:$K$774,B254)</f>
        <v>#N/A</v>
      </c>
      <c r="D254" s="45" t="e">
        <f>1/(1/C254+1/Calc!K254)</f>
        <v>#N/A</v>
      </c>
      <c r="E254" s="45" t="e">
        <f>ABS(Show!$A$4-D254)/(Show!$A$4/100)</f>
        <v>#N/A</v>
      </c>
      <c r="F254" s="46">
        <f>Show!$A$4-Calc!L254</f>
        <v>1.7000000000000028</v>
      </c>
      <c r="G254" s="46">
        <f>MATCH(F254*Calc!$R$12,Calc!$K$1:$K$774,1)</f>
        <v>128</v>
      </c>
      <c r="H254" s="46">
        <f>INDEX(Calc!$K$1:$K$774,G254)</f>
        <v>1.7800000000000002</v>
      </c>
      <c r="I254" s="46">
        <f>H254+Calc!K254</f>
        <v>40.08</v>
      </c>
      <c r="J254" s="46">
        <f>ABS(Show!$A$4-I254)/(Show!$A$4/100)</f>
        <v>0.19999999999999574</v>
      </c>
      <c r="K254" s="45">
        <f>INDEX(Calc!L254:P254,Show!$B$4)</f>
        <v>38.299999999999997</v>
      </c>
      <c r="L254" s="46">
        <f t="shared" si="104"/>
        <v>38.299999999999997</v>
      </c>
      <c r="M254" s="46">
        <f>L254</f>
        <v>38.299999999999997</v>
      </c>
      <c r="N254" s="46">
        <f>L254</f>
        <v>38.299999999999997</v>
      </c>
      <c r="O254" s="46">
        <f t="shared" si="105"/>
        <v>39</v>
      </c>
      <c r="P254" s="46">
        <f t="shared" ref="P254" si="161">O258</f>
        <v>47</v>
      </c>
    </row>
    <row r="255" spans="1:16" x14ac:dyDescent="0.25">
      <c r="A255" s="45">
        <f>1/((1/Show!$A$4)-(1/Calc!K255))</f>
        <v>-901.17647058823479</v>
      </c>
      <c r="B255" s="45" t="e">
        <f>MATCH(A255*Calc!$R$12,Calc!$K$1:$K$774,1)</f>
        <v>#N/A</v>
      </c>
      <c r="C255" s="45" t="e">
        <f>INDEX(Calc!$K$1:$K$774,B255)</f>
        <v>#N/A</v>
      </c>
      <c r="D255" s="45" t="e">
        <f>1/(1/C255+1/Calc!K255)</f>
        <v>#N/A</v>
      </c>
      <c r="E255" s="45" t="e">
        <f>ABS(Show!$A$4-D255)/(Show!$A$4/100)</f>
        <v>#N/A</v>
      </c>
      <c r="F255" s="46">
        <f>Show!$A$4-Calc!L255</f>
        <v>0.79999999999999716</v>
      </c>
      <c r="G255" s="46">
        <f>MATCH(F255*Calc!$R$12,Calc!$K$1:$K$774,1)</f>
        <v>96</v>
      </c>
      <c r="H255" s="46">
        <f>INDEX(Calc!$K$1:$K$774,G255)</f>
        <v>0.82499999999999996</v>
      </c>
      <c r="I255" s="46">
        <f>H255+Calc!K255</f>
        <v>39.125</v>
      </c>
      <c r="J255" s="46">
        <f>ABS(Show!$A$4-I255)/(Show!$A$4/100)</f>
        <v>2.1875</v>
      </c>
      <c r="K255" s="45">
        <f>INDEX(Calc!L255:P255,Show!$B$4)</f>
        <v>38.299999999999997</v>
      </c>
      <c r="L255" s="46">
        <f t="shared" si="104"/>
        <v>39.200000000000003</v>
      </c>
      <c r="M255" s="46">
        <f>L254</f>
        <v>38.299999999999997</v>
      </c>
      <c r="N255" s="46">
        <f>L254</f>
        <v>38.299999999999997</v>
      </c>
      <c r="O255" s="46">
        <f t="shared" si="105"/>
        <v>39</v>
      </c>
      <c r="P255" s="46">
        <f t="shared" ref="P255" si="162">O258</f>
        <v>47</v>
      </c>
    </row>
    <row r="256" spans="1:16" x14ac:dyDescent="0.25">
      <c r="A256" s="45">
        <f>1/((1/Show!$A$4)-(1/Calc!K256))</f>
        <v>-901.17647058823479</v>
      </c>
      <c r="B256" s="45" t="e">
        <f>MATCH(A256*Calc!$R$12,Calc!$K$1:$K$774,1)</f>
        <v>#N/A</v>
      </c>
      <c r="C256" s="45" t="e">
        <f>INDEX(Calc!$K$1:$K$774,B256)</f>
        <v>#N/A</v>
      </c>
      <c r="D256" s="45" t="e">
        <f>1/(1/C256+1/Calc!K256)</f>
        <v>#N/A</v>
      </c>
      <c r="E256" s="45" t="e">
        <f>ABS(Show!$A$4-D256)/(Show!$A$4/100)</f>
        <v>#N/A</v>
      </c>
      <c r="F256" s="46">
        <f>Show!$A$4-Calc!L256</f>
        <v>-0.20000000000000284</v>
      </c>
      <c r="G256" s="46" t="e">
        <f>MATCH(F256*Calc!$R$12,Calc!$K$1:$K$774,1)</f>
        <v>#N/A</v>
      </c>
      <c r="H256" s="46" t="e">
        <f>INDEX(Calc!$K$1:$K$774,G256)</f>
        <v>#N/A</v>
      </c>
      <c r="I256" s="46" t="e">
        <f>H256+Calc!K256</f>
        <v>#N/A</v>
      </c>
      <c r="J256" s="46" t="e">
        <f>ABS(Show!$A$4-I256)/(Show!$A$4/100)</f>
        <v>#N/A</v>
      </c>
      <c r="K256" s="45">
        <f>INDEX(Calc!L256:P256,Show!$B$4)</f>
        <v>38.299999999999997</v>
      </c>
      <c r="L256" s="46">
        <f t="shared" si="104"/>
        <v>40.200000000000003</v>
      </c>
      <c r="M256" s="46">
        <f>L256</f>
        <v>40.200000000000003</v>
      </c>
      <c r="N256" s="46">
        <f>L254</f>
        <v>38.299999999999997</v>
      </c>
      <c r="O256" s="46">
        <f t="shared" si="105"/>
        <v>39</v>
      </c>
      <c r="P256" s="46">
        <f t="shared" ref="P256" si="163">O258</f>
        <v>47</v>
      </c>
    </row>
    <row r="257" spans="1:16" x14ac:dyDescent="0.25">
      <c r="A257" s="45">
        <f>1/((1/Show!$A$4)-(1/Calc!K257))</f>
        <v>767.27272727272543</v>
      </c>
      <c r="B257" s="45">
        <f>MATCH(A257*Calc!$R$12,Calc!$K$1:$K$774,1)</f>
        <v>380</v>
      </c>
      <c r="C257" s="45">
        <f>INDEX(Calc!$K$1:$K$774,B257)</f>
        <v>750</v>
      </c>
      <c r="D257" s="45">
        <f>1/(1/C257+1/Calc!K257)</f>
        <v>39.952032315071953</v>
      </c>
      <c r="E257" s="45">
        <f>ABS(Show!$A$4-D257)/(Show!$A$4/100)</f>
        <v>0.11991921232011649</v>
      </c>
      <c r="F257" s="46">
        <f>Show!$A$4-Calc!L257</f>
        <v>-1.2000000000000028</v>
      </c>
      <c r="G257" s="46" t="e">
        <f>MATCH(F257*Calc!$R$12,Calc!$K$1:$K$774,1)</f>
        <v>#N/A</v>
      </c>
      <c r="H257" s="46" t="e">
        <f>INDEX(Calc!$K$1:$K$774,G257)</f>
        <v>#N/A</v>
      </c>
      <c r="I257" s="46" t="e">
        <f>H257+Calc!K257</f>
        <v>#N/A</v>
      </c>
      <c r="J257" s="46" t="e">
        <f>ABS(Show!$A$4-I257)/(Show!$A$4/100)</f>
        <v>#N/A</v>
      </c>
      <c r="K257" s="45">
        <f>INDEX(Calc!L257:P257,Show!$B$4)</f>
        <v>42.2</v>
      </c>
      <c r="L257" s="46">
        <f t="shared" si="104"/>
        <v>41.2</v>
      </c>
      <c r="M257" s="46">
        <f>L256</f>
        <v>40.200000000000003</v>
      </c>
      <c r="N257" s="46">
        <f>L258</f>
        <v>42.2</v>
      </c>
      <c r="O257" s="46">
        <f t="shared" si="105"/>
        <v>39</v>
      </c>
      <c r="P257" s="46">
        <f t="shared" ref="P257" si="164">O258</f>
        <v>47</v>
      </c>
    </row>
    <row r="258" spans="1:16" x14ac:dyDescent="0.25">
      <c r="A258" s="45">
        <f>1/((1/Show!$A$4)-(1/Calc!K258))</f>
        <v>767.27272727272543</v>
      </c>
      <c r="B258" s="45">
        <f>MATCH(A258*Calc!$R$12,Calc!$K$1:$K$774,1)</f>
        <v>380</v>
      </c>
      <c r="C258" s="45">
        <f>INDEX(Calc!$K$1:$K$774,B258)</f>
        <v>750</v>
      </c>
      <c r="D258" s="45">
        <f>1/(1/C258+1/Calc!K258)</f>
        <v>39.952032315071953</v>
      </c>
      <c r="E258" s="45">
        <f>ABS(Show!$A$4-D258)/(Show!$A$4/100)</f>
        <v>0.11991921232011649</v>
      </c>
      <c r="F258" s="46">
        <f>Show!$A$4-Calc!L258</f>
        <v>-2.2000000000000028</v>
      </c>
      <c r="G258" s="46" t="e">
        <f>MATCH(F258*Calc!$R$12,Calc!$K$1:$K$774,1)</f>
        <v>#N/A</v>
      </c>
      <c r="H258" s="46" t="e">
        <f>INDEX(Calc!$K$1:$K$774,G258)</f>
        <v>#N/A</v>
      </c>
      <c r="I258" s="46" t="e">
        <f>H258+Calc!K258</f>
        <v>#N/A</v>
      </c>
      <c r="J258" s="46" t="e">
        <f>ABS(Show!$A$4-I258)/(Show!$A$4/100)</f>
        <v>#N/A</v>
      </c>
      <c r="K258" s="45">
        <f>INDEX(Calc!L258:P258,Show!$B$4)</f>
        <v>42.2</v>
      </c>
      <c r="L258" s="46">
        <f t="shared" si="104"/>
        <v>42.2</v>
      </c>
      <c r="M258" s="46">
        <f>L258</f>
        <v>42.2</v>
      </c>
      <c r="N258" s="46">
        <f>L258</f>
        <v>42.2</v>
      </c>
      <c r="O258" s="46">
        <f t="shared" si="105"/>
        <v>47</v>
      </c>
      <c r="P258" s="46">
        <f t="shared" ref="P258" si="165">O258</f>
        <v>47</v>
      </c>
    </row>
    <row r="259" spans="1:16" x14ac:dyDescent="0.25">
      <c r="A259" s="45">
        <f>1/((1/Show!$A$4)-(1/Calc!K259))</f>
        <v>767.27272727272543</v>
      </c>
      <c r="B259" s="45">
        <f>MATCH(A259*Calc!$R$12,Calc!$K$1:$K$774,1)</f>
        <v>380</v>
      </c>
      <c r="C259" s="45">
        <f>INDEX(Calc!$K$1:$K$774,B259)</f>
        <v>750</v>
      </c>
      <c r="D259" s="45">
        <f>1/(1/C259+1/Calc!K259)</f>
        <v>39.952032315071953</v>
      </c>
      <c r="E259" s="45">
        <f>ABS(Show!$A$4-D259)/(Show!$A$4/100)</f>
        <v>0.11991921232011649</v>
      </c>
      <c r="F259" s="46">
        <f>Show!$A$4-Calc!L259</f>
        <v>-3.2000000000000028</v>
      </c>
      <c r="G259" s="46" t="e">
        <f>MATCH(F259*Calc!$R$12,Calc!$K$1:$K$774,1)</f>
        <v>#N/A</v>
      </c>
      <c r="H259" s="46" t="e">
        <f>INDEX(Calc!$K$1:$K$774,G259)</f>
        <v>#N/A</v>
      </c>
      <c r="I259" s="46" t="e">
        <f>H259+Calc!K259</f>
        <v>#N/A</v>
      </c>
      <c r="J259" s="46" t="e">
        <f>ABS(Show!$A$4-I259)/(Show!$A$4/100)</f>
        <v>#N/A</v>
      </c>
      <c r="K259" s="45">
        <f>INDEX(Calc!L259:P259,Show!$B$4)</f>
        <v>42.2</v>
      </c>
      <c r="L259" s="46">
        <f t="shared" si="104"/>
        <v>43.2</v>
      </c>
      <c r="M259" s="46">
        <f>L258</f>
        <v>42.2</v>
      </c>
      <c r="N259" s="46">
        <f>L258</f>
        <v>42.2</v>
      </c>
      <c r="O259" s="46">
        <f t="shared" si="105"/>
        <v>47</v>
      </c>
      <c r="P259" s="46">
        <f t="shared" ref="P259" si="166">O258</f>
        <v>47</v>
      </c>
    </row>
    <row r="260" spans="1:16" x14ac:dyDescent="0.25">
      <c r="A260" s="45">
        <f>1/((1/Show!$A$4)-(1/Calc!K260))</f>
        <v>767.27272727272543</v>
      </c>
      <c r="B260" s="45">
        <f>MATCH(A260*Calc!$R$12,Calc!$K$1:$K$774,1)</f>
        <v>380</v>
      </c>
      <c r="C260" s="45">
        <f>INDEX(Calc!$K$1:$K$774,B260)</f>
        <v>750</v>
      </c>
      <c r="D260" s="45">
        <f>1/(1/C260+1/Calc!K260)</f>
        <v>39.952032315071953</v>
      </c>
      <c r="E260" s="45">
        <f>ABS(Show!$A$4-D260)/(Show!$A$4/100)</f>
        <v>0.11991921232011649</v>
      </c>
      <c r="F260" s="46">
        <f>Show!$A$4-Calc!L260</f>
        <v>-4.2000000000000028</v>
      </c>
      <c r="G260" s="46" t="e">
        <f>MATCH(F260*Calc!$R$12,Calc!$K$1:$K$774,1)</f>
        <v>#N/A</v>
      </c>
      <c r="H260" s="46" t="e">
        <f>INDEX(Calc!$K$1:$K$774,G260)</f>
        <v>#N/A</v>
      </c>
      <c r="I260" s="46" t="e">
        <f>H260+Calc!K260</f>
        <v>#N/A</v>
      </c>
      <c r="J260" s="46" t="e">
        <f>ABS(Show!$A$4-I260)/(Show!$A$4/100)</f>
        <v>#N/A</v>
      </c>
      <c r="K260" s="45">
        <f>INDEX(Calc!L260:P260,Show!$B$4)</f>
        <v>42.2</v>
      </c>
      <c r="L260" s="46">
        <f t="shared" si="104"/>
        <v>44.2</v>
      </c>
      <c r="M260" s="46">
        <f>L260</f>
        <v>44.2</v>
      </c>
      <c r="N260" s="46">
        <f>L258</f>
        <v>42.2</v>
      </c>
      <c r="O260" s="46">
        <f t="shared" si="105"/>
        <v>47</v>
      </c>
      <c r="P260" s="46">
        <f t="shared" ref="P260" si="167">O258</f>
        <v>47</v>
      </c>
    </row>
    <row r="261" spans="1:16" x14ac:dyDescent="0.25">
      <c r="A261" s="45">
        <f>1/((1/Show!$A$4)-(1/Calc!K261))</f>
        <v>290</v>
      </c>
      <c r="B261" s="45">
        <f>MATCH(A261*Calc!$R$12,Calc!$K$1:$K$774,1)</f>
        <v>340</v>
      </c>
      <c r="C261" s="45">
        <f>INDEX(Calc!$K$1:$K$774,B261)</f>
        <v>287</v>
      </c>
      <c r="D261" s="45">
        <f>1/(1/C261+1/Calc!K261)</f>
        <v>39.942411517696456</v>
      </c>
      <c r="E261" s="45">
        <f>ABS(Show!$A$4-D261)/(Show!$A$4/100)</f>
        <v>0.14397120575885936</v>
      </c>
      <c r="F261" s="46">
        <f>Show!$A$4-Calc!L261</f>
        <v>-5.2999999999999972</v>
      </c>
      <c r="G261" s="46" t="e">
        <f>MATCH(F261*Calc!$R$12,Calc!$K$1:$K$774,1)</f>
        <v>#N/A</v>
      </c>
      <c r="H261" s="46" t="e">
        <f>INDEX(Calc!$K$1:$K$774,G261)</f>
        <v>#N/A</v>
      </c>
      <c r="I261" s="46" t="e">
        <f>H261+Calc!K261</f>
        <v>#N/A</v>
      </c>
      <c r="J261" s="46" t="e">
        <f>ABS(Show!$A$4-I261)/(Show!$A$4/100)</f>
        <v>#N/A</v>
      </c>
      <c r="K261" s="45">
        <f>INDEX(Calc!L261:P261,Show!$B$4)</f>
        <v>46.4</v>
      </c>
      <c r="L261" s="46">
        <f t="shared" si="104"/>
        <v>45.3</v>
      </c>
      <c r="M261" s="46">
        <f>L260</f>
        <v>44.2</v>
      </c>
      <c r="N261" s="46">
        <f>L262</f>
        <v>46.4</v>
      </c>
      <c r="O261" s="46">
        <f t="shared" si="105"/>
        <v>47</v>
      </c>
      <c r="P261" s="46">
        <f t="shared" ref="P261" si="168">O258</f>
        <v>47</v>
      </c>
    </row>
    <row r="262" spans="1:16" x14ac:dyDescent="0.25">
      <c r="A262" s="45">
        <f>1/((1/Show!$A$4)-(1/Calc!K262))</f>
        <v>290</v>
      </c>
      <c r="B262" s="45">
        <f>MATCH(A262*Calc!$R$12,Calc!$K$1:$K$774,1)</f>
        <v>340</v>
      </c>
      <c r="C262" s="45">
        <f>INDEX(Calc!$K$1:$K$774,B262)</f>
        <v>287</v>
      </c>
      <c r="D262" s="45">
        <f>1/(1/C262+1/Calc!K262)</f>
        <v>39.942411517696456</v>
      </c>
      <c r="E262" s="45">
        <f>ABS(Show!$A$4-D262)/(Show!$A$4/100)</f>
        <v>0.14397120575885936</v>
      </c>
      <c r="F262" s="46">
        <f>Show!$A$4-Calc!L262</f>
        <v>-6.3999999999999986</v>
      </c>
      <c r="G262" s="46" t="e">
        <f>MATCH(F262*Calc!$R$12,Calc!$K$1:$K$774,1)</f>
        <v>#N/A</v>
      </c>
      <c r="H262" s="46" t="e">
        <f>INDEX(Calc!$K$1:$K$774,G262)</f>
        <v>#N/A</v>
      </c>
      <c r="I262" s="46" t="e">
        <f>H262+Calc!K262</f>
        <v>#N/A</v>
      </c>
      <c r="J262" s="46" t="e">
        <f>ABS(Show!$A$4-I262)/(Show!$A$4/100)</f>
        <v>#N/A</v>
      </c>
      <c r="K262" s="45">
        <f>INDEX(Calc!L262:P262,Show!$B$4)</f>
        <v>46.4</v>
      </c>
      <c r="L262" s="46">
        <f t="shared" si="104"/>
        <v>46.4</v>
      </c>
      <c r="M262" s="46">
        <f>L262</f>
        <v>46.4</v>
      </c>
      <c r="N262" s="46">
        <f>L262</f>
        <v>46.4</v>
      </c>
      <c r="O262" s="46">
        <f t="shared" si="105"/>
        <v>47</v>
      </c>
      <c r="P262" s="46">
        <f t="shared" ref="P262" si="169">O258</f>
        <v>47</v>
      </c>
    </row>
    <row r="263" spans="1:16" x14ac:dyDescent="0.25">
      <c r="A263" s="45">
        <f>1/((1/Show!$A$4)-(1/Calc!K263))</f>
        <v>290</v>
      </c>
      <c r="B263" s="45">
        <f>MATCH(A263*Calc!$R$12,Calc!$K$1:$K$774,1)</f>
        <v>340</v>
      </c>
      <c r="C263" s="45">
        <f>INDEX(Calc!$K$1:$K$774,B263)</f>
        <v>287</v>
      </c>
      <c r="D263" s="45">
        <f>1/(1/C263+1/Calc!K263)</f>
        <v>39.942411517696456</v>
      </c>
      <c r="E263" s="45">
        <f>ABS(Show!$A$4-D263)/(Show!$A$4/100)</f>
        <v>0.14397120575885936</v>
      </c>
      <c r="F263" s="46">
        <f>Show!$A$4-Calc!L263</f>
        <v>-7.5</v>
      </c>
      <c r="G263" s="46" t="e">
        <f>MATCH(F263*Calc!$R$12,Calc!$K$1:$K$774,1)</f>
        <v>#N/A</v>
      </c>
      <c r="H263" s="46" t="e">
        <f>INDEX(Calc!$K$1:$K$774,G263)</f>
        <v>#N/A</v>
      </c>
      <c r="I263" s="46" t="e">
        <f>H263+Calc!K263</f>
        <v>#N/A</v>
      </c>
      <c r="J263" s="46" t="e">
        <f>ABS(Show!$A$4-I263)/(Show!$A$4/100)</f>
        <v>#N/A</v>
      </c>
      <c r="K263" s="45">
        <f>INDEX(Calc!L263:P263,Show!$B$4)</f>
        <v>46.4</v>
      </c>
      <c r="L263" s="46">
        <f t="shared" ref="L263:L293" si="170">L71*100</f>
        <v>47.5</v>
      </c>
      <c r="M263" s="46">
        <f>L262</f>
        <v>46.4</v>
      </c>
      <c r="N263" s="46">
        <f>L262</f>
        <v>46.4</v>
      </c>
      <c r="O263" s="46">
        <f t="shared" ref="O263:O293" si="171">O71*100</f>
        <v>47</v>
      </c>
      <c r="P263" s="46">
        <f t="shared" ref="P263" si="172">O258</f>
        <v>47</v>
      </c>
    </row>
    <row r="264" spans="1:16" x14ac:dyDescent="0.25">
      <c r="A264" s="45">
        <f>1/((1/Show!$A$4)-(1/Calc!K264))</f>
        <v>290</v>
      </c>
      <c r="B264" s="45">
        <f>MATCH(A264*Calc!$R$12,Calc!$K$1:$K$774,1)</f>
        <v>340</v>
      </c>
      <c r="C264" s="45">
        <f>INDEX(Calc!$K$1:$K$774,B264)</f>
        <v>287</v>
      </c>
      <c r="D264" s="45">
        <f>1/(1/C264+1/Calc!K264)</f>
        <v>39.942411517696456</v>
      </c>
      <c r="E264" s="45">
        <f>ABS(Show!$A$4-D264)/(Show!$A$4/100)</f>
        <v>0.14397120575885936</v>
      </c>
      <c r="F264" s="46">
        <f>Show!$A$4-Calc!L264</f>
        <v>-8.7000000000000028</v>
      </c>
      <c r="G264" s="46" t="e">
        <f>MATCH(F264*Calc!$R$12,Calc!$K$1:$K$774,1)</f>
        <v>#N/A</v>
      </c>
      <c r="H264" s="46" t="e">
        <f>INDEX(Calc!$K$1:$K$774,G264)</f>
        <v>#N/A</v>
      </c>
      <c r="I264" s="46" t="e">
        <f>H264+Calc!K264</f>
        <v>#N/A</v>
      </c>
      <c r="J264" s="46" t="e">
        <f>ABS(Show!$A$4-I264)/(Show!$A$4/100)</f>
        <v>#N/A</v>
      </c>
      <c r="K264" s="45">
        <f>INDEX(Calc!L264:P264,Show!$B$4)</f>
        <v>46.4</v>
      </c>
      <c r="L264" s="46">
        <f t="shared" si="170"/>
        <v>48.7</v>
      </c>
      <c r="M264" s="46">
        <f>L264</f>
        <v>48.7</v>
      </c>
      <c r="N264" s="46">
        <f>L262</f>
        <v>46.4</v>
      </c>
      <c r="O264" s="46">
        <f t="shared" si="171"/>
        <v>47</v>
      </c>
      <c r="P264" s="46">
        <f t="shared" ref="P264" si="173">O258</f>
        <v>47</v>
      </c>
    </row>
    <row r="265" spans="1:16" x14ac:dyDescent="0.25">
      <c r="A265" s="45">
        <f>1/((1/Show!$A$4)-(1/Calc!K265))</f>
        <v>184.14414414414406</v>
      </c>
      <c r="B265" s="45">
        <f>MATCH(A265*Calc!$R$12,Calc!$K$1:$K$774,1)</f>
        <v>320</v>
      </c>
      <c r="C265" s="45">
        <f>INDEX(Calc!$K$1:$K$774,B265)</f>
        <v>178.00000000000003</v>
      </c>
      <c r="D265" s="45">
        <f>1/(1/C265+1/Calc!K265)</f>
        <v>39.702313400261893</v>
      </c>
      <c r="E265" s="45">
        <f>ABS(Show!$A$4-D265)/(Show!$A$4/100)</f>
        <v>0.74421649934526712</v>
      </c>
      <c r="F265" s="46">
        <f>Show!$A$4-Calc!L265</f>
        <v>-9.8999999999999986</v>
      </c>
      <c r="G265" s="46" t="e">
        <f>MATCH(F265*Calc!$R$12,Calc!$K$1:$K$774,1)</f>
        <v>#N/A</v>
      </c>
      <c r="H265" s="46" t="e">
        <f>INDEX(Calc!$K$1:$K$774,G265)</f>
        <v>#N/A</v>
      </c>
      <c r="I265" s="46" t="e">
        <f>H265+Calc!K265</f>
        <v>#N/A</v>
      </c>
      <c r="J265" s="46" t="e">
        <f>ABS(Show!$A$4-I265)/(Show!$A$4/100)</f>
        <v>#N/A</v>
      </c>
      <c r="K265" s="45">
        <f>INDEX(Calc!L265:P265,Show!$B$4)</f>
        <v>51.1</v>
      </c>
      <c r="L265" s="46">
        <f t="shared" si="170"/>
        <v>49.9</v>
      </c>
      <c r="M265" s="46">
        <f>L264</f>
        <v>48.7</v>
      </c>
      <c r="N265" s="46">
        <f>L266</f>
        <v>51.1</v>
      </c>
      <c r="O265" s="46">
        <f t="shared" si="171"/>
        <v>47</v>
      </c>
      <c r="P265" s="46">
        <f t="shared" ref="P265" si="174">O258</f>
        <v>47</v>
      </c>
    </row>
    <row r="266" spans="1:16" x14ac:dyDescent="0.25">
      <c r="A266" s="45">
        <f>1/((1/Show!$A$4)-(1/Calc!K266))</f>
        <v>184.14414414414406</v>
      </c>
      <c r="B266" s="45">
        <f>MATCH(A266*Calc!$R$12,Calc!$K$1:$K$774,1)</f>
        <v>320</v>
      </c>
      <c r="C266" s="45">
        <f>INDEX(Calc!$K$1:$K$774,B266)</f>
        <v>178.00000000000003</v>
      </c>
      <c r="D266" s="45">
        <f>1/(1/C266+1/Calc!K266)</f>
        <v>39.702313400261893</v>
      </c>
      <c r="E266" s="45">
        <f>ABS(Show!$A$4-D266)/(Show!$A$4/100)</f>
        <v>0.74421649934526712</v>
      </c>
      <c r="F266" s="46">
        <f>Show!$A$4-Calc!L266</f>
        <v>-11.100000000000001</v>
      </c>
      <c r="G266" s="46" t="e">
        <f>MATCH(F266*Calc!$R$12,Calc!$K$1:$K$774,1)</f>
        <v>#N/A</v>
      </c>
      <c r="H266" s="46" t="e">
        <f>INDEX(Calc!$K$1:$K$774,G266)</f>
        <v>#N/A</v>
      </c>
      <c r="I266" s="46" t="e">
        <f>H266+Calc!K266</f>
        <v>#N/A</v>
      </c>
      <c r="J266" s="46" t="e">
        <f>ABS(Show!$A$4-I266)/(Show!$A$4/100)</f>
        <v>#N/A</v>
      </c>
      <c r="K266" s="45">
        <f>INDEX(Calc!L266:P266,Show!$B$4)</f>
        <v>51.1</v>
      </c>
      <c r="L266" s="46">
        <f t="shared" si="170"/>
        <v>51.1</v>
      </c>
      <c r="M266" s="46">
        <f>L266</f>
        <v>51.1</v>
      </c>
      <c r="N266" s="46">
        <f>L266</f>
        <v>51.1</v>
      </c>
      <c r="O266" s="46">
        <f t="shared" si="171"/>
        <v>56.000000000000007</v>
      </c>
      <c r="P266" s="46">
        <f t="shared" ref="P266" si="175">O258</f>
        <v>47</v>
      </c>
    </row>
    <row r="267" spans="1:16" x14ac:dyDescent="0.25">
      <c r="A267" s="45">
        <f>1/((1/Show!$A$4)-(1/Calc!K267))</f>
        <v>184.14414414414406</v>
      </c>
      <c r="B267" s="45">
        <f>MATCH(A267*Calc!$R$12,Calc!$K$1:$K$774,1)</f>
        <v>320</v>
      </c>
      <c r="C267" s="45">
        <f>INDEX(Calc!$K$1:$K$774,B267)</f>
        <v>178.00000000000003</v>
      </c>
      <c r="D267" s="45">
        <f>1/(1/C267+1/Calc!K267)</f>
        <v>39.702313400261893</v>
      </c>
      <c r="E267" s="45">
        <f>ABS(Show!$A$4-D267)/(Show!$A$4/100)</f>
        <v>0.74421649934526712</v>
      </c>
      <c r="F267" s="46">
        <f>Show!$A$4-Calc!L267</f>
        <v>-12.300000000000004</v>
      </c>
      <c r="G267" s="46" t="e">
        <f>MATCH(F267*Calc!$R$12,Calc!$K$1:$K$774,1)</f>
        <v>#N/A</v>
      </c>
      <c r="H267" s="46" t="e">
        <f>INDEX(Calc!$K$1:$K$774,G267)</f>
        <v>#N/A</v>
      </c>
      <c r="I267" s="46" t="e">
        <f>H267+Calc!K267</f>
        <v>#N/A</v>
      </c>
      <c r="J267" s="46" t="e">
        <f>ABS(Show!$A$4-I267)/(Show!$A$4/100)</f>
        <v>#N/A</v>
      </c>
      <c r="K267" s="45">
        <f>INDEX(Calc!L267:P267,Show!$B$4)</f>
        <v>51.1</v>
      </c>
      <c r="L267" s="46">
        <f t="shared" si="170"/>
        <v>52.300000000000004</v>
      </c>
      <c r="M267" s="46">
        <f>L266</f>
        <v>51.1</v>
      </c>
      <c r="N267" s="46">
        <f>L266</f>
        <v>51.1</v>
      </c>
      <c r="O267" s="46">
        <f t="shared" si="171"/>
        <v>56.000000000000007</v>
      </c>
      <c r="P267" s="46">
        <f t="shared" ref="P267" si="176">O258</f>
        <v>47</v>
      </c>
    </row>
    <row r="268" spans="1:16" x14ac:dyDescent="0.25">
      <c r="A268" s="45">
        <f>1/((1/Show!$A$4)-(1/Calc!K268))</f>
        <v>184.14414414414406</v>
      </c>
      <c r="B268" s="45">
        <f>MATCH(A268*Calc!$R$12,Calc!$K$1:$K$774,1)</f>
        <v>320</v>
      </c>
      <c r="C268" s="45">
        <f>INDEX(Calc!$K$1:$K$774,B268)</f>
        <v>178.00000000000003</v>
      </c>
      <c r="D268" s="45">
        <f>1/(1/C268+1/Calc!K268)</f>
        <v>39.702313400261893</v>
      </c>
      <c r="E268" s="45">
        <f>ABS(Show!$A$4-D268)/(Show!$A$4/100)</f>
        <v>0.74421649934526712</v>
      </c>
      <c r="F268" s="46">
        <f>Show!$A$4-Calc!L268</f>
        <v>-13.600000000000001</v>
      </c>
      <c r="G268" s="46" t="e">
        <f>MATCH(F268*Calc!$R$12,Calc!$K$1:$K$774,1)</f>
        <v>#N/A</v>
      </c>
      <c r="H268" s="46" t="e">
        <f>INDEX(Calc!$K$1:$K$774,G268)</f>
        <v>#N/A</v>
      </c>
      <c r="I268" s="46" t="e">
        <f>H268+Calc!K268</f>
        <v>#N/A</v>
      </c>
      <c r="J268" s="46" t="e">
        <f>ABS(Show!$A$4-I268)/(Show!$A$4/100)</f>
        <v>#N/A</v>
      </c>
      <c r="K268" s="45">
        <f>INDEX(Calc!L268:P268,Show!$B$4)</f>
        <v>51.1</v>
      </c>
      <c r="L268" s="46">
        <f t="shared" si="170"/>
        <v>53.6</v>
      </c>
      <c r="M268" s="46">
        <f>L268</f>
        <v>53.6</v>
      </c>
      <c r="N268" s="46">
        <f>L266</f>
        <v>51.1</v>
      </c>
      <c r="O268" s="46">
        <f t="shared" si="171"/>
        <v>56.000000000000007</v>
      </c>
      <c r="P268" s="46">
        <f t="shared" ref="P268" si="177">O258</f>
        <v>47</v>
      </c>
    </row>
    <row r="269" spans="1:16" x14ac:dyDescent="0.25">
      <c r="A269" s="45">
        <f>1/((1/Show!$A$4)-(1/Calc!K269))</f>
        <v>138.76543209876536</v>
      </c>
      <c r="B269" s="45">
        <f>MATCH(A269*Calc!$R$12,Calc!$K$1:$K$774,1)</f>
        <v>308</v>
      </c>
      <c r="C269" s="45">
        <f>INDEX(Calc!$K$1:$K$774,B269)</f>
        <v>133</v>
      </c>
      <c r="D269" s="45">
        <f>1/(1/C269+1/Calc!K269)</f>
        <v>39.506342494714595</v>
      </c>
      <c r="E269" s="45">
        <f>ABS(Show!$A$4-D269)/(Show!$A$4/100)</f>
        <v>1.2341437632135133</v>
      </c>
      <c r="F269" s="46">
        <f>Show!$A$4-Calc!L269</f>
        <v>-14.899999999999991</v>
      </c>
      <c r="G269" s="46" t="e">
        <f>MATCH(F269*Calc!$R$12,Calc!$K$1:$K$774,1)</f>
        <v>#N/A</v>
      </c>
      <c r="H269" s="46" t="e">
        <f>INDEX(Calc!$K$1:$K$774,G269)</f>
        <v>#N/A</v>
      </c>
      <c r="I269" s="46" t="e">
        <f>H269+Calc!K269</f>
        <v>#N/A</v>
      </c>
      <c r="J269" s="46" t="e">
        <f>ABS(Show!$A$4-I269)/(Show!$A$4/100)</f>
        <v>#N/A</v>
      </c>
      <c r="K269" s="45">
        <f>INDEX(Calc!L269:P269,Show!$B$4)</f>
        <v>56.2</v>
      </c>
      <c r="L269" s="46">
        <f t="shared" si="170"/>
        <v>54.899999999999991</v>
      </c>
      <c r="M269" s="46">
        <f>L268</f>
        <v>53.6</v>
      </c>
      <c r="N269" s="46">
        <f>L270</f>
        <v>56.2</v>
      </c>
      <c r="O269" s="46">
        <f t="shared" si="171"/>
        <v>56.000000000000007</v>
      </c>
      <c r="P269" s="46">
        <f t="shared" ref="P269" si="178">O258</f>
        <v>47</v>
      </c>
    </row>
    <row r="270" spans="1:16" x14ac:dyDescent="0.25">
      <c r="A270" s="45">
        <f>1/((1/Show!$A$4)-(1/Calc!K270))</f>
        <v>138.76543209876536</v>
      </c>
      <c r="B270" s="45">
        <f>MATCH(A270*Calc!$R$12,Calc!$K$1:$K$774,1)</f>
        <v>308</v>
      </c>
      <c r="C270" s="45">
        <f>INDEX(Calc!$K$1:$K$774,B270)</f>
        <v>133</v>
      </c>
      <c r="D270" s="45">
        <f>1/(1/C270+1/Calc!K270)</f>
        <v>39.506342494714595</v>
      </c>
      <c r="E270" s="45">
        <f>ABS(Show!$A$4-D270)/(Show!$A$4/100)</f>
        <v>1.2341437632135133</v>
      </c>
      <c r="F270" s="46">
        <f>Show!$A$4-Calc!L270</f>
        <v>-16.200000000000003</v>
      </c>
      <c r="G270" s="46" t="e">
        <f>MATCH(F270*Calc!$R$12,Calc!$K$1:$K$774,1)</f>
        <v>#N/A</v>
      </c>
      <c r="H270" s="46" t="e">
        <f>INDEX(Calc!$K$1:$K$774,G270)</f>
        <v>#N/A</v>
      </c>
      <c r="I270" s="46" t="e">
        <f>H270+Calc!K270</f>
        <v>#N/A</v>
      </c>
      <c r="J270" s="46" t="e">
        <f>ABS(Show!$A$4-I270)/(Show!$A$4/100)</f>
        <v>#N/A</v>
      </c>
      <c r="K270" s="45">
        <f>INDEX(Calc!L270:P270,Show!$B$4)</f>
        <v>56.2</v>
      </c>
      <c r="L270" s="46">
        <f t="shared" si="170"/>
        <v>56.2</v>
      </c>
      <c r="M270" s="46">
        <f>L270</f>
        <v>56.2</v>
      </c>
      <c r="N270" s="46">
        <f>L270</f>
        <v>56.2</v>
      </c>
      <c r="O270" s="46">
        <f t="shared" si="171"/>
        <v>56.000000000000007</v>
      </c>
      <c r="P270" s="46">
        <f t="shared" ref="P270" si="179">O274</f>
        <v>68</v>
      </c>
    </row>
    <row r="271" spans="1:16" x14ac:dyDescent="0.25">
      <c r="A271" s="45">
        <f>1/((1/Show!$A$4)-(1/Calc!K271))</f>
        <v>138.76543209876536</v>
      </c>
      <c r="B271" s="45">
        <f>MATCH(A271*Calc!$R$12,Calc!$K$1:$K$774,1)</f>
        <v>308</v>
      </c>
      <c r="C271" s="45">
        <f>INDEX(Calc!$K$1:$K$774,B271)</f>
        <v>133</v>
      </c>
      <c r="D271" s="45">
        <f>1/(1/C271+1/Calc!K271)</f>
        <v>39.506342494714595</v>
      </c>
      <c r="E271" s="45">
        <f>ABS(Show!$A$4-D271)/(Show!$A$4/100)</f>
        <v>1.2341437632135133</v>
      </c>
      <c r="F271" s="46">
        <f>Show!$A$4-Calc!L271</f>
        <v>-17.600000000000009</v>
      </c>
      <c r="G271" s="46" t="e">
        <f>MATCH(F271*Calc!$R$12,Calc!$K$1:$K$774,1)</f>
        <v>#N/A</v>
      </c>
      <c r="H271" s="46" t="e">
        <f>INDEX(Calc!$K$1:$K$774,G271)</f>
        <v>#N/A</v>
      </c>
      <c r="I271" s="46" t="e">
        <f>H271+Calc!K271</f>
        <v>#N/A</v>
      </c>
      <c r="J271" s="46" t="e">
        <f>ABS(Show!$A$4-I271)/(Show!$A$4/100)</f>
        <v>#N/A</v>
      </c>
      <c r="K271" s="45">
        <f>INDEX(Calc!L271:P271,Show!$B$4)</f>
        <v>56.2</v>
      </c>
      <c r="L271" s="46">
        <f t="shared" si="170"/>
        <v>57.600000000000009</v>
      </c>
      <c r="M271" s="46">
        <f>L270</f>
        <v>56.2</v>
      </c>
      <c r="N271" s="46">
        <f>L270</f>
        <v>56.2</v>
      </c>
      <c r="O271" s="46">
        <f t="shared" si="171"/>
        <v>56.000000000000007</v>
      </c>
      <c r="P271" s="46">
        <f t="shared" ref="P271" si="180">O274</f>
        <v>68</v>
      </c>
    </row>
    <row r="272" spans="1:16" x14ac:dyDescent="0.25">
      <c r="A272" s="45">
        <f>1/((1/Show!$A$4)-(1/Calc!K272))</f>
        <v>138.76543209876536</v>
      </c>
      <c r="B272" s="45">
        <f>MATCH(A272*Calc!$R$12,Calc!$K$1:$K$774,1)</f>
        <v>308</v>
      </c>
      <c r="C272" s="45">
        <f>INDEX(Calc!$K$1:$K$774,B272)</f>
        <v>133</v>
      </c>
      <c r="D272" s="45">
        <f>1/(1/C272+1/Calc!K272)</f>
        <v>39.506342494714595</v>
      </c>
      <c r="E272" s="45">
        <f>ABS(Show!$A$4-D272)/(Show!$A$4/100)</f>
        <v>1.2341437632135133</v>
      </c>
      <c r="F272" s="46">
        <f>Show!$A$4-Calc!L272</f>
        <v>-19</v>
      </c>
      <c r="G272" s="46" t="e">
        <f>MATCH(F272*Calc!$R$12,Calc!$K$1:$K$774,1)</f>
        <v>#N/A</v>
      </c>
      <c r="H272" s="46" t="e">
        <f>INDEX(Calc!$K$1:$K$774,G272)</f>
        <v>#N/A</v>
      </c>
      <c r="I272" s="46" t="e">
        <f>H272+Calc!K272</f>
        <v>#N/A</v>
      </c>
      <c r="J272" s="46" t="e">
        <f>ABS(Show!$A$4-I272)/(Show!$A$4/100)</f>
        <v>#N/A</v>
      </c>
      <c r="K272" s="45">
        <f>INDEX(Calc!L272:P272,Show!$B$4)</f>
        <v>56.2</v>
      </c>
      <c r="L272" s="46">
        <f t="shared" si="170"/>
        <v>59</v>
      </c>
      <c r="M272" s="46">
        <f>L272</f>
        <v>59</v>
      </c>
      <c r="N272" s="46">
        <f>L270</f>
        <v>56.2</v>
      </c>
      <c r="O272" s="46">
        <f t="shared" si="171"/>
        <v>56.000000000000007</v>
      </c>
      <c r="P272" s="46">
        <f t="shared" ref="P272" si="181">O274</f>
        <v>68</v>
      </c>
    </row>
    <row r="273" spans="1:16" x14ac:dyDescent="0.25">
      <c r="A273" s="45">
        <f>1/((1/Show!$A$4)-(1/Calc!K273))</f>
        <v>113.0593607305936</v>
      </c>
      <c r="B273" s="45">
        <f>MATCH(A273*Calc!$R$12,Calc!$K$1:$K$774,1)</f>
        <v>300</v>
      </c>
      <c r="C273" s="45">
        <f>INDEX(Calc!$K$1:$K$774,B273)</f>
        <v>110</v>
      </c>
      <c r="D273" s="45">
        <f>1/(1/C273+1/Calc!K273)</f>
        <v>39.610238510762073</v>
      </c>
      <c r="E273" s="45">
        <f>ABS(Show!$A$4-D273)/(Show!$A$4/100)</f>
        <v>0.9744037230948166</v>
      </c>
      <c r="F273" s="46">
        <f>Show!$A$4-Calc!L273</f>
        <v>-20.399999999999999</v>
      </c>
      <c r="G273" s="46" t="e">
        <f>MATCH(F273*Calc!$R$12,Calc!$K$1:$K$774,1)</f>
        <v>#N/A</v>
      </c>
      <c r="H273" s="46" t="e">
        <f>INDEX(Calc!$K$1:$K$774,G273)</f>
        <v>#N/A</v>
      </c>
      <c r="I273" s="46" t="e">
        <f>H273+Calc!K273</f>
        <v>#N/A</v>
      </c>
      <c r="J273" s="46" t="e">
        <f>ABS(Show!$A$4-I273)/(Show!$A$4/100)</f>
        <v>#N/A</v>
      </c>
      <c r="K273" s="45">
        <f>INDEX(Calc!L273:P273,Show!$B$4)</f>
        <v>61.9</v>
      </c>
      <c r="L273" s="46">
        <f t="shared" si="170"/>
        <v>60.4</v>
      </c>
      <c r="M273" s="46">
        <f>L272</f>
        <v>59</v>
      </c>
      <c r="N273" s="46">
        <f>L274</f>
        <v>61.9</v>
      </c>
      <c r="O273" s="46">
        <f t="shared" si="171"/>
        <v>56.000000000000007</v>
      </c>
      <c r="P273" s="46">
        <f t="shared" ref="P273" si="182">O274</f>
        <v>68</v>
      </c>
    </row>
    <row r="274" spans="1:16" x14ac:dyDescent="0.25">
      <c r="A274" s="45">
        <f>1/((1/Show!$A$4)-(1/Calc!K274))</f>
        <v>113.0593607305936</v>
      </c>
      <c r="B274" s="45">
        <f>MATCH(A274*Calc!$R$12,Calc!$K$1:$K$774,1)</f>
        <v>300</v>
      </c>
      <c r="C274" s="45">
        <f>INDEX(Calc!$K$1:$K$774,B274)</f>
        <v>110</v>
      </c>
      <c r="D274" s="45">
        <f>1/(1/C274+1/Calc!K274)</f>
        <v>39.610238510762073</v>
      </c>
      <c r="E274" s="45">
        <f>ABS(Show!$A$4-D274)/(Show!$A$4/100)</f>
        <v>0.9744037230948166</v>
      </c>
      <c r="F274" s="46">
        <f>Show!$A$4-Calc!L274</f>
        <v>-21.9</v>
      </c>
      <c r="G274" s="46" t="e">
        <f>MATCH(F274*Calc!$R$12,Calc!$K$1:$K$774,1)</f>
        <v>#N/A</v>
      </c>
      <c r="H274" s="46" t="e">
        <f>INDEX(Calc!$K$1:$K$774,G274)</f>
        <v>#N/A</v>
      </c>
      <c r="I274" s="46" t="e">
        <f>H274+Calc!K274</f>
        <v>#N/A</v>
      </c>
      <c r="J274" s="46" t="e">
        <f>ABS(Show!$A$4-I274)/(Show!$A$4/100)</f>
        <v>#N/A</v>
      </c>
      <c r="K274" s="45">
        <f>INDEX(Calc!L274:P274,Show!$B$4)</f>
        <v>61.9</v>
      </c>
      <c r="L274" s="46">
        <f t="shared" si="170"/>
        <v>61.9</v>
      </c>
      <c r="M274" s="46">
        <f>L274</f>
        <v>61.9</v>
      </c>
      <c r="N274" s="46">
        <f>L274</f>
        <v>61.9</v>
      </c>
      <c r="O274" s="46">
        <f t="shared" si="171"/>
        <v>68</v>
      </c>
      <c r="P274" s="46">
        <f t="shared" ref="P274" si="183">O274</f>
        <v>68</v>
      </c>
    </row>
    <row r="275" spans="1:16" x14ac:dyDescent="0.25">
      <c r="A275" s="45">
        <f>1/((1/Show!$A$4)-(1/Calc!K275))</f>
        <v>113.0593607305936</v>
      </c>
      <c r="B275" s="45">
        <f>MATCH(A275*Calc!$R$12,Calc!$K$1:$K$774,1)</f>
        <v>300</v>
      </c>
      <c r="C275" s="45">
        <f>INDEX(Calc!$K$1:$K$774,B275)</f>
        <v>110</v>
      </c>
      <c r="D275" s="45">
        <f>1/(1/C275+1/Calc!K275)</f>
        <v>39.610238510762073</v>
      </c>
      <c r="E275" s="45">
        <f>ABS(Show!$A$4-D275)/(Show!$A$4/100)</f>
        <v>0.9744037230948166</v>
      </c>
      <c r="F275" s="46">
        <f>Show!$A$4-Calc!L275</f>
        <v>-23.4</v>
      </c>
      <c r="G275" s="46" t="e">
        <f>MATCH(F275*Calc!$R$12,Calc!$K$1:$K$774,1)</f>
        <v>#N/A</v>
      </c>
      <c r="H275" s="46" t="e">
        <f>INDEX(Calc!$K$1:$K$774,G275)</f>
        <v>#N/A</v>
      </c>
      <c r="I275" s="46" t="e">
        <f>H275+Calc!K275</f>
        <v>#N/A</v>
      </c>
      <c r="J275" s="46" t="e">
        <f>ABS(Show!$A$4-I275)/(Show!$A$4/100)</f>
        <v>#N/A</v>
      </c>
      <c r="K275" s="45">
        <f>INDEX(Calc!L275:P275,Show!$B$4)</f>
        <v>61.9</v>
      </c>
      <c r="L275" s="46">
        <f t="shared" si="170"/>
        <v>63.4</v>
      </c>
      <c r="M275" s="46">
        <f>L274</f>
        <v>61.9</v>
      </c>
      <c r="N275" s="46">
        <f>L274</f>
        <v>61.9</v>
      </c>
      <c r="O275" s="46">
        <f t="shared" si="171"/>
        <v>68</v>
      </c>
      <c r="P275" s="46">
        <f t="shared" ref="P275" si="184">O274</f>
        <v>68</v>
      </c>
    </row>
    <row r="276" spans="1:16" x14ac:dyDescent="0.25">
      <c r="A276" s="45">
        <f>1/((1/Show!$A$4)-(1/Calc!K276))</f>
        <v>113.0593607305936</v>
      </c>
      <c r="B276" s="45">
        <f>MATCH(A276*Calc!$R$12,Calc!$K$1:$K$774,1)</f>
        <v>300</v>
      </c>
      <c r="C276" s="45">
        <f>INDEX(Calc!$K$1:$K$774,B276)</f>
        <v>110</v>
      </c>
      <c r="D276" s="45">
        <f>1/(1/C276+1/Calc!K276)</f>
        <v>39.610238510762073</v>
      </c>
      <c r="E276" s="45">
        <f>ABS(Show!$A$4-D276)/(Show!$A$4/100)</f>
        <v>0.9744037230948166</v>
      </c>
      <c r="F276" s="46">
        <f>Show!$A$4-Calc!L276</f>
        <v>-24.900000000000006</v>
      </c>
      <c r="G276" s="46" t="e">
        <f>MATCH(F276*Calc!$R$12,Calc!$K$1:$K$774,1)</f>
        <v>#N/A</v>
      </c>
      <c r="H276" s="46" t="e">
        <f>INDEX(Calc!$K$1:$K$774,G276)</f>
        <v>#N/A</v>
      </c>
      <c r="I276" s="46" t="e">
        <f>H276+Calc!K276</f>
        <v>#N/A</v>
      </c>
      <c r="J276" s="46" t="e">
        <f>ABS(Show!$A$4-I276)/(Show!$A$4/100)</f>
        <v>#N/A</v>
      </c>
      <c r="K276" s="45">
        <f>INDEX(Calc!L276:P276,Show!$B$4)</f>
        <v>61.9</v>
      </c>
      <c r="L276" s="46">
        <f t="shared" si="170"/>
        <v>64.900000000000006</v>
      </c>
      <c r="M276" s="46">
        <f>L276</f>
        <v>64.900000000000006</v>
      </c>
      <c r="N276" s="46">
        <f>L274</f>
        <v>61.9</v>
      </c>
      <c r="O276" s="46">
        <f t="shared" si="171"/>
        <v>68</v>
      </c>
      <c r="P276" s="46">
        <f t="shared" ref="P276" si="185">O274</f>
        <v>68</v>
      </c>
    </row>
    <row r="277" spans="1:16" x14ac:dyDescent="0.25">
      <c r="A277" s="45">
        <f>1/((1/Show!$A$4)-(1/Calc!K277))</f>
        <v>96.939501779359432</v>
      </c>
      <c r="B277" s="45">
        <f>MATCH(A277*Calc!$R$12,Calc!$K$1:$K$774,1)</f>
        <v>296</v>
      </c>
      <c r="C277" s="45">
        <f>INDEX(Calc!$K$1:$K$774,B277)</f>
        <v>100</v>
      </c>
      <c r="D277" s="45">
        <f>1/(1/C277+1/Calc!K277)</f>
        <v>40.511600237953594</v>
      </c>
      <c r="E277" s="45">
        <f>ABS(Show!$A$4-D277)/(Show!$A$4/100)</f>
        <v>1.2790005948839855</v>
      </c>
      <c r="F277" s="46">
        <f>Show!$A$4-Calc!L277</f>
        <v>-26.5</v>
      </c>
      <c r="G277" s="46" t="e">
        <f>MATCH(F277*Calc!$R$12,Calc!$K$1:$K$774,1)</f>
        <v>#N/A</v>
      </c>
      <c r="H277" s="46" t="e">
        <f>INDEX(Calc!$K$1:$K$774,G277)</f>
        <v>#N/A</v>
      </c>
      <c r="I277" s="46" t="e">
        <f>H277+Calc!K277</f>
        <v>#N/A</v>
      </c>
      <c r="J277" s="46" t="e">
        <f>ABS(Show!$A$4-I277)/(Show!$A$4/100)</f>
        <v>#N/A</v>
      </c>
      <c r="K277" s="45">
        <f>INDEX(Calc!L277:P277,Show!$B$4)</f>
        <v>68.099999999999994</v>
      </c>
      <c r="L277" s="46">
        <f t="shared" si="170"/>
        <v>66.5</v>
      </c>
      <c r="M277" s="46">
        <f>L276</f>
        <v>64.900000000000006</v>
      </c>
      <c r="N277" s="46">
        <f>L278</f>
        <v>68.099999999999994</v>
      </c>
      <c r="O277" s="46">
        <f t="shared" si="171"/>
        <v>68</v>
      </c>
      <c r="P277" s="46">
        <f t="shared" ref="P277" si="186">O274</f>
        <v>68</v>
      </c>
    </row>
    <row r="278" spans="1:16" x14ac:dyDescent="0.25">
      <c r="A278" s="45">
        <f>1/((1/Show!$A$4)-(1/Calc!K278))</f>
        <v>96.939501779359432</v>
      </c>
      <c r="B278" s="45">
        <f>MATCH(A278*Calc!$R$12,Calc!$K$1:$K$774,1)</f>
        <v>296</v>
      </c>
      <c r="C278" s="45">
        <f>INDEX(Calc!$K$1:$K$774,B278)</f>
        <v>100</v>
      </c>
      <c r="D278" s="45">
        <f>1/(1/C278+1/Calc!K278)</f>
        <v>40.511600237953594</v>
      </c>
      <c r="E278" s="45">
        <f>ABS(Show!$A$4-D278)/(Show!$A$4/100)</f>
        <v>1.2790005948839855</v>
      </c>
      <c r="F278" s="46">
        <f>Show!$A$4-Calc!L278</f>
        <v>-28.099999999999994</v>
      </c>
      <c r="G278" s="46" t="e">
        <f>MATCH(F278*Calc!$R$12,Calc!$K$1:$K$774,1)</f>
        <v>#N/A</v>
      </c>
      <c r="H278" s="46" t="e">
        <f>INDEX(Calc!$K$1:$K$774,G278)</f>
        <v>#N/A</v>
      </c>
      <c r="I278" s="46" t="e">
        <f>H278+Calc!K278</f>
        <v>#N/A</v>
      </c>
      <c r="J278" s="46" t="e">
        <f>ABS(Show!$A$4-I278)/(Show!$A$4/100)</f>
        <v>#N/A</v>
      </c>
      <c r="K278" s="45">
        <f>INDEX(Calc!L278:P278,Show!$B$4)</f>
        <v>68.099999999999994</v>
      </c>
      <c r="L278" s="46">
        <f t="shared" si="170"/>
        <v>68.099999999999994</v>
      </c>
      <c r="M278" s="46">
        <f>L278</f>
        <v>68.099999999999994</v>
      </c>
      <c r="N278" s="46">
        <f>L278</f>
        <v>68.099999999999994</v>
      </c>
      <c r="O278" s="46">
        <f t="shared" si="171"/>
        <v>68</v>
      </c>
      <c r="P278" s="46">
        <f t="shared" ref="P278" si="187">O274</f>
        <v>68</v>
      </c>
    </row>
    <row r="279" spans="1:16" x14ac:dyDescent="0.25">
      <c r="A279" s="45">
        <f>1/((1/Show!$A$4)-(1/Calc!K279))</f>
        <v>96.939501779359432</v>
      </c>
      <c r="B279" s="45">
        <f>MATCH(A279*Calc!$R$12,Calc!$K$1:$K$774,1)</f>
        <v>296</v>
      </c>
      <c r="C279" s="45">
        <f>INDEX(Calc!$K$1:$K$774,B279)</f>
        <v>100</v>
      </c>
      <c r="D279" s="45">
        <f>1/(1/C279+1/Calc!K279)</f>
        <v>40.511600237953594</v>
      </c>
      <c r="E279" s="45">
        <f>ABS(Show!$A$4-D279)/(Show!$A$4/100)</f>
        <v>1.2790005948839855</v>
      </c>
      <c r="F279" s="46">
        <f>Show!$A$4-Calc!L279</f>
        <v>-29.799999999999997</v>
      </c>
      <c r="G279" s="46" t="e">
        <f>MATCH(F279*Calc!$R$12,Calc!$K$1:$K$774,1)</f>
        <v>#N/A</v>
      </c>
      <c r="H279" s="46" t="e">
        <f>INDEX(Calc!$K$1:$K$774,G279)</f>
        <v>#N/A</v>
      </c>
      <c r="I279" s="46" t="e">
        <f>H279+Calc!K279</f>
        <v>#N/A</v>
      </c>
      <c r="J279" s="46" t="e">
        <f>ABS(Show!$A$4-I279)/(Show!$A$4/100)</f>
        <v>#N/A</v>
      </c>
      <c r="K279" s="45">
        <f>INDEX(Calc!L279:P279,Show!$B$4)</f>
        <v>68.099999999999994</v>
      </c>
      <c r="L279" s="46">
        <f t="shared" si="170"/>
        <v>69.8</v>
      </c>
      <c r="M279" s="46">
        <f>L278</f>
        <v>68.099999999999994</v>
      </c>
      <c r="N279" s="46">
        <f>L278</f>
        <v>68.099999999999994</v>
      </c>
      <c r="O279" s="46">
        <f t="shared" si="171"/>
        <v>68</v>
      </c>
      <c r="P279" s="46">
        <f t="shared" ref="P279" si="188">O274</f>
        <v>68</v>
      </c>
    </row>
    <row r="280" spans="1:16" x14ac:dyDescent="0.25">
      <c r="A280" s="45">
        <f>1/((1/Show!$A$4)-(1/Calc!K280))</f>
        <v>96.939501779359432</v>
      </c>
      <c r="B280" s="45">
        <f>MATCH(A280*Calc!$R$12,Calc!$K$1:$K$774,1)</f>
        <v>296</v>
      </c>
      <c r="C280" s="45">
        <f>INDEX(Calc!$K$1:$K$774,B280)</f>
        <v>100</v>
      </c>
      <c r="D280" s="45">
        <f>1/(1/C280+1/Calc!K280)</f>
        <v>40.511600237953594</v>
      </c>
      <c r="E280" s="45">
        <f>ABS(Show!$A$4-D280)/(Show!$A$4/100)</f>
        <v>1.2790005948839855</v>
      </c>
      <c r="F280" s="46">
        <f>Show!$A$4-Calc!L280</f>
        <v>-31.5</v>
      </c>
      <c r="G280" s="46" t="e">
        <f>MATCH(F280*Calc!$R$12,Calc!$K$1:$K$774,1)</f>
        <v>#N/A</v>
      </c>
      <c r="H280" s="46" t="e">
        <f>INDEX(Calc!$K$1:$K$774,G280)</f>
        <v>#N/A</v>
      </c>
      <c r="I280" s="46" t="e">
        <f>H280+Calc!K280</f>
        <v>#N/A</v>
      </c>
      <c r="J280" s="46" t="e">
        <f>ABS(Show!$A$4-I280)/(Show!$A$4/100)</f>
        <v>#N/A</v>
      </c>
      <c r="K280" s="45">
        <f>INDEX(Calc!L280:P280,Show!$B$4)</f>
        <v>68.099999999999994</v>
      </c>
      <c r="L280" s="46">
        <f t="shared" si="170"/>
        <v>71.5</v>
      </c>
      <c r="M280" s="46">
        <f>L280</f>
        <v>71.5</v>
      </c>
      <c r="N280" s="46">
        <f>L278</f>
        <v>68.099999999999994</v>
      </c>
      <c r="O280" s="46">
        <f t="shared" si="171"/>
        <v>68</v>
      </c>
      <c r="P280" s="46">
        <f t="shared" ref="P280" si="189">O274</f>
        <v>68</v>
      </c>
    </row>
    <row r="281" spans="1:16" x14ac:dyDescent="0.25">
      <c r="A281" s="45">
        <f>1/((1/Show!$A$4)-(1/Calc!K281))</f>
        <v>85.714285714285708</v>
      </c>
      <c r="B281" s="45">
        <f>MATCH(A281*Calc!$R$12,Calc!$K$1:$K$774,1)</f>
        <v>288</v>
      </c>
      <c r="C281" s="45">
        <f>INDEX(Calc!$K$1:$K$774,B281)</f>
        <v>82.5</v>
      </c>
      <c r="D281" s="45">
        <f>1/(1/C281+1/Calc!K281)</f>
        <v>39.285714285714285</v>
      </c>
      <c r="E281" s="45">
        <f>ABS(Show!$A$4-D281)/(Show!$A$4/100)</f>
        <v>1.7857142857142883</v>
      </c>
      <c r="F281" s="46">
        <f>Show!$A$4-Calc!L281</f>
        <v>-33.200000000000003</v>
      </c>
      <c r="G281" s="46" t="e">
        <f>MATCH(F281*Calc!$R$12,Calc!$K$1:$K$774,1)</f>
        <v>#N/A</v>
      </c>
      <c r="H281" s="46" t="e">
        <f>INDEX(Calc!$K$1:$K$774,G281)</f>
        <v>#N/A</v>
      </c>
      <c r="I281" s="46" t="e">
        <f>H281+Calc!K281</f>
        <v>#N/A</v>
      </c>
      <c r="J281" s="46" t="e">
        <f>ABS(Show!$A$4-I281)/(Show!$A$4/100)</f>
        <v>#N/A</v>
      </c>
      <c r="K281" s="45">
        <f>INDEX(Calc!L281:P281,Show!$B$4)</f>
        <v>75</v>
      </c>
      <c r="L281" s="46">
        <f t="shared" si="170"/>
        <v>73.2</v>
      </c>
      <c r="M281" s="46">
        <f>L280</f>
        <v>71.5</v>
      </c>
      <c r="N281" s="46">
        <f>L282</f>
        <v>75</v>
      </c>
      <c r="O281" s="46">
        <f t="shared" si="171"/>
        <v>68</v>
      </c>
      <c r="P281" s="46">
        <f t="shared" ref="P281" si="190">O274</f>
        <v>68</v>
      </c>
    </row>
    <row r="282" spans="1:16" x14ac:dyDescent="0.25">
      <c r="A282" s="45">
        <f>1/((1/Show!$A$4)-(1/Calc!K282))</f>
        <v>85.714285714285708</v>
      </c>
      <c r="B282" s="45">
        <f>MATCH(A282*Calc!$R$12,Calc!$K$1:$K$774,1)</f>
        <v>288</v>
      </c>
      <c r="C282" s="45">
        <f>INDEX(Calc!$K$1:$K$774,B282)</f>
        <v>82.5</v>
      </c>
      <c r="D282" s="45">
        <f>1/(1/C282+1/Calc!K282)</f>
        <v>39.285714285714285</v>
      </c>
      <c r="E282" s="45">
        <f>ABS(Show!$A$4-D282)/(Show!$A$4/100)</f>
        <v>1.7857142857142883</v>
      </c>
      <c r="F282" s="46">
        <f>Show!$A$4-Calc!L282</f>
        <v>-35</v>
      </c>
      <c r="G282" s="46" t="e">
        <f>MATCH(F282*Calc!$R$12,Calc!$K$1:$K$774,1)</f>
        <v>#N/A</v>
      </c>
      <c r="H282" s="46" t="e">
        <f>INDEX(Calc!$K$1:$K$774,G282)</f>
        <v>#N/A</v>
      </c>
      <c r="I282" s="46" t="e">
        <f>H282+Calc!K282</f>
        <v>#N/A</v>
      </c>
      <c r="J282" s="46" t="e">
        <f>ABS(Show!$A$4-I282)/(Show!$A$4/100)</f>
        <v>#N/A</v>
      </c>
      <c r="K282" s="45">
        <f>INDEX(Calc!L282:P282,Show!$B$4)</f>
        <v>75</v>
      </c>
      <c r="L282" s="46">
        <f t="shared" si="170"/>
        <v>75</v>
      </c>
      <c r="M282" s="46">
        <f>L282</f>
        <v>75</v>
      </c>
      <c r="N282" s="46">
        <f>L282</f>
        <v>75</v>
      </c>
      <c r="O282" s="46">
        <f t="shared" si="171"/>
        <v>82</v>
      </c>
      <c r="P282" s="46">
        <f t="shared" ref="P282" si="191">O274</f>
        <v>68</v>
      </c>
    </row>
    <row r="283" spans="1:16" x14ac:dyDescent="0.25">
      <c r="A283" s="45">
        <f>1/((1/Show!$A$4)-(1/Calc!K283))</f>
        <v>85.714285714285708</v>
      </c>
      <c r="B283" s="45">
        <f>MATCH(A283*Calc!$R$12,Calc!$K$1:$K$774,1)</f>
        <v>288</v>
      </c>
      <c r="C283" s="45">
        <f>INDEX(Calc!$K$1:$K$774,B283)</f>
        <v>82.5</v>
      </c>
      <c r="D283" s="45">
        <f>1/(1/C283+1/Calc!K283)</f>
        <v>39.285714285714285</v>
      </c>
      <c r="E283" s="45">
        <f>ABS(Show!$A$4-D283)/(Show!$A$4/100)</f>
        <v>1.7857142857142883</v>
      </c>
      <c r="F283" s="46">
        <f>Show!$A$4-Calc!L283</f>
        <v>-36.799999999999997</v>
      </c>
      <c r="G283" s="46" t="e">
        <f>MATCH(F283*Calc!$R$12,Calc!$K$1:$K$774,1)</f>
        <v>#N/A</v>
      </c>
      <c r="H283" s="46" t="e">
        <f>INDEX(Calc!$K$1:$K$774,G283)</f>
        <v>#N/A</v>
      </c>
      <c r="I283" s="46" t="e">
        <f>H283+Calc!K283</f>
        <v>#N/A</v>
      </c>
      <c r="J283" s="46" t="e">
        <f>ABS(Show!$A$4-I283)/(Show!$A$4/100)</f>
        <v>#N/A</v>
      </c>
      <c r="K283" s="45">
        <f>INDEX(Calc!L283:P283,Show!$B$4)</f>
        <v>75</v>
      </c>
      <c r="L283" s="46">
        <f t="shared" si="170"/>
        <v>76.8</v>
      </c>
      <c r="M283" s="46">
        <f>L282</f>
        <v>75</v>
      </c>
      <c r="N283" s="46">
        <f>L282</f>
        <v>75</v>
      </c>
      <c r="O283" s="46">
        <f t="shared" si="171"/>
        <v>82</v>
      </c>
      <c r="P283" s="46">
        <f t="shared" ref="P283" si="192">O274</f>
        <v>68</v>
      </c>
    </row>
    <row r="284" spans="1:16" x14ac:dyDescent="0.25">
      <c r="A284" s="45">
        <f>1/((1/Show!$A$4)-(1/Calc!K284))</f>
        <v>85.714285714285708</v>
      </c>
      <c r="B284" s="45">
        <f>MATCH(A284*Calc!$R$12,Calc!$K$1:$K$774,1)</f>
        <v>288</v>
      </c>
      <c r="C284" s="45">
        <f>INDEX(Calc!$K$1:$K$774,B284)</f>
        <v>82.5</v>
      </c>
      <c r="D284" s="45">
        <f>1/(1/C284+1/Calc!K284)</f>
        <v>39.285714285714285</v>
      </c>
      <c r="E284" s="45">
        <f>ABS(Show!$A$4-D284)/(Show!$A$4/100)</f>
        <v>1.7857142857142883</v>
      </c>
      <c r="F284" s="46">
        <f>Show!$A$4-Calc!L284</f>
        <v>-38.700000000000003</v>
      </c>
      <c r="G284" s="46" t="e">
        <f>MATCH(F284*Calc!$R$12,Calc!$K$1:$K$774,1)</f>
        <v>#N/A</v>
      </c>
      <c r="H284" s="46" t="e">
        <f>INDEX(Calc!$K$1:$K$774,G284)</f>
        <v>#N/A</v>
      </c>
      <c r="I284" s="46" t="e">
        <f>H284+Calc!K284</f>
        <v>#N/A</v>
      </c>
      <c r="J284" s="46" t="e">
        <f>ABS(Show!$A$4-I284)/(Show!$A$4/100)</f>
        <v>#N/A</v>
      </c>
      <c r="K284" s="45">
        <f>INDEX(Calc!L284:P284,Show!$B$4)</f>
        <v>75</v>
      </c>
      <c r="L284" s="46">
        <f t="shared" si="170"/>
        <v>78.7</v>
      </c>
      <c r="M284" s="46">
        <f>L284</f>
        <v>78.7</v>
      </c>
      <c r="N284" s="46">
        <f>L282</f>
        <v>75</v>
      </c>
      <c r="O284" s="46">
        <f t="shared" si="171"/>
        <v>82</v>
      </c>
      <c r="P284" s="46">
        <f t="shared" ref="P284" si="193">O274</f>
        <v>68</v>
      </c>
    </row>
    <row r="285" spans="1:16" x14ac:dyDescent="0.25">
      <c r="A285" s="45">
        <f>1/((1/Show!$A$4)-(1/Calc!K285))</f>
        <v>77.647058823529406</v>
      </c>
      <c r="B285" s="45">
        <f>MATCH(A285*Calc!$R$12,Calc!$K$1:$K$774,1)</f>
        <v>284</v>
      </c>
      <c r="C285" s="45">
        <f>INDEX(Calc!$K$1:$K$774,B285)</f>
        <v>75</v>
      </c>
      <c r="D285" s="45">
        <f>1/(1/C285+1/Calc!K285)</f>
        <v>39.285714285714285</v>
      </c>
      <c r="E285" s="45">
        <f>ABS(Show!$A$4-D285)/(Show!$A$4/100)</f>
        <v>1.7857142857142883</v>
      </c>
      <c r="F285" s="46">
        <f>Show!$A$4-Calc!L285</f>
        <v>-40.599999999999994</v>
      </c>
      <c r="G285" s="46" t="e">
        <f>MATCH(F285*Calc!$R$12,Calc!$K$1:$K$774,1)</f>
        <v>#N/A</v>
      </c>
      <c r="H285" s="46" t="e">
        <f>INDEX(Calc!$K$1:$K$774,G285)</f>
        <v>#N/A</v>
      </c>
      <c r="I285" s="46" t="e">
        <f>H285+Calc!K285</f>
        <v>#N/A</v>
      </c>
      <c r="J285" s="46" t="e">
        <f>ABS(Show!$A$4-I285)/(Show!$A$4/100)</f>
        <v>#N/A</v>
      </c>
      <c r="K285" s="45">
        <f>INDEX(Calc!L285:P285,Show!$B$4)</f>
        <v>82.5</v>
      </c>
      <c r="L285" s="46">
        <f t="shared" si="170"/>
        <v>80.599999999999994</v>
      </c>
      <c r="M285" s="46">
        <f>L284</f>
        <v>78.7</v>
      </c>
      <c r="N285" s="46">
        <f>L286</f>
        <v>82.5</v>
      </c>
      <c r="O285" s="46">
        <f t="shared" si="171"/>
        <v>82</v>
      </c>
      <c r="P285" s="46">
        <f t="shared" ref="P285" si="194">O274</f>
        <v>68</v>
      </c>
    </row>
    <row r="286" spans="1:16" x14ac:dyDescent="0.25">
      <c r="A286" s="45">
        <f>1/((1/Show!$A$4)-(1/Calc!K286))</f>
        <v>77.647058823529406</v>
      </c>
      <c r="B286" s="45">
        <f>MATCH(A286*Calc!$R$12,Calc!$K$1:$K$774,1)</f>
        <v>284</v>
      </c>
      <c r="C286" s="45">
        <f>INDEX(Calc!$K$1:$K$774,B286)</f>
        <v>75</v>
      </c>
      <c r="D286" s="45">
        <f>1/(1/C286+1/Calc!K286)</f>
        <v>39.285714285714285</v>
      </c>
      <c r="E286" s="45">
        <f>ABS(Show!$A$4-D286)/(Show!$A$4/100)</f>
        <v>1.7857142857142883</v>
      </c>
      <c r="F286" s="46">
        <f>Show!$A$4-Calc!L286</f>
        <v>-42.5</v>
      </c>
      <c r="G286" s="46" t="e">
        <f>MATCH(F286*Calc!$R$12,Calc!$K$1:$K$774,1)</f>
        <v>#N/A</v>
      </c>
      <c r="H286" s="46" t="e">
        <f>INDEX(Calc!$K$1:$K$774,G286)</f>
        <v>#N/A</v>
      </c>
      <c r="I286" s="46" t="e">
        <f>H286+Calc!K286</f>
        <v>#N/A</v>
      </c>
      <c r="J286" s="46" t="e">
        <f>ABS(Show!$A$4-I286)/(Show!$A$4/100)</f>
        <v>#N/A</v>
      </c>
      <c r="K286" s="45">
        <f>INDEX(Calc!L286:P286,Show!$B$4)</f>
        <v>82.5</v>
      </c>
      <c r="L286" s="46">
        <f t="shared" si="170"/>
        <v>82.5</v>
      </c>
      <c r="M286" s="46">
        <f>L286</f>
        <v>82.5</v>
      </c>
      <c r="N286" s="46">
        <f>L286</f>
        <v>82.5</v>
      </c>
      <c r="O286" s="46">
        <f t="shared" si="171"/>
        <v>82</v>
      </c>
      <c r="P286" s="46">
        <f t="shared" ref="P286" si="195">O290</f>
        <v>100</v>
      </c>
    </row>
    <row r="287" spans="1:16" x14ac:dyDescent="0.25">
      <c r="A287" s="45">
        <f>1/((1/Show!$A$4)-(1/Calc!K287))</f>
        <v>77.647058823529406</v>
      </c>
      <c r="B287" s="45">
        <f>MATCH(A287*Calc!$R$12,Calc!$K$1:$K$774,1)</f>
        <v>284</v>
      </c>
      <c r="C287" s="45">
        <f>INDEX(Calc!$K$1:$K$774,B287)</f>
        <v>75</v>
      </c>
      <c r="D287" s="45">
        <f>1/(1/C287+1/Calc!K287)</f>
        <v>39.285714285714285</v>
      </c>
      <c r="E287" s="45">
        <f>ABS(Show!$A$4-D287)/(Show!$A$4/100)</f>
        <v>1.7857142857142883</v>
      </c>
      <c r="F287" s="46">
        <f>Show!$A$4-Calc!L287</f>
        <v>-44.5</v>
      </c>
      <c r="G287" s="46" t="e">
        <f>MATCH(F287*Calc!$R$12,Calc!$K$1:$K$774,1)</f>
        <v>#N/A</v>
      </c>
      <c r="H287" s="46" t="e">
        <f>INDEX(Calc!$K$1:$K$774,G287)</f>
        <v>#N/A</v>
      </c>
      <c r="I287" s="46" t="e">
        <f>H287+Calc!K287</f>
        <v>#N/A</v>
      </c>
      <c r="J287" s="46" t="e">
        <f>ABS(Show!$A$4-I287)/(Show!$A$4/100)</f>
        <v>#N/A</v>
      </c>
      <c r="K287" s="45">
        <f>INDEX(Calc!L287:P287,Show!$B$4)</f>
        <v>82.5</v>
      </c>
      <c r="L287" s="46">
        <f t="shared" si="170"/>
        <v>84.5</v>
      </c>
      <c r="M287" s="46">
        <f>L286</f>
        <v>82.5</v>
      </c>
      <c r="N287" s="46">
        <f>L286</f>
        <v>82.5</v>
      </c>
      <c r="O287" s="46">
        <f t="shared" si="171"/>
        <v>82</v>
      </c>
      <c r="P287" s="46">
        <f t="shared" ref="P287" si="196">O290</f>
        <v>100</v>
      </c>
    </row>
    <row r="288" spans="1:16" x14ac:dyDescent="0.25">
      <c r="A288" s="45">
        <f>1/((1/Show!$A$4)-(1/Calc!K288))</f>
        <v>77.647058823529406</v>
      </c>
      <c r="B288" s="45">
        <f>MATCH(A288*Calc!$R$12,Calc!$K$1:$K$774,1)</f>
        <v>284</v>
      </c>
      <c r="C288" s="45">
        <f>INDEX(Calc!$K$1:$K$774,B288)</f>
        <v>75</v>
      </c>
      <c r="D288" s="45">
        <f>1/(1/C288+1/Calc!K288)</f>
        <v>39.285714285714285</v>
      </c>
      <c r="E288" s="45">
        <f>ABS(Show!$A$4-D288)/(Show!$A$4/100)</f>
        <v>1.7857142857142883</v>
      </c>
      <c r="F288" s="46">
        <f>Show!$A$4-Calc!L288</f>
        <v>-46.599999999999994</v>
      </c>
      <c r="G288" s="46" t="e">
        <f>MATCH(F288*Calc!$R$12,Calc!$K$1:$K$774,1)</f>
        <v>#N/A</v>
      </c>
      <c r="H288" s="46" t="e">
        <f>INDEX(Calc!$K$1:$K$774,G288)</f>
        <v>#N/A</v>
      </c>
      <c r="I288" s="46" t="e">
        <f>H288+Calc!K288</f>
        <v>#N/A</v>
      </c>
      <c r="J288" s="46" t="e">
        <f>ABS(Show!$A$4-I288)/(Show!$A$4/100)</f>
        <v>#N/A</v>
      </c>
      <c r="K288" s="45">
        <f>INDEX(Calc!L288:P288,Show!$B$4)</f>
        <v>82.5</v>
      </c>
      <c r="L288" s="46">
        <f t="shared" si="170"/>
        <v>86.6</v>
      </c>
      <c r="M288" s="46">
        <f>L288</f>
        <v>86.6</v>
      </c>
      <c r="N288" s="46">
        <f>L286</f>
        <v>82.5</v>
      </c>
      <c r="O288" s="46">
        <f t="shared" si="171"/>
        <v>82</v>
      </c>
      <c r="P288" s="46">
        <f t="shared" ref="P288" si="197">O290</f>
        <v>100</v>
      </c>
    </row>
    <row r="289" spans="1:18" x14ac:dyDescent="0.25">
      <c r="A289" s="45">
        <f>1/((1/Show!$A$4)-(1/Calc!K289))</f>
        <v>71.434184675834956</v>
      </c>
      <c r="B289" s="45">
        <f>MATCH(A289*Calc!$R$12,Calc!$K$1:$K$774,1)</f>
        <v>280</v>
      </c>
      <c r="C289" s="45">
        <f>INDEX(Calc!$K$1:$K$774,B289)</f>
        <v>68.099999999999994</v>
      </c>
      <c r="D289" s="45">
        <f>1/(1/C289+1/Calc!K289)</f>
        <v>38.932641509433957</v>
      </c>
      <c r="E289" s="45">
        <f>ABS(Show!$A$4-D289)/(Show!$A$4/100)</f>
        <v>2.6683962264151084</v>
      </c>
      <c r="F289" s="46">
        <f>Show!$A$4-Calc!L289</f>
        <v>-48.7</v>
      </c>
      <c r="G289" s="46" t="e">
        <f>MATCH(F289*Calc!$R$12,Calc!$K$1:$K$774,1)</f>
        <v>#N/A</v>
      </c>
      <c r="H289" s="46" t="e">
        <f>INDEX(Calc!$K$1:$K$774,G289)</f>
        <v>#N/A</v>
      </c>
      <c r="I289" s="46" t="e">
        <f>H289+Calc!K289</f>
        <v>#N/A</v>
      </c>
      <c r="J289" s="46" t="e">
        <f>ABS(Show!$A$4-I289)/(Show!$A$4/100)</f>
        <v>#N/A</v>
      </c>
      <c r="K289" s="45">
        <f>INDEX(Calc!L289:P289,Show!$B$4)</f>
        <v>90.9</v>
      </c>
      <c r="L289" s="46">
        <f t="shared" si="170"/>
        <v>88.7</v>
      </c>
      <c r="M289" s="46">
        <f>L288</f>
        <v>86.6</v>
      </c>
      <c r="N289" s="46">
        <f>L290</f>
        <v>90.9</v>
      </c>
      <c r="O289" s="46">
        <f t="shared" si="171"/>
        <v>82</v>
      </c>
      <c r="P289" s="46">
        <f t="shared" ref="P289" si="198">O290</f>
        <v>100</v>
      </c>
    </row>
    <row r="290" spans="1:18" x14ac:dyDescent="0.25">
      <c r="A290" s="45">
        <f>1/((1/Show!$A$4)-(1/Calc!K290))</f>
        <v>71.434184675834956</v>
      </c>
      <c r="B290" s="45">
        <f>MATCH(A290*Calc!$R$12,Calc!$K$1:$K$774,1)</f>
        <v>280</v>
      </c>
      <c r="C290" s="45">
        <f>INDEX(Calc!$K$1:$K$774,B290)</f>
        <v>68.099999999999994</v>
      </c>
      <c r="D290" s="45">
        <f>1/(1/C290+1/Calc!K290)</f>
        <v>38.932641509433957</v>
      </c>
      <c r="E290" s="45">
        <f>ABS(Show!$A$4-D290)/(Show!$A$4/100)</f>
        <v>2.6683962264151084</v>
      </c>
      <c r="F290" s="46">
        <f>Show!$A$4-Calc!L290</f>
        <v>-50.900000000000006</v>
      </c>
      <c r="G290" s="46" t="e">
        <f>MATCH(F290*Calc!$R$12,Calc!$K$1:$K$774,1)</f>
        <v>#N/A</v>
      </c>
      <c r="H290" s="46" t="e">
        <f>INDEX(Calc!$K$1:$K$774,G290)</f>
        <v>#N/A</v>
      </c>
      <c r="I290" s="46" t="e">
        <f>H290+Calc!K290</f>
        <v>#N/A</v>
      </c>
      <c r="J290" s="46" t="e">
        <f>ABS(Show!$A$4-I290)/(Show!$A$4/100)</f>
        <v>#N/A</v>
      </c>
      <c r="K290" s="45">
        <f>INDEX(Calc!L290:P290,Show!$B$4)</f>
        <v>90.9</v>
      </c>
      <c r="L290" s="46">
        <f t="shared" si="170"/>
        <v>90.9</v>
      </c>
      <c r="M290" s="46">
        <f>L290</f>
        <v>90.9</v>
      </c>
      <c r="N290" s="46">
        <f>L290</f>
        <v>90.9</v>
      </c>
      <c r="O290" s="46">
        <f t="shared" si="171"/>
        <v>100</v>
      </c>
      <c r="P290" s="46">
        <f t="shared" ref="P290" si="199">O290</f>
        <v>100</v>
      </c>
    </row>
    <row r="291" spans="1:18" x14ac:dyDescent="0.25">
      <c r="A291" s="45">
        <f>1/((1/Show!$A$4)-(1/Calc!K291))</f>
        <v>71.434184675834956</v>
      </c>
      <c r="B291" s="45">
        <f>MATCH(A291*Calc!$R$12,Calc!$K$1:$K$774,1)</f>
        <v>280</v>
      </c>
      <c r="C291" s="45">
        <f>INDEX(Calc!$K$1:$K$774,B291)</f>
        <v>68.099999999999994</v>
      </c>
      <c r="D291" s="45">
        <f>1/(1/C291+1/Calc!K291)</f>
        <v>38.932641509433957</v>
      </c>
      <c r="E291" s="45">
        <f>ABS(Show!$A$4-D291)/(Show!$A$4/100)</f>
        <v>2.6683962264151084</v>
      </c>
      <c r="F291" s="46">
        <f>Show!$A$4-Calc!L291</f>
        <v>-53.099999999999994</v>
      </c>
      <c r="G291" s="46" t="e">
        <f>MATCH(F291*Calc!$R$12,Calc!$K$1:$K$774,1)</f>
        <v>#N/A</v>
      </c>
      <c r="H291" s="46" t="e">
        <f>INDEX(Calc!$K$1:$K$774,G291)</f>
        <v>#N/A</v>
      </c>
      <c r="I291" s="46" t="e">
        <f>H291+Calc!K291</f>
        <v>#N/A</v>
      </c>
      <c r="J291" s="46" t="e">
        <f>ABS(Show!$A$4-I291)/(Show!$A$4/100)</f>
        <v>#N/A</v>
      </c>
      <c r="K291" s="45">
        <f>INDEX(Calc!L291:P291,Show!$B$4)</f>
        <v>90.9</v>
      </c>
      <c r="L291" s="46">
        <f t="shared" si="170"/>
        <v>93.1</v>
      </c>
      <c r="M291" s="46">
        <f>L290</f>
        <v>90.9</v>
      </c>
      <c r="N291" s="46">
        <f>L290</f>
        <v>90.9</v>
      </c>
      <c r="O291" s="46">
        <f t="shared" si="171"/>
        <v>100</v>
      </c>
      <c r="P291" s="46">
        <f t="shared" ref="P291" si="200">O290</f>
        <v>100</v>
      </c>
    </row>
    <row r="292" spans="1:18" x14ac:dyDescent="0.25">
      <c r="A292" s="45">
        <f>1/((1/Show!$A$4)-(1/Calc!K292))</f>
        <v>71.434184675834956</v>
      </c>
      <c r="B292" s="45">
        <f>MATCH(A292*Calc!$R$12,Calc!$K$1:$K$774,1)</f>
        <v>280</v>
      </c>
      <c r="C292" s="45">
        <f>INDEX(Calc!$K$1:$K$774,B292)</f>
        <v>68.099999999999994</v>
      </c>
      <c r="D292" s="45">
        <f>1/(1/C292+1/Calc!K292)</f>
        <v>38.932641509433957</v>
      </c>
      <c r="E292" s="45">
        <f>ABS(Show!$A$4-D292)/(Show!$A$4/100)</f>
        <v>2.6683962264151084</v>
      </c>
      <c r="F292" s="46">
        <f>Show!$A$4-Calc!L292</f>
        <v>-55.3</v>
      </c>
      <c r="G292" s="46" t="e">
        <f>MATCH(F292*Calc!$R$12,Calc!$K$1:$K$774,1)</f>
        <v>#N/A</v>
      </c>
      <c r="H292" s="46" t="e">
        <f>INDEX(Calc!$K$1:$K$774,G292)</f>
        <v>#N/A</v>
      </c>
      <c r="I292" s="46" t="e">
        <f>H292+Calc!K292</f>
        <v>#N/A</v>
      </c>
      <c r="J292" s="46" t="e">
        <f>ABS(Show!$A$4-I292)/(Show!$A$4/100)</f>
        <v>#N/A</v>
      </c>
      <c r="K292" s="45">
        <f>INDEX(Calc!L292:P292,Show!$B$4)</f>
        <v>90.9</v>
      </c>
      <c r="L292" s="46">
        <f t="shared" si="170"/>
        <v>95.3</v>
      </c>
      <c r="M292" s="46">
        <f>L292</f>
        <v>95.3</v>
      </c>
      <c r="N292" s="46">
        <f>L290</f>
        <v>90.9</v>
      </c>
      <c r="O292" s="46">
        <f t="shared" si="171"/>
        <v>100</v>
      </c>
      <c r="P292" s="46">
        <f t="shared" ref="P292" si="201">O290</f>
        <v>100</v>
      </c>
    </row>
    <row r="293" spans="1:18" s="43" customFormat="1" ht="15.75" thickBot="1" x14ac:dyDescent="0.3">
      <c r="A293" s="47">
        <f>1/((1/Show!$A$4)-(1/Calc!K293))</f>
        <v>66.666666666666657</v>
      </c>
      <c r="B293" s="47">
        <f>MATCH(A293*Calc!$R$12,Calc!$K$1:$K$774,1)</f>
        <v>280</v>
      </c>
      <c r="C293" s="47">
        <f>INDEX(Calc!$K$1:$K$774,B293)</f>
        <v>68.099999999999994</v>
      </c>
      <c r="D293" s="47">
        <f>1/(1/C293+1/Calc!K293)</f>
        <v>40.511600237953594</v>
      </c>
      <c r="E293" s="47">
        <f>ABS(Show!$A$4-D293)/(Show!$A$4/100)</f>
        <v>1.2790005948839855</v>
      </c>
      <c r="F293" s="48">
        <f>Show!$A$4-Calc!L293</f>
        <v>-57.599999999999994</v>
      </c>
      <c r="G293" s="48" t="e">
        <f>MATCH(F293*Calc!$R$12,Calc!$K$1:$K$774,1)</f>
        <v>#N/A</v>
      </c>
      <c r="H293" s="48" t="e">
        <f>INDEX(Calc!$K$1:$K$774,G293)</f>
        <v>#N/A</v>
      </c>
      <c r="I293" s="48" t="e">
        <f>H293+Calc!K293</f>
        <v>#N/A</v>
      </c>
      <c r="J293" s="48" t="e">
        <f>ABS(Show!$A$4-I293)/(Show!$A$4/100)</f>
        <v>#N/A</v>
      </c>
      <c r="K293" s="47">
        <f>INDEX(Calc!L293:P293,Show!$B$4)</f>
        <v>100</v>
      </c>
      <c r="L293" s="48">
        <f t="shared" si="170"/>
        <v>97.6</v>
      </c>
      <c r="M293" s="48">
        <f>L292</f>
        <v>95.3</v>
      </c>
      <c r="N293" s="48">
        <f>L294</f>
        <v>100</v>
      </c>
      <c r="O293" s="48">
        <f t="shared" si="171"/>
        <v>100</v>
      </c>
      <c r="P293" s="48">
        <f t="shared" ref="P293" si="202">O290</f>
        <v>100</v>
      </c>
      <c r="Q293" s="47"/>
      <c r="R293" s="47"/>
    </row>
    <row r="294" spans="1:18" ht="15.75" thickTop="1" x14ac:dyDescent="0.25">
      <c r="A294" s="45">
        <f>1/((1/Show!$A$4)-(1/Calc!K294))</f>
        <v>66.666666666666657</v>
      </c>
      <c r="B294" s="45">
        <f>MATCH(A294*Calc!$R$12,Calc!$K$1:$K$774,1)</f>
        <v>280</v>
      </c>
      <c r="C294" s="45">
        <f>INDEX(Calc!$K$1:$K$774,B294)</f>
        <v>68.099999999999994</v>
      </c>
      <c r="D294" s="45">
        <f>1/(1/C294+1/Calc!K294)</f>
        <v>40.511600237953594</v>
      </c>
      <c r="E294" s="45">
        <f>ABS(Show!$A$4-D294)/(Show!$A$4/100)</f>
        <v>1.2790005948839855</v>
      </c>
      <c r="F294" s="46">
        <f>Show!$A$4-Calc!L294</f>
        <v>-60</v>
      </c>
      <c r="G294" s="46" t="e">
        <f>MATCH(F294*Calc!$R$12,Calc!$K$1:$K$774,1)</f>
        <v>#N/A</v>
      </c>
      <c r="H294" s="46" t="e">
        <f>INDEX(Calc!$K$1:$K$774,G294)</f>
        <v>#N/A</v>
      </c>
      <c r="I294" s="46" t="e">
        <f>H294+Calc!K294</f>
        <v>#N/A</v>
      </c>
      <c r="J294" s="46" t="e">
        <f>ABS(Show!$A$4-I294)/(Show!$A$4/100)</f>
        <v>#N/A</v>
      </c>
      <c r="K294" s="45">
        <f>INDEX(Calc!L294:P294,Show!$B$4)</f>
        <v>100</v>
      </c>
      <c r="L294" s="46">
        <f>L6*1000</f>
        <v>100</v>
      </c>
      <c r="M294" s="46">
        <f>L294</f>
        <v>100</v>
      </c>
      <c r="N294" s="46">
        <f>L294</f>
        <v>100</v>
      </c>
      <c r="O294" s="46">
        <f>O6*1000</f>
        <v>100</v>
      </c>
      <c r="P294" s="46">
        <f t="shared" ref="P294" si="203">O294</f>
        <v>100</v>
      </c>
    </row>
    <row r="295" spans="1:18" x14ac:dyDescent="0.25">
      <c r="A295" s="45">
        <f>1/((1/Show!$A$4)-(1/Calc!K295))</f>
        <v>66.666666666666657</v>
      </c>
      <c r="B295" s="45">
        <f>MATCH(A295*Calc!$R$12,Calc!$K$1:$K$774,1)</f>
        <v>280</v>
      </c>
      <c r="C295" s="45">
        <f>INDEX(Calc!$K$1:$K$774,B295)</f>
        <v>68.099999999999994</v>
      </c>
      <c r="D295" s="45">
        <f>1/(1/C295+1/Calc!K295)</f>
        <v>40.511600237953594</v>
      </c>
      <c r="E295" s="45">
        <f>ABS(Show!$A$4-D295)/(Show!$A$4/100)</f>
        <v>1.2790005948839855</v>
      </c>
      <c r="F295" s="46">
        <f>Show!$A$4-Calc!L295</f>
        <v>-62</v>
      </c>
      <c r="G295" s="46" t="e">
        <f>MATCH(F295*Calc!$R$12,Calc!$K$1:$K$774,1)</f>
        <v>#N/A</v>
      </c>
      <c r="H295" s="46" t="e">
        <f>INDEX(Calc!$K$1:$K$774,G295)</f>
        <v>#N/A</v>
      </c>
      <c r="I295" s="46" t="e">
        <f>H295+Calc!K295</f>
        <v>#N/A</v>
      </c>
      <c r="J295" s="46" t="e">
        <f>ABS(Show!$A$4-I295)/(Show!$A$4/100)</f>
        <v>#N/A</v>
      </c>
      <c r="K295" s="45">
        <f>INDEX(Calc!L295:P295,Show!$B$4)</f>
        <v>100</v>
      </c>
      <c r="L295" s="46">
        <f t="shared" ref="L295:L358" si="204">L7*1000</f>
        <v>102</v>
      </c>
      <c r="M295" s="46">
        <f>L294</f>
        <v>100</v>
      </c>
      <c r="N295" s="46">
        <f>L294</f>
        <v>100</v>
      </c>
      <c r="O295" s="46">
        <f t="shared" ref="O295:O358" si="205">O7*1000</f>
        <v>100</v>
      </c>
      <c r="P295" s="46">
        <f t="shared" ref="P295" si="206">O294</f>
        <v>100</v>
      </c>
    </row>
    <row r="296" spans="1:18" x14ac:dyDescent="0.25">
      <c r="A296" s="45">
        <f>1/((1/Show!$A$4)-(1/Calc!K296))</f>
        <v>66.666666666666657</v>
      </c>
      <c r="B296" s="45">
        <f>MATCH(A296*Calc!$R$12,Calc!$K$1:$K$774,1)</f>
        <v>280</v>
      </c>
      <c r="C296" s="45">
        <f>INDEX(Calc!$K$1:$K$774,B296)</f>
        <v>68.099999999999994</v>
      </c>
      <c r="D296" s="45">
        <f>1/(1/C296+1/Calc!K296)</f>
        <v>40.511600237953594</v>
      </c>
      <c r="E296" s="45">
        <f>ABS(Show!$A$4-D296)/(Show!$A$4/100)</f>
        <v>1.2790005948839855</v>
      </c>
      <c r="F296" s="46">
        <f>Show!$A$4-Calc!L296</f>
        <v>-65</v>
      </c>
      <c r="G296" s="46" t="e">
        <f>MATCH(F296*Calc!$R$12,Calc!$K$1:$K$774,1)</f>
        <v>#N/A</v>
      </c>
      <c r="H296" s="46" t="e">
        <f>INDEX(Calc!$K$1:$K$774,G296)</f>
        <v>#N/A</v>
      </c>
      <c r="I296" s="46" t="e">
        <f>H296+Calc!K296</f>
        <v>#N/A</v>
      </c>
      <c r="J296" s="46" t="e">
        <f>ABS(Show!$A$4-I296)/(Show!$A$4/100)</f>
        <v>#N/A</v>
      </c>
      <c r="K296" s="45">
        <f>INDEX(Calc!L296:P296,Show!$B$4)</f>
        <v>100</v>
      </c>
      <c r="L296" s="46">
        <f t="shared" si="204"/>
        <v>105</v>
      </c>
      <c r="M296" s="46">
        <f>L296</f>
        <v>105</v>
      </c>
      <c r="N296" s="46">
        <f>L294</f>
        <v>100</v>
      </c>
      <c r="O296" s="46">
        <f t="shared" si="205"/>
        <v>100</v>
      </c>
      <c r="P296" s="46">
        <f t="shared" ref="P296" si="207">O294</f>
        <v>100</v>
      </c>
    </row>
    <row r="297" spans="1:18" x14ac:dyDescent="0.25">
      <c r="A297" s="45">
        <f>1/((1/Show!$A$4)-(1/Calc!K297))</f>
        <v>62.857142857142847</v>
      </c>
      <c r="B297" s="45">
        <f>MATCH(A297*Calc!$R$12,Calc!$K$1:$K$774,1)</f>
        <v>276</v>
      </c>
      <c r="C297" s="45">
        <f>INDEX(Calc!$K$1:$K$774,B297)</f>
        <v>61.9</v>
      </c>
      <c r="D297" s="45">
        <f>1/(1/C297+1/Calc!K297)</f>
        <v>39.610238510762073</v>
      </c>
      <c r="E297" s="45">
        <f>ABS(Show!$A$4-D297)/(Show!$A$4/100)</f>
        <v>0.9744037230948166</v>
      </c>
      <c r="F297" s="46">
        <f>Show!$A$4-Calc!L297</f>
        <v>-67</v>
      </c>
      <c r="G297" s="46" t="e">
        <f>MATCH(F297*Calc!$R$12,Calc!$K$1:$K$774,1)</f>
        <v>#N/A</v>
      </c>
      <c r="H297" s="46" t="e">
        <f>INDEX(Calc!$K$1:$K$774,G297)</f>
        <v>#N/A</v>
      </c>
      <c r="I297" s="46" t="e">
        <f>H297+Calc!K297</f>
        <v>#N/A</v>
      </c>
      <c r="J297" s="46" t="e">
        <f>ABS(Show!$A$4-I297)/(Show!$A$4/100)</f>
        <v>#N/A</v>
      </c>
      <c r="K297" s="45">
        <f>INDEX(Calc!L297:P297,Show!$B$4)</f>
        <v>110</v>
      </c>
      <c r="L297" s="46">
        <f t="shared" si="204"/>
        <v>107</v>
      </c>
      <c r="M297" s="46">
        <f>L296</f>
        <v>105</v>
      </c>
      <c r="N297" s="46">
        <f>L298</f>
        <v>110</v>
      </c>
      <c r="O297" s="46">
        <f t="shared" si="205"/>
        <v>100</v>
      </c>
      <c r="P297" s="46">
        <f t="shared" ref="P297" si="208">O294</f>
        <v>100</v>
      </c>
    </row>
    <row r="298" spans="1:18" x14ac:dyDescent="0.25">
      <c r="A298" s="45">
        <f>1/((1/Show!$A$4)-(1/Calc!K298))</f>
        <v>62.857142857142847</v>
      </c>
      <c r="B298" s="45">
        <f>MATCH(A298*Calc!$R$12,Calc!$K$1:$K$774,1)</f>
        <v>276</v>
      </c>
      <c r="C298" s="45">
        <f>INDEX(Calc!$K$1:$K$774,B298)</f>
        <v>61.9</v>
      </c>
      <c r="D298" s="45">
        <f>1/(1/C298+1/Calc!K298)</f>
        <v>39.610238510762073</v>
      </c>
      <c r="E298" s="45">
        <f>ABS(Show!$A$4-D298)/(Show!$A$4/100)</f>
        <v>0.9744037230948166</v>
      </c>
      <c r="F298" s="46">
        <f>Show!$A$4-Calc!L298</f>
        <v>-70</v>
      </c>
      <c r="G298" s="46" t="e">
        <f>MATCH(F298*Calc!$R$12,Calc!$K$1:$K$774,1)</f>
        <v>#N/A</v>
      </c>
      <c r="H298" s="46" t="e">
        <f>INDEX(Calc!$K$1:$K$774,G298)</f>
        <v>#N/A</v>
      </c>
      <c r="I298" s="46" t="e">
        <f>H298+Calc!K298</f>
        <v>#N/A</v>
      </c>
      <c r="J298" s="46" t="e">
        <f>ABS(Show!$A$4-I298)/(Show!$A$4/100)</f>
        <v>#N/A</v>
      </c>
      <c r="K298" s="45">
        <f>INDEX(Calc!L298:P298,Show!$B$4)</f>
        <v>110</v>
      </c>
      <c r="L298" s="46">
        <f t="shared" si="204"/>
        <v>110</v>
      </c>
      <c r="M298" s="46">
        <f>L298</f>
        <v>110</v>
      </c>
      <c r="N298" s="46">
        <f>L298</f>
        <v>110</v>
      </c>
      <c r="O298" s="46">
        <f t="shared" si="205"/>
        <v>120</v>
      </c>
      <c r="P298" s="46">
        <f t="shared" ref="P298" si="209">O294</f>
        <v>100</v>
      </c>
    </row>
    <row r="299" spans="1:18" x14ac:dyDescent="0.25">
      <c r="A299" s="45">
        <f>1/((1/Show!$A$4)-(1/Calc!K299))</f>
        <v>62.857142857142847</v>
      </c>
      <c r="B299" s="45">
        <f>MATCH(A299*Calc!$R$12,Calc!$K$1:$K$774,1)</f>
        <v>276</v>
      </c>
      <c r="C299" s="45">
        <f>INDEX(Calc!$K$1:$K$774,B299)</f>
        <v>61.9</v>
      </c>
      <c r="D299" s="45">
        <f>1/(1/C299+1/Calc!K299)</f>
        <v>39.610238510762073</v>
      </c>
      <c r="E299" s="45">
        <f>ABS(Show!$A$4-D299)/(Show!$A$4/100)</f>
        <v>0.9744037230948166</v>
      </c>
      <c r="F299" s="46">
        <f>Show!$A$4-Calc!L299</f>
        <v>-73</v>
      </c>
      <c r="G299" s="46" t="e">
        <f>MATCH(F299*Calc!$R$12,Calc!$K$1:$K$774,1)</f>
        <v>#N/A</v>
      </c>
      <c r="H299" s="46" t="e">
        <f>INDEX(Calc!$K$1:$K$774,G299)</f>
        <v>#N/A</v>
      </c>
      <c r="I299" s="46" t="e">
        <f>H299+Calc!K299</f>
        <v>#N/A</v>
      </c>
      <c r="J299" s="46" t="e">
        <f>ABS(Show!$A$4-I299)/(Show!$A$4/100)</f>
        <v>#N/A</v>
      </c>
      <c r="K299" s="45">
        <f>INDEX(Calc!L299:P299,Show!$B$4)</f>
        <v>110</v>
      </c>
      <c r="L299" s="46">
        <f t="shared" si="204"/>
        <v>113</v>
      </c>
      <c r="M299" s="46">
        <f>L298</f>
        <v>110</v>
      </c>
      <c r="N299" s="46">
        <f>L298</f>
        <v>110</v>
      </c>
      <c r="O299" s="46">
        <f t="shared" si="205"/>
        <v>120</v>
      </c>
      <c r="P299" s="46">
        <f t="shared" ref="P299" si="210">O294</f>
        <v>100</v>
      </c>
    </row>
    <row r="300" spans="1:18" x14ac:dyDescent="0.25">
      <c r="A300" s="45">
        <f>1/((1/Show!$A$4)-(1/Calc!K300))</f>
        <v>62.857142857142847</v>
      </c>
      <c r="B300" s="45">
        <f>MATCH(A300*Calc!$R$12,Calc!$K$1:$K$774,1)</f>
        <v>276</v>
      </c>
      <c r="C300" s="45">
        <f>INDEX(Calc!$K$1:$K$774,B300)</f>
        <v>61.9</v>
      </c>
      <c r="D300" s="45">
        <f>1/(1/C300+1/Calc!K300)</f>
        <v>39.610238510762073</v>
      </c>
      <c r="E300" s="45">
        <f>ABS(Show!$A$4-D300)/(Show!$A$4/100)</f>
        <v>0.9744037230948166</v>
      </c>
      <c r="F300" s="46">
        <f>Show!$A$4-Calc!L300</f>
        <v>-75</v>
      </c>
      <c r="G300" s="46" t="e">
        <f>MATCH(F300*Calc!$R$12,Calc!$K$1:$K$774,1)</f>
        <v>#N/A</v>
      </c>
      <c r="H300" s="46" t="e">
        <f>INDEX(Calc!$K$1:$K$774,G300)</f>
        <v>#N/A</v>
      </c>
      <c r="I300" s="46" t="e">
        <f>H300+Calc!K300</f>
        <v>#N/A</v>
      </c>
      <c r="J300" s="46" t="e">
        <f>ABS(Show!$A$4-I300)/(Show!$A$4/100)</f>
        <v>#N/A</v>
      </c>
      <c r="K300" s="45">
        <f>INDEX(Calc!L300:P300,Show!$B$4)</f>
        <v>110</v>
      </c>
      <c r="L300" s="46">
        <f t="shared" si="204"/>
        <v>115</v>
      </c>
      <c r="M300" s="46">
        <f>L300</f>
        <v>115</v>
      </c>
      <c r="N300" s="46">
        <f>L298</f>
        <v>110</v>
      </c>
      <c r="O300" s="46">
        <f t="shared" si="205"/>
        <v>120</v>
      </c>
      <c r="P300" s="46">
        <f t="shared" ref="P300" si="211">O294</f>
        <v>100</v>
      </c>
    </row>
    <row r="301" spans="1:18" x14ac:dyDescent="0.25">
      <c r="A301" s="45">
        <f>1/((1/Show!$A$4)-(1/Calc!K301))</f>
        <v>59.753086419753082</v>
      </c>
      <c r="B301" s="45">
        <f>MATCH(A301*Calc!$R$12,Calc!$K$1:$K$774,1)</f>
        <v>276</v>
      </c>
      <c r="C301" s="45">
        <f>INDEX(Calc!$K$1:$K$774,B301)</f>
        <v>61.9</v>
      </c>
      <c r="D301" s="45">
        <f>1/(1/C301+1/Calc!K301)</f>
        <v>40.950792782941498</v>
      </c>
      <c r="E301" s="45">
        <f>ABS(Show!$A$4-D301)/(Show!$A$4/100)</f>
        <v>2.3769819573537454</v>
      </c>
      <c r="F301" s="46">
        <f>Show!$A$4-Calc!L301</f>
        <v>-78.000000000000014</v>
      </c>
      <c r="G301" s="46" t="e">
        <f>MATCH(F301*Calc!$R$12,Calc!$K$1:$K$774,1)</f>
        <v>#N/A</v>
      </c>
      <c r="H301" s="46" t="e">
        <f>INDEX(Calc!$K$1:$K$774,G301)</f>
        <v>#N/A</v>
      </c>
      <c r="I301" s="46" t="e">
        <f>H301+Calc!K301</f>
        <v>#N/A</v>
      </c>
      <c r="J301" s="46" t="e">
        <f>ABS(Show!$A$4-I301)/(Show!$A$4/100)</f>
        <v>#N/A</v>
      </c>
      <c r="K301" s="45">
        <f>INDEX(Calc!L301:P301,Show!$B$4)</f>
        <v>121</v>
      </c>
      <c r="L301" s="46">
        <f t="shared" si="204"/>
        <v>118.00000000000001</v>
      </c>
      <c r="M301" s="46">
        <f>L300</f>
        <v>115</v>
      </c>
      <c r="N301" s="46">
        <f>L302</f>
        <v>121</v>
      </c>
      <c r="O301" s="46">
        <f t="shared" si="205"/>
        <v>120</v>
      </c>
      <c r="P301" s="46">
        <f t="shared" ref="P301" si="212">O294</f>
        <v>100</v>
      </c>
    </row>
    <row r="302" spans="1:18" x14ac:dyDescent="0.25">
      <c r="A302" s="45">
        <f>1/((1/Show!$A$4)-(1/Calc!K302))</f>
        <v>59.753086419753082</v>
      </c>
      <c r="B302" s="45">
        <f>MATCH(A302*Calc!$R$12,Calc!$K$1:$K$774,1)</f>
        <v>276</v>
      </c>
      <c r="C302" s="45">
        <f>INDEX(Calc!$K$1:$K$774,B302)</f>
        <v>61.9</v>
      </c>
      <c r="D302" s="45">
        <f>1/(1/C302+1/Calc!K302)</f>
        <v>40.950792782941498</v>
      </c>
      <c r="E302" s="45">
        <f>ABS(Show!$A$4-D302)/(Show!$A$4/100)</f>
        <v>2.3769819573537454</v>
      </c>
      <c r="F302" s="46">
        <f>Show!$A$4-Calc!L302</f>
        <v>-81</v>
      </c>
      <c r="G302" s="46" t="e">
        <f>MATCH(F302*Calc!$R$12,Calc!$K$1:$K$774,1)</f>
        <v>#N/A</v>
      </c>
      <c r="H302" s="46" t="e">
        <f>INDEX(Calc!$K$1:$K$774,G302)</f>
        <v>#N/A</v>
      </c>
      <c r="I302" s="46" t="e">
        <f>H302+Calc!K302</f>
        <v>#N/A</v>
      </c>
      <c r="J302" s="46" t="e">
        <f>ABS(Show!$A$4-I302)/(Show!$A$4/100)</f>
        <v>#N/A</v>
      </c>
      <c r="K302" s="45">
        <f>INDEX(Calc!L302:P302,Show!$B$4)</f>
        <v>121</v>
      </c>
      <c r="L302" s="46">
        <f t="shared" si="204"/>
        <v>121</v>
      </c>
      <c r="M302" s="46">
        <f>L302</f>
        <v>121</v>
      </c>
      <c r="N302" s="46">
        <f>L302</f>
        <v>121</v>
      </c>
      <c r="O302" s="46">
        <f t="shared" si="205"/>
        <v>120</v>
      </c>
      <c r="P302" s="46">
        <f t="shared" ref="P302" si="213">O306</f>
        <v>150</v>
      </c>
    </row>
    <row r="303" spans="1:18" x14ac:dyDescent="0.25">
      <c r="A303" s="45">
        <f>1/((1/Show!$A$4)-(1/Calc!K303))</f>
        <v>59.753086419753082</v>
      </c>
      <c r="B303" s="45">
        <f>MATCH(A303*Calc!$R$12,Calc!$K$1:$K$774,1)</f>
        <v>276</v>
      </c>
      <c r="C303" s="45">
        <f>INDEX(Calc!$K$1:$K$774,B303)</f>
        <v>61.9</v>
      </c>
      <c r="D303" s="45">
        <f>1/(1/C303+1/Calc!K303)</f>
        <v>40.950792782941498</v>
      </c>
      <c r="E303" s="45">
        <f>ABS(Show!$A$4-D303)/(Show!$A$4/100)</f>
        <v>2.3769819573537454</v>
      </c>
      <c r="F303" s="46">
        <f>Show!$A$4-Calc!L303</f>
        <v>-84</v>
      </c>
      <c r="G303" s="46" t="e">
        <f>MATCH(F303*Calc!$R$12,Calc!$K$1:$K$774,1)</f>
        <v>#N/A</v>
      </c>
      <c r="H303" s="46" t="e">
        <f>INDEX(Calc!$K$1:$K$774,G303)</f>
        <v>#N/A</v>
      </c>
      <c r="I303" s="46" t="e">
        <f>H303+Calc!K303</f>
        <v>#N/A</v>
      </c>
      <c r="J303" s="46" t="e">
        <f>ABS(Show!$A$4-I303)/(Show!$A$4/100)</f>
        <v>#N/A</v>
      </c>
      <c r="K303" s="45">
        <f>INDEX(Calc!L303:P303,Show!$B$4)</f>
        <v>121</v>
      </c>
      <c r="L303" s="46">
        <f t="shared" si="204"/>
        <v>124</v>
      </c>
      <c r="M303" s="46">
        <f>L302</f>
        <v>121</v>
      </c>
      <c r="N303" s="46">
        <f>L302</f>
        <v>121</v>
      </c>
      <c r="O303" s="46">
        <f t="shared" si="205"/>
        <v>120</v>
      </c>
      <c r="P303" s="46">
        <f t="shared" ref="P303" si="214">O306</f>
        <v>150</v>
      </c>
    </row>
    <row r="304" spans="1:18" x14ac:dyDescent="0.25">
      <c r="A304" s="45">
        <f>1/((1/Show!$A$4)-(1/Calc!K304))</f>
        <v>59.753086419753082</v>
      </c>
      <c r="B304" s="45">
        <f>MATCH(A304*Calc!$R$12,Calc!$K$1:$K$774,1)</f>
        <v>276</v>
      </c>
      <c r="C304" s="45">
        <f>INDEX(Calc!$K$1:$K$774,B304)</f>
        <v>61.9</v>
      </c>
      <c r="D304" s="45">
        <f>1/(1/C304+1/Calc!K304)</f>
        <v>40.950792782941498</v>
      </c>
      <c r="E304" s="45">
        <f>ABS(Show!$A$4-D304)/(Show!$A$4/100)</f>
        <v>2.3769819573537454</v>
      </c>
      <c r="F304" s="46">
        <f>Show!$A$4-Calc!L304</f>
        <v>-87</v>
      </c>
      <c r="G304" s="46" t="e">
        <f>MATCH(F304*Calc!$R$12,Calc!$K$1:$K$774,1)</f>
        <v>#N/A</v>
      </c>
      <c r="H304" s="46" t="e">
        <f>INDEX(Calc!$K$1:$K$774,G304)</f>
        <v>#N/A</v>
      </c>
      <c r="I304" s="46" t="e">
        <f>H304+Calc!K304</f>
        <v>#N/A</v>
      </c>
      <c r="J304" s="46" t="e">
        <f>ABS(Show!$A$4-I304)/(Show!$A$4/100)</f>
        <v>#N/A</v>
      </c>
      <c r="K304" s="45">
        <f>INDEX(Calc!L304:P304,Show!$B$4)</f>
        <v>121</v>
      </c>
      <c r="L304" s="46">
        <f t="shared" si="204"/>
        <v>127</v>
      </c>
      <c r="M304" s="46">
        <f>L304</f>
        <v>127</v>
      </c>
      <c r="N304" s="46">
        <f>L302</f>
        <v>121</v>
      </c>
      <c r="O304" s="46">
        <f t="shared" si="205"/>
        <v>120</v>
      </c>
      <c r="P304" s="46">
        <f t="shared" ref="P304" si="215">O306</f>
        <v>150</v>
      </c>
    </row>
    <row r="305" spans="1:16" x14ac:dyDescent="0.25">
      <c r="A305" s="45">
        <f>1/((1/Show!$A$4)-(1/Calc!K305))</f>
        <v>57.204301075268809</v>
      </c>
      <c r="B305" s="45">
        <f>MATCH(A305*Calc!$R$12,Calc!$K$1:$K$774,1)</f>
        <v>272</v>
      </c>
      <c r="C305" s="45">
        <f>INDEX(Calc!$K$1:$K$774,B305)</f>
        <v>56.2</v>
      </c>
      <c r="D305" s="45">
        <f>1/(1/C305+1/Calc!K305)</f>
        <v>39.506342494714595</v>
      </c>
      <c r="E305" s="45">
        <f>ABS(Show!$A$4-D305)/(Show!$A$4/100)</f>
        <v>1.2341437632135133</v>
      </c>
      <c r="F305" s="46">
        <f>Show!$A$4-Calc!L305</f>
        <v>-90</v>
      </c>
      <c r="G305" s="46" t="e">
        <f>MATCH(F305*Calc!$R$12,Calc!$K$1:$K$774,1)</f>
        <v>#N/A</v>
      </c>
      <c r="H305" s="46" t="e">
        <f>INDEX(Calc!$K$1:$K$774,G305)</f>
        <v>#N/A</v>
      </c>
      <c r="I305" s="46" t="e">
        <f>H305+Calc!K305</f>
        <v>#N/A</v>
      </c>
      <c r="J305" s="46" t="e">
        <f>ABS(Show!$A$4-I305)/(Show!$A$4/100)</f>
        <v>#N/A</v>
      </c>
      <c r="K305" s="45">
        <f>INDEX(Calc!L305:P305,Show!$B$4)</f>
        <v>133</v>
      </c>
      <c r="L305" s="46">
        <f t="shared" si="204"/>
        <v>130</v>
      </c>
      <c r="M305" s="46">
        <f>L304</f>
        <v>127</v>
      </c>
      <c r="N305" s="46">
        <f>L306</f>
        <v>133</v>
      </c>
      <c r="O305" s="46">
        <f t="shared" si="205"/>
        <v>120</v>
      </c>
      <c r="P305" s="46">
        <f t="shared" ref="P305" si="216">O306</f>
        <v>150</v>
      </c>
    </row>
    <row r="306" spans="1:16" x14ac:dyDescent="0.25">
      <c r="A306" s="45">
        <f>1/((1/Show!$A$4)-(1/Calc!K306))</f>
        <v>57.204301075268809</v>
      </c>
      <c r="B306" s="45">
        <f>MATCH(A306*Calc!$R$12,Calc!$K$1:$K$774,1)</f>
        <v>272</v>
      </c>
      <c r="C306" s="45">
        <f>INDEX(Calc!$K$1:$K$774,B306)</f>
        <v>56.2</v>
      </c>
      <c r="D306" s="45">
        <f>1/(1/C306+1/Calc!K306)</f>
        <v>39.506342494714595</v>
      </c>
      <c r="E306" s="45">
        <f>ABS(Show!$A$4-D306)/(Show!$A$4/100)</f>
        <v>1.2341437632135133</v>
      </c>
      <c r="F306" s="46">
        <f>Show!$A$4-Calc!L306</f>
        <v>-93</v>
      </c>
      <c r="G306" s="46" t="e">
        <f>MATCH(F306*Calc!$R$12,Calc!$K$1:$K$774,1)</f>
        <v>#N/A</v>
      </c>
      <c r="H306" s="46" t="e">
        <f>INDEX(Calc!$K$1:$K$774,G306)</f>
        <v>#N/A</v>
      </c>
      <c r="I306" s="46" t="e">
        <f>H306+Calc!K306</f>
        <v>#N/A</v>
      </c>
      <c r="J306" s="46" t="e">
        <f>ABS(Show!$A$4-I306)/(Show!$A$4/100)</f>
        <v>#N/A</v>
      </c>
      <c r="K306" s="45">
        <f>INDEX(Calc!L306:P306,Show!$B$4)</f>
        <v>133</v>
      </c>
      <c r="L306" s="46">
        <f t="shared" si="204"/>
        <v>133</v>
      </c>
      <c r="M306" s="46">
        <f>L306</f>
        <v>133</v>
      </c>
      <c r="N306" s="46">
        <f>L306</f>
        <v>133</v>
      </c>
      <c r="O306" s="46">
        <f t="shared" si="205"/>
        <v>150</v>
      </c>
      <c r="P306" s="46">
        <f t="shared" ref="P306" si="217">O306</f>
        <v>150</v>
      </c>
    </row>
    <row r="307" spans="1:16" x14ac:dyDescent="0.25">
      <c r="A307" s="45">
        <f>1/((1/Show!$A$4)-(1/Calc!K307))</f>
        <v>57.204301075268809</v>
      </c>
      <c r="B307" s="45">
        <f>MATCH(A307*Calc!$R$12,Calc!$K$1:$K$774,1)</f>
        <v>272</v>
      </c>
      <c r="C307" s="45">
        <f>INDEX(Calc!$K$1:$K$774,B307)</f>
        <v>56.2</v>
      </c>
      <c r="D307" s="45">
        <f>1/(1/C307+1/Calc!K307)</f>
        <v>39.506342494714595</v>
      </c>
      <c r="E307" s="45">
        <f>ABS(Show!$A$4-D307)/(Show!$A$4/100)</f>
        <v>1.2341437632135133</v>
      </c>
      <c r="F307" s="46">
        <f>Show!$A$4-Calc!L307</f>
        <v>-96.999999999999972</v>
      </c>
      <c r="G307" s="46" t="e">
        <f>MATCH(F307*Calc!$R$12,Calc!$K$1:$K$774,1)</f>
        <v>#N/A</v>
      </c>
      <c r="H307" s="46" t="e">
        <f>INDEX(Calc!$K$1:$K$774,G307)</f>
        <v>#N/A</v>
      </c>
      <c r="I307" s="46" t="e">
        <f>H307+Calc!K307</f>
        <v>#N/A</v>
      </c>
      <c r="J307" s="46" t="e">
        <f>ABS(Show!$A$4-I307)/(Show!$A$4/100)</f>
        <v>#N/A</v>
      </c>
      <c r="K307" s="45">
        <f>INDEX(Calc!L307:P307,Show!$B$4)</f>
        <v>133</v>
      </c>
      <c r="L307" s="46">
        <f t="shared" si="204"/>
        <v>136.99999999999997</v>
      </c>
      <c r="M307" s="46">
        <f>L306</f>
        <v>133</v>
      </c>
      <c r="N307" s="46">
        <f>L306</f>
        <v>133</v>
      </c>
      <c r="O307" s="46">
        <f t="shared" si="205"/>
        <v>150</v>
      </c>
      <c r="P307" s="46">
        <f t="shared" ref="P307" si="218">O306</f>
        <v>150</v>
      </c>
    </row>
    <row r="308" spans="1:16" x14ac:dyDescent="0.25">
      <c r="A308" s="45">
        <f>1/((1/Show!$A$4)-(1/Calc!K308))</f>
        <v>57.204301075268809</v>
      </c>
      <c r="B308" s="45">
        <f>MATCH(A308*Calc!$R$12,Calc!$K$1:$K$774,1)</f>
        <v>272</v>
      </c>
      <c r="C308" s="45">
        <f>INDEX(Calc!$K$1:$K$774,B308)</f>
        <v>56.2</v>
      </c>
      <c r="D308" s="45">
        <f>1/(1/C308+1/Calc!K308)</f>
        <v>39.506342494714595</v>
      </c>
      <c r="E308" s="45">
        <f>ABS(Show!$A$4-D308)/(Show!$A$4/100)</f>
        <v>1.2341437632135133</v>
      </c>
      <c r="F308" s="46">
        <f>Show!$A$4-Calc!L308</f>
        <v>-100</v>
      </c>
      <c r="G308" s="46" t="e">
        <f>MATCH(F308*Calc!$R$12,Calc!$K$1:$K$774,1)</f>
        <v>#N/A</v>
      </c>
      <c r="H308" s="46" t="e">
        <f>INDEX(Calc!$K$1:$K$774,G308)</f>
        <v>#N/A</v>
      </c>
      <c r="I308" s="46" t="e">
        <f>H308+Calc!K308</f>
        <v>#N/A</v>
      </c>
      <c r="J308" s="46" t="e">
        <f>ABS(Show!$A$4-I308)/(Show!$A$4/100)</f>
        <v>#N/A</v>
      </c>
      <c r="K308" s="45">
        <f>INDEX(Calc!L308:P308,Show!$B$4)</f>
        <v>133</v>
      </c>
      <c r="L308" s="46">
        <f t="shared" si="204"/>
        <v>140</v>
      </c>
      <c r="M308" s="46">
        <f>L308</f>
        <v>140</v>
      </c>
      <c r="N308" s="46">
        <f>L306</f>
        <v>133</v>
      </c>
      <c r="O308" s="46">
        <f t="shared" si="205"/>
        <v>150</v>
      </c>
      <c r="P308" s="46">
        <f t="shared" ref="P308" si="219">O306</f>
        <v>150</v>
      </c>
    </row>
    <row r="309" spans="1:16" x14ac:dyDescent="0.25">
      <c r="A309" s="45">
        <f>1/((1/Show!$A$4)-(1/Calc!K309))</f>
        <v>54.953271028037378</v>
      </c>
      <c r="B309" s="45">
        <f>MATCH(A309*Calc!$R$12,Calc!$K$1:$K$774,1)</f>
        <v>272</v>
      </c>
      <c r="C309" s="45">
        <f>INDEX(Calc!$K$1:$K$774,B309)</f>
        <v>56.2</v>
      </c>
      <c r="D309" s="45">
        <f>1/(1/C309+1/Calc!K309)</f>
        <v>40.656496062992126</v>
      </c>
      <c r="E309" s="45">
        <f>ABS(Show!$A$4-D309)/(Show!$A$4/100)</f>
        <v>1.6412401574803148</v>
      </c>
      <c r="F309" s="46">
        <f>Show!$A$4-Calc!L309</f>
        <v>-103.00000000000003</v>
      </c>
      <c r="G309" s="46" t="e">
        <f>MATCH(F309*Calc!$R$12,Calc!$K$1:$K$774,1)</f>
        <v>#N/A</v>
      </c>
      <c r="H309" s="46" t="e">
        <f>INDEX(Calc!$K$1:$K$774,G309)</f>
        <v>#N/A</v>
      </c>
      <c r="I309" s="46" t="e">
        <f>H309+Calc!K309</f>
        <v>#N/A</v>
      </c>
      <c r="J309" s="46" t="e">
        <f>ABS(Show!$A$4-I309)/(Show!$A$4/100)</f>
        <v>#N/A</v>
      </c>
      <c r="K309" s="45">
        <f>INDEX(Calc!L309:P309,Show!$B$4)</f>
        <v>147</v>
      </c>
      <c r="L309" s="46">
        <f t="shared" si="204"/>
        <v>143.00000000000003</v>
      </c>
      <c r="M309" s="46">
        <f>L308</f>
        <v>140</v>
      </c>
      <c r="N309" s="46">
        <f>L310</f>
        <v>147</v>
      </c>
      <c r="O309" s="46">
        <f t="shared" si="205"/>
        <v>150</v>
      </c>
      <c r="P309" s="46">
        <f t="shared" ref="P309" si="220">O306</f>
        <v>150</v>
      </c>
    </row>
    <row r="310" spans="1:16" x14ac:dyDescent="0.25">
      <c r="A310" s="45">
        <f>1/((1/Show!$A$4)-(1/Calc!K310))</f>
        <v>54.953271028037378</v>
      </c>
      <c r="B310" s="45">
        <f>MATCH(A310*Calc!$R$12,Calc!$K$1:$K$774,1)</f>
        <v>272</v>
      </c>
      <c r="C310" s="45">
        <f>INDEX(Calc!$K$1:$K$774,B310)</f>
        <v>56.2</v>
      </c>
      <c r="D310" s="45">
        <f>1/(1/C310+1/Calc!K310)</f>
        <v>40.656496062992126</v>
      </c>
      <c r="E310" s="45">
        <f>ABS(Show!$A$4-D310)/(Show!$A$4/100)</f>
        <v>1.6412401574803148</v>
      </c>
      <c r="F310" s="46">
        <f>Show!$A$4-Calc!L310</f>
        <v>-107</v>
      </c>
      <c r="G310" s="46" t="e">
        <f>MATCH(F310*Calc!$R$12,Calc!$K$1:$K$774,1)</f>
        <v>#N/A</v>
      </c>
      <c r="H310" s="46" t="e">
        <f>INDEX(Calc!$K$1:$K$774,G310)</f>
        <v>#N/A</v>
      </c>
      <c r="I310" s="46" t="e">
        <f>H310+Calc!K310</f>
        <v>#N/A</v>
      </c>
      <c r="J310" s="46" t="e">
        <f>ABS(Show!$A$4-I310)/(Show!$A$4/100)</f>
        <v>#N/A</v>
      </c>
      <c r="K310" s="45">
        <f>INDEX(Calc!L310:P310,Show!$B$4)</f>
        <v>147</v>
      </c>
      <c r="L310" s="46">
        <f t="shared" si="204"/>
        <v>147</v>
      </c>
      <c r="M310" s="46">
        <f>L310</f>
        <v>147</v>
      </c>
      <c r="N310" s="46">
        <f>L310</f>
        <v>147</v>
      </c>
      <c r="O310" s="46">
        <f t="shared" si="205"/>
        <v>150</v>
      </c>
      <c r="P310" s="46">
        <f t="shared" ref="P310" si="221">O306</f>
        <v>150</v>
      </c>
    </row>
    <row r="311" spans="1:16" x14ac:dyDescent="0.25">
      <c r="A311" s="45">
        <f>1/((1/Show!$A$4)-(1/Calc!K311))</f>
        <v>54.953271028037378</v>
      </c>
      <c r="B311" s="45">
        <f>MATCH(A311*Calc!$R$12,Calc!$K$1:$K$774,1)</f>
        <v>272</v>
      </c>
      <c r="C311" s="45">
        <f>INDEX(Calc!$K$1:$K$774,B311)</f>
        <v>56.2</v>
      </c>
      <c r="D311" s="45">
        <f>1/(1/C311+1/Calc!K311)</f>
        <v>40.656496062992126</v>
      </c>
      <c r="E311" s="45">
        <f>ABS(Show!$A$4-D311)/(Show!$A$4/100)</f>
        <v>1.6412401574803148</v>
      </c>
      <c r="F311" s="46">
        <f>Show!$A$4-Calc!L311</f>
        <v>-110</v>
      </c>
      <c r="G311" s="46" t="e">
        <f>MATCH(F311*Calc!$R$12,Calc!$K$1:$K$774,1)</f>
        <v>#N/A</v>
      </c>
      <c r="H311" s="46" t="e">
        <f>INDEX(Calc!$K$1:$K$774,G311)</f>
        <v>#N/A</v>
      </c>
      <c r="I311" s="46" t="e">
        <f>H311+Calc!K311</f>
        <v>#N/A</v>
      </c>
      <c r="J311" s="46" t="e">
        <f>ABS(Show!$A$4-I311)/(Show!$A$4/100)</f>
        <v>#N/A</v>
      </c>
      <c r="K311" s="45">
        <f>INDEX(Calc!L311:P311,Show!$B$4)</f>
        <v>147</v>
      </c>
      <c r="L311" s="46">
        <f t="shared" si="204"/>
        <v>150</v>
      </c>
      <c r="M311" s="46">
        <f>L310</f>
        <v>147</v>
      </c>
      <c r="N311" s="46">
        <f>L310</f>
        <v>147</v>
      </c>
      <c r="O311" s="46">
        <f t="shared" si="205"/>
        <v>150</v>
      </c>
      <c r="P311" s="46">
        <f t="shared" ref="P311" si="222">O306</f>
        <v>150</v>
      </c>
    </row>
    <row r="312" spans="1:16" x14ac:dyDescent="0.25">
      <c r="A312" s="45">
        <f>1/((1/Show!$A$4)-(1/Calc!K312))</f>
        <v>54.953271028037378</v>
      </c>
      <c r="B312" s="45">
        <f>MATCH(A312*Calc!$R$12,Calc!$K$1:$K$774,1)</f>
        <v>272</v>
      </c>
      <c r="C312" s="45">
        <f>INDEX(Calc!$K$1:$K$774,B312)</f>
        <v>56.2</v>
      </c>
      <c r="D312" s="45">
        <f>1/(1/C312+1/Calc!K312)</f>
        <v>40.656496062992126</v>
      </c>
      <c r="E312" s="45">
        <f>ABS(Show!$A$4-D312)/(Show!$A$4/100)</f>
        <v>1.6412401574803148</v>
      </c>
      <c r="F312" s="46">
        <f>Show!$A$4-Calc!L312</f>
        <v>-114</v>
      </c>
      <c r="G312" s="46" t="e">
        <f>MATCH(F312*Calc!$R$12,Calc!$K$1:$K$774,1)</f>
        <v>#N/A</v>
      </c>
      <c r="H312" s="46" t="e">
        <f>INDEX(Calc!$K$1:$K$774,G312)</f>
        <v>#N/A</v>
      </c>
      <c r="I312" s="46" t="e">
        <f>H312+Calc!K312</f>
        <v>#N/A</v>
      </c>
      <c r="J312" s="46" t="e">
        <f>ABS(Show!$A$4-I312)/(Show!$A$4/100)</f>
        <v>#N/A</v>
      </c>
      <c r="K312" s="45">
        <f>INDEX(Calc!L312:P312,Show!$B$4)</f>
        <v>147</v>
      </c>
      <c r="L312" s="46">
        <f t="shared" si="204"/>
        <v>154</v>
      </c>
      <c r="M312" s="46">
        <f>L312</f>
        <v>154</v>
      </c>
      <c r="N312" s="46">
        <f>L310</f>
        <v>147</v>
      </c>
      <c r="O312" s="46">
        <f t="shared" si="205"/>
        <v>150</v>
      </c>
      <c r="P312" s="46">
        <f t="shared" ref="P312" si="223">O306</f>
        <v>150</v>
      </c>
    </row>
    <row r="313" spans="1:16" x14ac:dyDescent="0.25">
      <c r="A313" s="45">
        <f>1/((1/Show!$A$4)-(1/Calc!K313))</f>
        <v>53.114754098360649</v>
      </c>
      <c r="B313" s="45">
        <f>MATCH(A313*Calc!$R$12,Calc!$K$1:$K$774,1)</f>
        <v>268</v>
      </c>
      <c r="C313" s="45">
        <f>INDEX(Calc!$K$1:$K$774,B313)</f>
        <v>51.1</v>
      </c>
      <c r="D313" s="45">
        <f>1/(1/C313+1/Calc!K313)</f>
        <v>38.846550915063354</v>
      </c>
      <c r="E313" s="45">
        <f>ABS(Show!$A$4-D313)/(Show!$A$4/100)</f>
        <v>2.8836227123416158</v>
      </c>
      <c r="F313" s="46">
        <f>Show!$A$4-Calc!L313</f>
        <v>-118</v>
      </c>
      <c r="G313" s="46" t="e">
        <f>MATCH(F313*Calc!$R$12,Calc!$K$1:$K$774,1)</f>
        <v>#N/A</v>
      </c>
      <c r="H313" s="46" t="e">
        <f>INDEX(Calc!$K$1:$K$774,G313)</f>
        <v>#N/A</v>
      </c>
      <c r="I313" s="46" t="e">
        <f>H313+Calc!K313</f>
        <v>#N/A</v>
      </c>
      <c r="J313" s="46" t="e">
        <f>ABS(Show!$A$4-I313)/(Show!$A$4/100)</f>
        <v>#N/A</v>
      </c>
      <c r="K313" s="45">
        <f>INDEX(Calc!L313:P313,Show!$B$4)</f>
        <v>162</v>
      </c>
      <c r="L313" s="46">
        <f t="shared" si="204"/>
        <v>158</v>
      </c>
      <c r="M313" s="46">
        <f>L312</f>
        <v>154</v>
      </c>
      <c r="N313" s="46">
        <f>L314</f>
        <v>162</v>
      </c>
      <c r="O313" s="46">
        <f t="shared" si="205"/>
        <v>150</v>
      </c>
      <c r="P313" s="46">
        <f t="shared" ref="P313" si="224">O306</f>
        <v>150</v>
      </c>
    </row>
    <row r="314" spans="1:16" x14ac:dyDescent="0.25">
      <c r="A314" s="45">
        <f>1/((1/Show!$A$4)-(1/Calc!K314))</f>
        <v>53.114754098360649</v>
      </c>
      <c r="B314" s="45">
        <f>MATCH(A314*Calc!$R$12,Calc!$K$1:$K$774,1)</f>
        <v>268</v>
      </c>
      <c r="C314" s="45">
        <f>INDEX(Calc!$K$1:$K$774,B314)</f>
        <v>51.1</v>
      </c>
      <c r="D314" s="45">
        <f>1/(1/C314+1/Calc!K314)</f>
        <v>38.846550915063354</v>
      </c>
      <c r="E314" s="45">
        <f>ABS(Show!$A$4-D314)/(Show!$A$4/100)</f>
        <v>2.8836227123416158</v>
      </c>
      <c r="F314" s="46">
        <f>Show!$A$4-Calc!L314</f>
        <v>-122</v>
      </c>
      <c r="G314" s="46" t="e">
        <f>MATCH(F314*Calc!$R$12,Calc!$K$1:$K$774,1)</f>
        <v>#N/A</v>
      </c>
      <c r="H314" s="46" t="e">
        <f>INDEX(Calc!$K$1:$K$774,G314)</f>
        <v>#N/A</v>
      </c>
      <c r="I314" s="46" t="e">
        <f>H314+Calc!K314</f>
        <v>#N/A</v>
      </c>
      <c r="J314" s="46" t="e">
        <f>ABS(Show!$A$4-I314)/(Show!$A$4/100)</f>
        <v>#N/A</v>
      </c>
      <c r="K314" s="45">
        <f>INDEX(Calc!L314:P314,Show!$B$4)</f>
        <v>162</v>
      </c>
      <c r="L314" s="46">
        <f t="shared" si="204"/>
        <v>162</v>
      </c>
      <c r="M314" s="46">
        <f>L314</f>
        <v>162</v>
      </c>
      <c r="N314" s="46">
        <f>L314</f>
        <v>162</v>
      </c>
      <c r="O314" s="46">
        <f t="shared" si="205"/>
        <v>180</v>
      </c>
      <c r="P314" s="46">
        <f t="shared" ref="P314" si="225">O306</f>
        <v>150</v>
      </c>
    </row>
    <row r="315" spans="1:16" x14ac:dyDescent="0.25">
      <c r="A315" s="45">
        <f>1/((1/Show!$A$4)-(1/Calc!K315))</f>
        <v>53.114754098360649</v>
      </c>
      <c r="B315" s="45">
        <f>MATCH(A315*Calc!$R$12,Calc!$K$1:$K$774,1)</f>
        <v>268</v>
      </c>
      <c r="C315" s="45">
        <f>INDEX(Calc!$K$1:$K$774,B315)</f>
        <v>51.1</v>
      </c>
      <c r="D315" s="45">
        <f>1/(1/C315+1/Calc!K315)</f>
        <v>38.846550915063354</v>
      </c>
      <c r="E315" s="45">
        <f>ABS(Show!$A$4-D315)/(Show!$A$4/100)</f>
        <v>2.8836227123416158</v>
      </c>
      <c r="F315" s="46">
        <f>Show!$A$4-Calc!L315</f>
        <v>-125</v>
      </c>
      <c r="G315" s="46" t="e">
        <f>MATCH(F315*Calc!$R$12,Calc!$K$1:$K$774,1)</f>
        <v>#N/A</v>
      </c>
      <c r="H315" s="46" t="e">
        <f>INDEX(Calc!$K$1:$K$774,G315)</f>
        <v>#N/A</v>
      </c>
      <c r="I315" s="46" t="e">
        <f>H315+Calc!K315</f>
        <v>#N/A</v>
      </c>
      <c r="J315" s="46" t="e">
        <f>ABS(Show!$A$4-I315)/(Show!$A$4/100)</f>
        <v>#N/A</v>
      </c>
      <c r="K315" s="45">
        <f>INDEX(Calc!L315:P315,Show!$B$4)</f>
        <v>162</v>
      </c>
      <c r="L315" s="46">
        <f t="shared" si="204"/>
        <v>165</v>
      </c>
      <c r="M315" s="46">
        <f>L314</f>
        <v>162</v>
      </c>
      <c r="N315" s="46">
        <f>L314</f>
        <v>162</v>
      </c>
      <c r="O315" s="46">
        <f t="shared" si="205"/>
        <v>180</v>
      </c>
      <c r="P315" s="46">
        <f t="shared" ref="P315" si="226">O306</f>
        <v>150</v>
      </c>
    </row>
    <row r="316" spans="1:16" x14ac:dyDescent="0.25">
      <c r="A316" s="45">
        <f>1/((1/Show!$A$4)-(1/Calc!K316))</f>
        <v>53.114754098360649</v>
      </c>
      <c r="B316" s="45">
        <f>MATCH(A316*Calc!$R$12,Calc!$K$1:$K$774,1)</f>
        <v>268</v>
      </c>
      <c r="C316" s="45">
        <f>INDEX(Calc!$K$1:$K$774,B316)</f>
        <v>51.1</v>
      </c>
      <c r="D316" s="45">
        <f>1/(1/C316+1/Calc!K316)</f>
        <v>38.846550915063354</v>
      </c>
      <c r="E316" s="45">
        <f>ABS(Show!$A$4-D316)/(Show!$A$4/100)</f>
        <v>2.8836227123416158</v>
      </c>
      <c r="F316" s="46">
        <f>Show!$A$4-Calc!L316</f>
        <v>-128.99999999999997</v>
      </c>
      <c r="G316" s="46" t="e">
        <f>MATCH(F316*Calc!$R$12,Calc!$K$1:$K$774,1)</f>
        <v>#N/A</v>
      </c>
      <c r="H316" s="46" t="e">
        <f>INDEX(Calc!$K$1:$K$774,G316)</f>
        <v>#N/A</v>
      </c>
      <c r="I316" s="46" t="e">
        <f>H316+Calc!K316</f>
        <v>#N/A</v>
      </c>
      <c r="J316" s="46" t="e">
        <f>ABS(Show!$A$4-I316)/(Show!$A$4/100)</f>
        <v>#N/A</v>
      </c>
      <c r="K316" s="45">
        <f>INDEX(Calc!L316:P316,Show!$B$4)</f>
        <v>162</v>
      </c>
      <c r="L316" s="46">
        <f t="shared" si="204"/>
        <v>168.99999999999997</v>
      </c>
      <c r="M316" s="46">
        <f>L316</f>
        <v>168.99999999999997</v>
      </c>
      <c r="N316" s="46">
        <f>L314</f>
        <v>162</v>
      </c>
      <c r="O316" s="46">
        <f t="shared" si="205"/>
        <v>180</v>
      </c>
      <c r="P316" s="46">
        <f t="shared" ref="P316" si="227">O306</f>
        <v>150</v>
      </c>
    </row>
    <row r="317" spans="1:16" x14ac:dyDescent="0.25">
      <c r="A317" s="45">
        <f>1/((1/Show!$A$4)-(1/Calc!K317))</f>
        <v>51.594202898550719</v>
      </c>
      <c r="B317" s="45">
        <f>MATCH(A317*Calc!$R$12,Calc!$K$1:$K$774,1)</f>
        <v>268</v>
      </c>
      <c r="C317" s="45">
        <f>INDEX(Calc!$K$1:$K$774,B317)</f>
        <v>51.1</v>
      </c>
      <c r="D317" s="45">
        <f>1/(1/C317+1/Calc!K317)</f>
        <v>39.702313400261893</v>
      </c>
      <c r="E317" s="45">
        <f>ABS(Show!$A$4-D317)/(Show!$A$4/100)</f>
        <v>0.74421649934526712</v>
      </c>
      <c r="F317" s="46">
        <f>Show!$A$4-Calc!L317</f>
        <v>-134</v>
      </c>
      <c r="G317" s="46" t="e">
        <f>MATCH(F317*Calc!$R$12,Calc!$K$1:$K$774,1)</f>
        <v>#N/A</v>
      </c>
      <c r="H317" s="46" t="e">
        <f>INDEX(Calc!$K$1:$K$774,G317)</f>
        <v>#N/A</v>
      </c>
      <c r="I317" s="46" t="e">
        <f>H317+Calc!K317</f>
        <v>#N/A</v>
      </c>
      <c r="J317" s="46" t="e">
        <f>ABS(Show!$A$4-I317)/(Show!$A$4/100)</f>
        <v>#N/A</v>
      </c>
      <c r="K317" s="45">
        <f>INDEX(Calc!L317:P317,Show!$B$4)</f>
        <v>178.00000000000003</v>
      </c>
      <c r="L317" s="46">
        <f t="shared" si="204"/>
        <v>174</v>
      </c>
      <c r="M317" s="46">
        <f>L316</f>
        <v>168.99999999999997</v>
      </c>
      <c r="N317" s="46">
        <f>L318</f>
        <v>178.00000000000003</v>
      </c>
      <c r="O317" s="46">
        <f t="shared" si="205"/>
        <v>180</v>
      </c>
      <c r="P317" s="46">
        <f t="shared" ref="P317" si="228">O306</f>
        <v>150</v>
      </c>
    </row>
    <row r="318" spans="1:16" x14ac:dyDescent="0.25">
      <c r="A318" s="45">
        <f>1/((1/Show!$A$4)-(1/Calc!K318))</f>
        <v>51.594202898550719</v>
      </c>
      <c r="B318" s="45">
        <f>MATCH(A318*Calc!$R$12,Calc!$K$1:$K$774,1)</f>
        <v>268</v>
      </c>
      <c r="C318" s="45">
        <f>INDEX(Calc!$K$1:$K$774,B318)</f>
        <v>51.1</v>
      </c>
      <c r="D318" s="45">
        <f>1/(1/C318+1/Calc!K318)</f>
        <v>39.702313400261893</v>
      </c>
      <c r="E318" s="45">
        <f>ABS(Show!$A$4-D318)/(Show!$A$4/100)</f>
        <v>0.74421649934526712</v>
      </c>
      <c r="F318" s="46">
        <f>Show!$A$4-Calc!L318</f>
        <v>-138.00000000000003</v>
      </c>
      <c r="G318" s="46" t="e">
        <f>MATCH(F318*Calc!$R$12,Calc!$K$1:$K$774,1)</f>
        <v>#N/A</v>
      </c>
      <c r="H318" s="46" t="e">
        <f>INDEX(Calc!$K$1:$K$774,G318)</f>
        <v>#N/A</v>
      </c>
      <c r="I318" s="46" t="e">
        <f>H318+Calc!K318</f>
        <v>#N/A</v>
      </c>
      <c r="J318" s="46" t="e">
        <f>ABS(Show!$A$4-I318)/(Show!$A$4/100)</f>
        <v>#N/A</v>
      </c>
      <c r="K318" s="45">
        <f>INDEX(Calc!L318:P318,Show!$B$4)</f>
        <v>178.00000000000003</v>
      </c>
      <c r="L318" s="46">
        <f t="shared" si="204"/>
        <v>178.00000000000003</v>
      </c>
      <c r="M318" s="46">
        <f>L318</f>
        <v>178.00000000000003</v>
      </c>
      <c r="N318" s="46">
        <f>L318</f>
        <v>178.00000000000003</v>
      </c>
      <c r="O318" s="46">
        <f t="shared" si="205"/>
        <v>180</v>
      </c>
      <c r="P318" s="46">
        <f t="shared" ref="P318" si="229">O322</f>
        <v>220</v>
      </c>
    </row>
    <row r="319" spans="1:16" x14ac:dyDescent="0.25">
      <c r="A319" s="45">
        <f>1/((1/Show!$A$4)-(1/Calc!K319))</f>
        <v>51.594202898550719</v>
      </c>
      <c r="B319" s="45">
        <f>MATCH(A319*Calc!$R$12,Calc!$K$1:$K$774,1)</f>
        <v>268</v>
      </c>
      <c r="C319" s="45">
        <f>INDEX(Calc!$K$1:$K$774,B319)</f>
        <v>51.1</v>
      </c>
      <c r="D319" s="45">
        <f>1/(1/C319+1/Calc!K319)</f>
        <v>39.702313400261893</v>
      </c>
      <c r="E319" s="45">
        <f>ABS(Show!$A$4-D319)/(Show!$A$4/100)</f>
        <v>0.74421649934526712</v>
      </c>
      <c r="F319" s="46">
        <f>Show!$A$4-Calc!L319</f>
        <v>-142</v>
      </c>
      <c r="G319" s="46" t="e">
        <f>MATCH(F319*Calc!$R$12,Calc!$K$1:$K$774,1)</f>
        <v>#N/A</v>
      </c>
      <c r="H319" s="46" t="e">
        <f>INDEX(Calc!$K$1:$K$774,G319)</f>
        <v>#N/A</v>
      </c>
      <c r="I319" s="46" t="e">
        <f>H319+Calc!K319</f>
        <v>#N/A</v>
      </c>
      <c r="J319" s="46" t="e">
        <f>ABS(Show!$A$4-I319)/(Show!$A$4/100)</f>
        <v>#N/A</v>
      </c>
      <c r="K319" s="45">
        <f>INDEX(Calc!L319:P319,Show!$B$4)</f>
        <v>178.00000000000003</v>
      </c>
      <c r="L319" s="46">
        <f t="shared" si="204"/>
        <v>182</v>
      </c>
      <c r="M319" s="46">
        <f>L318</f>
        <v>178.00000000000003</v>
      </c>
      <c r="N319" s="46">
        <f>L318</f>
        <v>178.00000000000003</v>
      </c>
      <c r="O319" s="46">
        <f t="shared" si="205"/>
        <v>180</v>
      </c>
      <c r="P319" s="46">
        <f t="shared" ref="P319" si="230">O322</f>
        <v>220</v>
      </c>
    </row>
    <row r="320" spans="1:16" x14ac:dyDescent="0.25">
      <c r="A320" s="45">
        <f>1/((1/Show!$A$4)-(1/Calc!K320))</f>
        <v>51.594202898550719</v>
      </c>
      <c r="B320" s="45">
        <f>MATCH(A320*Calc!$R$12,Calc!$K$1:$K$774,1)</f>
        <v>268</v>
      </c>
      <c r="C320" s="45">
        <f>INDEX(Calc!$K$1:$K$774,B320)</f>
        <v>51.1</v>
      </c>
      <c r="D320" s="45">
        <f>1/(1/C320+1/Calc!K320)</f>
        <v>39.702313400261893</v>
      </c>
      <c r="E320" s="45">
        <f>ABS(Show!$A$4-D320)/(Show!$A$4/100)</f>
        <v>0.74421649934526712</v>
      </c>
      <c r="F320" s="46">
        <f>Show!$A$4-Calc!L320</f>
        <v>-147</v>
      </c>
      <c r="G320" s="46" t="e">
        <f>MATCH(F320*Calc!$R$12,Calc!$K$1:$K$774,1)</f>
        <v>#N/A</v>
      </c>
      <c r="H320" s="46" t="e">
        <f>INDEX(Calc!$K$1:$K$774,G320)</f>
        <v>#N/A</v>
      </c>
      <c r="I320" s="46" t="e">
        <f>H320+Calc!K320</f>
        <v>#N/A</v>
      </c>
      <c r="J320" s="46" t="e">
        <f>ABS(Show!$A$4-I320)/(Show!$A$4/100)</f>
        <v>#N/A</v>
      </c>
      <c r="K320" s="45">
        <f>INDEX(Calc!L320:P320,Show!$B$4)</f>
        <v>178.00000000000003</v>
      </c>
      <c r="L320" s="46">
        <f t="shared" si="204"/>
        <v>187</v>
      </c>
      <c r="M320" s="46">
        <f>L320</f>
        <v>187</v>
      </c>
      <c r="N320" s="46">
        <f>L318</f>
        <v>178.00000000000003</v>
      </c>
      <c r="O320" s="46">
        <f t="shared" si="205"/>
        <v>180</v>
      </c>
      <c r="P320" s="46">
        <f t="shared" ref="P320" si="231">O322</f>
        <v>220</v>
      </c>
    </row>
    <row r="321" spans="1:16" x14ac:dyDescent="0.25">
      <c r="A321" s="45">
        <f>1/((1/Show!$A$4)-(1/Calc!K321))</f>
        <v>50.256410256410248</v>
      </c>
      <c r="B321" s="45">
        <f>MATCH(A321*Calc!$R$12,Calc!$K$1:$K$774,1)</f>
        <v>268</v>
      </c>
      <c r="C321" s="45">
        <f>INDEX(Calc!$K$1:$K$774,B321)</f>
        <v>51.1</v>
      </c>
      <c r="D321" s="45">
        <f>1/(1/C321+1/Calc!K321)</f>
        <v>40.532577903682721</v>
      </c>
      <c r="E321" s="45">
        <f>ABS(Show!$A$4-D321)/(Show!$A$4/100)</f>
        <v>1.3314447592068035</v>
      </c>
      <c r="F321" s="46">
        <f>Show!$A$4-Calc!L321</f>
        <v>-151</v>
      </c>
      <c r="G321" s="46" t="e">
        <f>MATCH(F321*Calc!$R$12,Calc!$K$1:$K$774,1)</f>
        <v>#N/A</v>
      </c>
      <c r="H321" s="46" t="e">
        <f>INDEX(Calc!$K$1:$K$774,G321)</f>
        <v>#N/A</v>
      </c>
      <c r="I321" s="46" t="e">
        <f>H321+Calc!K321</f>
        <v>#N/A</v>
      </c>
      <c r="J321" s="46" t="e">
        <f>ABS(Show!$A$4-I321)/(Show!$A$4/100)</f>
        <v>#N/A</v>
      </c>
      <c r="K321" s="45">
        <f>INDEX(Calc!L321:P321,Show!$B$4)</f>
        <v>196</v>
      </c>
      <c r="L321" s="46">
        <f t="shared" si="204"/>
        <v>191</v>
      </c>
      <c r="M321" s="46">
        <f>L320</f>
        <v>187</v>
      </c>
      <c r="N321" s="46">
        <f>L322</f>
        <v>196</v>
      </c>
      <c r="O321" s="46">
        <f t="shared" si="205"/>
        <v>180</v>
      </c>
      <c r="P321" s="46">
        <f t="shared" ref="P321" si="232">O322</f>
        <v>220</v>
      </c>
    </row>
    <row r="322" spans="1:16" x14ac:dyDescent="0.25">
      <c r="A322" s="45">
        <f>1/((1/Show!$A$4)-(1/Calc!K322))</f>
        <v>50.256410256410248</v>
      </c>
      <c r="B322" s="45">
        <f>MATCH(A322*Calc!$R$12,Calc!$K$1:$K$774,1)</f>
        <v>268</v>
      </c>
      <c r="C322" s="45">
        <f>INDEX(Calc!$K$1:$K$774,B322)</f>
        <v>51.1</v>
      </c>
      <c r="D322" s="45">
        <f>1/(1/C322+1/Calc!K322)</f>
        <v>40.532577903682721</v>
      </c>
      <c r="E322" s="45">
        <f>ABS(Show!$A$4-D322)/(Show!$A$4/100)</f>
        <v>1.3314447592068035</v>
      </c>
      <c r="F322" s="46">
        <f>Show!$A$4-Calc!L322</f>
        <v>-156</v>
      </c>
      <c r="G322" s="46" t="e">
        <f>MATCH(F322*Calc!$R$12,Calc!$K$1:$K$774,1)</f>
        <v>#N/A</v>
      </c>
      <c r="H322" s="46" t="e">
        <f>INDEX(Calc!$K$1:$K$774,G322)</f>
        <v>#N/A</v>
      </c>
      <c r="I322" s="46" t="e">
        <f>H322+Calc!K322</f>
        <v>#N/A</v>
      </c>
      <c r="J322" s="46" t="e">
        <f>ABS(Show!$A$4-I322)/(Show!$A$4/100)</f>
        <v>#N/A</v>
      </c>
      <c r="K322" s="45">
        <f>INDEX(Calc!L322:P322,Show!$B$4)</f>
        <v>196</v>
      </c>
      <c r="L322" s="46">
        <f t="shared" si="204"/>
        <v>196</v>
      </c>
      <c r="M322" s="46">
        <f>L322</f>
        <v>196</v>
      </c>
      <c r="N322" s="46">
        <f>L322</f>
        <v>196</v>
      </c>
      <c r="O322" s="46">
        <f t="shared" si="205"/>
        <v>220</v>
      </c>
      <c r="P322" s="46">
        <f t="shared" ref="P322" si="233">O322</f>
        <v>220</v>
      </c>
    </row>
    <row r="323" spans="1:16" x14ac:dyDescent="0.25">
      <c r="A323" s="45">
        <f>1/((1/Show!$A$4)-(1/Calc!K323))</f>
        <v>50.256410256410248</v>
      </c>
      <c r="B323" s="45">
        <f>MATCH(A323*Calc!$R$12,Calc!$K$1:$K$774,1)</f>
        <v>268</v>
      </c>
      <c r="C323" s="45">
        <f>INDEX(Calc!$K$1:$K$774,B323)</f>
        <v>51.1</v>
      </c>
      <c r="D323" s="45">
        <f>1/(1/C323+1/Calc!K323)</f>
        <v>40.532577903682721</v>
      </c>
      <c r="E323" s="45">
        <f>ABS(Show!$A$4-D323)/(Show!$A$4/100)</f>
        <v>1.3314447592068035</v>
      </c>
      <c r="F323" s="46">
        <f>Show!$A$4-Calc!L323</f>
        <v>-160</v>
      </c>
      <c r="G323" s="46" t="e">
        <f>MATCH(F323*Calc!$R$12,Calc!$K$1:$K$774,1)</f>
        <v>#N/A</v>
      </c>
      <c r="H323" s="46" t="e">
        <f>INDEX(Calc!$K$1:$K$774,G323)</f>
        <v>#N/A</v>
      </c>
      <c r="I323" s="46" t="e">
        <f>H323+Calc!K323</f>
        <v>#N/A</v>
      </c>
      <c r="J323" s="46" t="e">
        <f>ABS(Show!$A$4-I323)/(Show!$A$4/100)</f>
        <v>#N/A</v>
      </c>
      <c r="K323" s="45">
        <f>INDEX(Calc!L323:P323,Show!$B$4)</f>
        <v>196</v>
      </c>
      <c r="L323" s="46">
        <f t="shared" si="204"/>
        <v>200</v>
      </c>
      <c r="M323" s="46">
        <f>L322</f>
        <v>196</v>
      </c>
      <c r="N323" s="46">
        <f>L322</f>
        <v>196</v>
      </c>
      <c r="O323" s="46">
        <f t="shared" si="205"/>
        <v>220</v>
      </c>
      <c r="P323" s="46">
        <f t="shared" ref="P323" si="234">O322</f>
        <v>220</v>
      </c>
    </row>
    <row r="324" spans="1:16" x14ac:dyDescent="0.25">
      <c r="A324" s="45">
        <f>1/((1/Show!$A$4)-(1/Calc!K324))</f>
        <v>50.256410256410248</v>
      </c>
      <c r="B324" s="45">
        <f>MATCH(A324*Calc!$R$12,Calc!$K$1:$K$774,1)</f>
        <v>268</v>
      </c>
      <c r="C324" s="45">
        <f>INDEX(Calc!$K$1:$K$774,B324)</f>
        <v>51.1</v>
      </c>
      <c r="D324" s="45">
        <f>1/(1/C324+1/Calc!K324)</f>
        <v>40.532577903682721</v>
      </c>
      <c r="E324" s="45">
        <f>ABS(Show!$A$4-D324)/(Show!$A$4/100)</f>
        <v>1.3314447592068035</v>
      </c>
      <c r="F324" s="46">
        <f>Show!$A$4-Calc!L324</f>
        <v>-165</v>
      </c>
      <c r="G324" s="46" t="e">
        <f>MATCH(F324*Calc!$R$12,Calc!$K$1:$K$774,1)</f>
        <v>#N/A</v>
      </c>
      <c r="H324" s="46" t="e">
        <f>INDEX(Calc!$K$1:$K$774,G324)</f>
        <v>#N/A</v>
      </c>
      <c r="I324" s="46" t="e">
        <f>H324+Calc!K324</f>
        <v>#N/A</v>
      </c>
      <c r="J324" s="46" t="e">
        <f>ABS(Show!$A$4-I324)/(Show!$A$4/100)</f>
        <v>#N/A</v>
      </c>
      <c r="K324" s="45">
        <f>INDEX(Calc!L324:P324,Show!$B$4)</f>
        <v>196</v>
      </c>
      <c r="L324" s="46">
        <f t="shared" si="204"/>
        <v>205</v>
      </c>
      <c r="M324" s="46">
        <f>L324</f>
        <v>205</v>
      </c>
      <c r="N324" s="46">
        <f>L322</f>
        <v>196</v>
      </c>
      <c r="O324" s="46">
        <f t="shared" si="205"/>
        <v>220</v>
      </c>
      <c r="P324" s="46">
        <f t="shared" ref="P324" si="235">O322</f>
        <v>220</v>
      </c>
    </row>
    <row r="325" spans="1:16" x14ac:dyDescent="0.25">
      <c r="A325" s="45">
        <f>1/((1/Show!$A$4)-(1/Calc!K325))</f>
        <v>49.142857142857139</v>
      </c>
      <c r="B325" s="45">
        <f>MATCH(A325*Calc!$R$12,Calc!$K$1:$K$774,1)</f>
        <v>268</v>
      </c>
      <c r="C325" s="45">
        <f>INDEX(Calc!$K$1:$K$774,B325)</f>
        <v>51.1</v>
      </c>
      <c r="D325" s="45">
        <f>1/(1/C325+1/Calc!K325)</f>
        <v>41.287110108981587</v>
      </c>
      <c r="E325" s="45">
        <f>ABS(Show!$A$4-D325)/(Show!$A$4/100)</f>
        <v>3.2177752724539666</v>
      </c>
      <c r="F325" s="46">
        <f>Show!$A$4-Calc!L325</f>
        <v>-170</v>
      </c>
      <c r="G325" s="46" t="e">
        <f>MATCH(F325*Calc!$R$12,Calc!$K$1:$K$774,1)</f>
        <v>#N/A</v>
      </c>
      <c r="H325" s="46" t="e">
        <f>INDEX(Calc!$K$1:$K$774,G325)</f>
        <v>#N/A</v>
      </c>
      <c r="I325" s="46" t="e">
        <f>H325+Calc!K325</f>
        <v>#N/A</v>
      </c>
      <c r="J325" s="46" t="e">
        <f>ABS(Show!$A$4-I325)/(Show!$A$4/100)</f>
        <v>#N/A</v>
      </c>
      <c r="K325" s="45">
        <f>INDEX(Calc!L325:P325,Show!$B$4)</f>
        <v>215</v>
      </c>
      <c r="L325" s="46">
        <f t="shared" si="204"/>
        <v>210</v>
      </c>
      <c r="M325" s="46">
        <f>L324</f>
        <v>205</v>
      </c>
      <c r="N325" s="46">
        <f>L326</f>
        <v>215</v>
      </c>
      <c r="O325" s="46">
        <f t="shared" si="205"/>
        <v>220</v>
      </c>
      <c r="P325" s="46">
        <f t="shared" ref="P325" si="236">O322</f>
        <v>220</v>
      </c>
    </row>
    <row r="326" spans="1:16" x14ac:dyDescent="0.25">
      <c r="A326" s="45">
        <f>1/((1/Show!$A$4)-(1/Calc!K326))</f>
        <v>49.142857142857139</v>
      </c>
      <c r="B326" s="45">
        <f>MATCH(A326*Calc!$R$12,Calc!$K$1:$K$774,1)</f>
        <v>268</v>
      </c>
      <c r="C326" s="45">
        <f>INDEX(Calc!$K$1:$K$774,B326)</f>
        <v>51.1</v>
      </c>
      <c r="D326" s="45">
        <f>1/(1/C326+1/Calc!K326)</f>
        <v>41.287110108981587</v>
      </c>
      <c r="E326" s="45">
        <f>ABS(Show!$A$4-D326)/(Show!$A$4/100)</f>
        <v>3.2177752724539666</v>
      </c>
      <c r="F326" s="46">
        <f>Show!$A$4-Calc!L326</f>
        <v>-175</v>
      </c>
      <c r="G326" s="46" t="e">
        <f>MATCH(F326*Calc!$R$12,Calc!$K$1:$K$774,1)</f>
        <v>#N/A</v>
      </c>
      <c r="H326" s="46" t="e">
        <f>INDEX(Calc!$K$1:$K$774,G326)</f>
        <v>#N/A</v>
      </c>
      <c r="I326" s="46" t="e">
        <f>H326+Calc!K326</f>
        <v>#N/A</v>
      </c>
      <c r="J326" s="46" t="e">
        <f>ABS(Show!$A$4-I326)/(Show!$A$4/100)</f>
        <v>#N/A</v>
      </c>
      <c r="K326" s="45">
        <f>INDEX(Calc!L326:P326,Show!$B$4)</f>
        <v>215</v>
      </c>
      <c r="L326" s="46">
        <f t="shared" si="204"/>
        <v>215</v>
      </c>
      <c r="M326" s="46">
        <f>L326</f>
        <v>215</v>
      </c>
      <c r="N326" s="46">
        <f>L326</f>
        <v>215</v>
      </c>
      <c r="O326" s="46">
        <f t="shared" si="205"/>
        <v>220</v>
      </c>
      <c r="P326" s="46">
        <f t="shared" ref="P326" si="237">O322</f>
        <v>220</v>
      </c>
    </row>
    <row r="327" spans="1:16" x14ac:dyDescent="0.25">
      <c r="A327" s="45">
        <f>1/((1/Show!$A$4)-(1/Calc!K327))</f>
        <v>49.142857142857139</v>
      </c>
      <c r="B327" s="45">
        <f>MATCH(A327*Calc!$R$12,Calc!$K$1:$K$774,1)</f>
        <v>268</v>
      </c>
      <c r="C327" s="45">
        <f>INDEX(Calc!$K$1:$K$774,B327)</f>
        <v>51.1</v>
      </c>
      <c r="D327" s="45">
        <f>1/(1/C327+1/Calc!K327)</f>
        <v>41.287110108981587</v>
      </c>
      <c r="E327" s="45">
        <f>ABS(Show!$A$4-D327)/(Show!$A$4/100)</f>
        <v>3.2177752724539666</v>
      </c>
      <c r="F327" s="46">
        <f>Show!$A$4-Calc!L327</f>
        <v>-181</v>
      </c>
      <c r="G327" s="46" t="e">
        <f>MATCH(F327*Calc!$R$12,Calc!$K$1:$K$774,1)</f>
        <v>#N/A</v>
      </c>
      <c r="H327" s="46" t="e">
        <f>INDEX(Calc!$K$1:$K$774,G327)</f>
        <v>#N/A</v>
      </c>
      <c r="I327" s="46" t="e">
        <f>H327+Calc!K327</f>
        <v>#N/A</v>
      </c>
      <c r="J327" s="46" t="e">
        <f>ABS(Show!$A$4-I327)/(Show!$A$4/100)</f>
        <v>#N/A</v>
      </c>
      <c r="K327" s="45">
        <f>INDEX(Calc!L327:P327,Show!$B$4)</f>
        <v>215</v>
      </c>
      <c r="L327" s="46">
        <f t="shared" si="204"/>
        <v>221</v>
      </c>
      <c r="M327" s="46">
        <f>L326</f>
        <v>215</v>
      </c>
      <c r="N327" s="46">
        <f>L326</f>
        <v>215</v>
      </c>
      <c r="O327" s="46">
        <f t="shared" si="205"/>
        <v>220</v>
      </c>
      <c r="P327" s="46">
        <f t="shared" ref="P327" si="238">O322</f>
        <v>220</v>
      </c>
    </row>
    <row r="328" spans="1:16" x14ac:dyDescent="0.25">
      <c r="A328" s="45">
        <f>1/((1/Show!$A$4)-(1/Calc!K328))</f>
        <v>49.142857142857139</v>
      </c>
      <c r="B328" s="45">
        <f>MATCH(A328*Calc!$R$12,Calc!$K$1:$K$774,1)</f>
        <v>268</v>
      </c>
      <c r="C328" s="45">
        <f>INDEX(Calc!$K$1:$K$774,B328)</f>
        <v>51.1</v>
      </c>
      <c r="D328" s="45">
        <f>1/(1/C328+1/Calc!K328)</f>
        <v>41.287110108981587</v>
      </c>
      <c r="E328" s="45">
        <f>ABS(Show!$A$4-D328)/(Show!$A$4/100)</f>
        <v>3.2177752724539666</v>
      </c>
      <c r="F328" s="46">
        <f>Show!$A$4-Calc!L328</f>
        <v>-186</v>
      </c>
      <c r="G328" s="46" t="e">
        <f>MATCH(F328*Calc!$R$12,Calc!$K$1:$K$774,1)</f>
        <v>#N/A</v>
      </c>
      <c r="H328" s="46" t="e">
        <f>INDEX(Calc!$K$1:$K$774,G328)</f>
        <v>#N/A</v>
      </c>
      <c r="I328" s="46" t="e">
        <f>H328+Calc!K328</f>
        <v>#N/A</v>
      </c>
      <c r="J328" s="46" t="e">
        <f>ABS(Show!$A$4-I328)/(Show!$A$4/100)</f>
        <v>#N/A</v>
      </c>
      <c r="K328" s="45">
        <f>INDEX(Calc!L328:P328,Show!$B$4)</f>
        <v>215</v>
      </c>
      <c r="L328" s="46">
        <f t="shared" si="204"/>
        <v>226</v>
      </c>
      <c r="M328" s="46">
        <f>L328</f>
        <v>226</v>
      </c>
      <c r="N328" s="46">
        <f>L326</f>
        <v>215</v>
      </c>
      <c r="O328" s="46">
        <f t="shared" si="205"/>
        <v>220</v>
      </c>
      <c r="P328" s="46">
        <f t="shared" ref="P328" si="239">O322</f>
        <v>220</v>
      </c>
    </row>
    <row r="329" spans="1:16" x14ac:dyDescent="0.25">
      <c r="A329" s="45">
        <f>1/((1/Show!$A$4)-(1/Calc!K329))</f>
        <v>48.121827411167509</v>
      </c>
      <c r="B329" s="45">
        <f>MATCH(A329*Calc!$R$12,Calc!$K$1:$K$774,1)</f>
        <v>264</v>
      </c>
      <c r="C329" s="45">
        <f>INDEX(Calc!$K$1:$K$774,B329)</f>
        <v>46.4</v>
      </c>
      <c r="D329" s="45">
        <f>1/(1/C329+1/Calc!K329)</f>
        <v>38.803105151729</v>
      </c>
      <c r="E329" s="45">
        <f>ABS(Show!$A$4-D329)/(Show!$A$4/100)</f>
        <v>2.9922371206775011</v>
      </c>
      <c r="F329" s="46">
        <f>Show!$A$4-Calc!L329</f>
        <v>-191.99999999999997</v>
      </c>
      <c r="G329" s="46" t="e">
        <f>MATCH(F329*Calc!$R$12,Calc!$K$1:$K$774,1)</f>
        <v>#N/A</v>
      </c>
      <c r="H329" s="46" t="e">
        <f>INDEX(Calc!$K$1:$K$774,G329)</f>
        <v>#N/A</v>
      </c>
      <c r="I329" s="46" t="e">
        <f>H329+Calc!K329</f>
        <v>#N/A</v>
      </c>
      <c r="J329" s="46" t="e">
        <f>ABS(Show!$A$4-I329)/(Show!$A$4/100)</f>
        <v>#N/A</v>
      </c>
      <c r="K329" s="45">
        <f>INDEX(Calc!L329:P329,Show!$B$4)</f>
        <v>237</v>
      </c>
      <c r="L329" s="46">
        <f t="shared" si="204"/>
        <v>231.99999999999997</v>
      </c>
      <c r="M329" s="46">
        <f>L328</f>
        <v>226</v>
      </c>
      <c r="N329" s="46">
        <f>L330</f>
        <v>237</v>
      </c>
      <c r="O329" s="46">
        <f t="shared" si="205"/>
        <v>220</v>
      </c>
      <c r="P329" s="46">
        <f t="shared" ref="P329" si="240">O322</f>
        <v>220</v>
      </c>
    </row>
    <row r="330" spans="1:16" x14ac:dyDescent="0.25">
      <c r="A330" s="45">
        <f>1/((1/Show!$A$4)-(1/Calc!K330))</f>
        <v>48.121827411167509</v>
      </c>
      <c r="B330" s="45">
        <f>MATCH(A330*Calc!$R$12,Calc!$K$1:$K$774,1)</f>
        <v>264</v>
      </c>
      <c r="C330" s="45">
        <f>INDEX(Calc!$K$1:$K$774,B330)</f>
        <v>46.4</v>
      </c>
      <c r="D330" s="45">
        <f>1/(1/C330+1/Calc!K330)</f>
        <v>38.803105151729</v>
      </c>
      <c r="E330" s="45">
        <f>ABS(Show!$A$4-D330)/(Show!$A$4/100)</f>
        <v>2.9922371206775011</v>
      </c>
      <c r="F330" s="46">
        <f>Show!$A$4-Calc!L330</f>
        <v>-197</v>
      </c>
      <c r="G330" s="46" t="e">
        <f>MATCH(F330*Calc!$R$12,Calc!$K$1:$K$774,1)</f>
        <v>#N/A</v>
      </c>
      <c r="H330" s="46" t="e">
        <f>INDEX(Calc!$K$1:$K$774,G330)</f>
        <v>#N/A</v>
      </c>
      <c r="I330" s="46" t="e">
        <f>H330+Calc!K330</f>
        <v>#N/A</v>
      </c>
      <c r="J330" s="46" t="e">
        <f>ABS(Show!$A$4-I330)/(Show!$A$4/100)</f>
        <v>#N/A</v>
      </c>
      <c r="K330" s="45">
        <f>INDEX(Calc!L330:P330,Show!$B$4)</f>
        <v>237</v>
      </c>
      <c r="L330" s="46">
        <f t="shared" si="204"/>
        <v>237</v>
      </c>
      <c r="M330" s="46">
        <f>L330</f>
        <v>237</v>
      </c>
      <c r="N330" s="46">
        <f>L330</f>
        <v>237</v>
      </c>
      <c r="O330" s="46">
        <f t="shared" si="205"/>
        <v>270</v>
      </c>
      <c r="P330" s="46">
        <f t="shared" ref="P330" si="241">O322</f>
        <v>220</v>
      </c>
    </row>
    <row r="331" spans="1:16" x14ac:dyDescent="0.25">
      <c r="A331" s="45">
        <f>1/((1/Show!$A$4)-(1/Calc!K331))</f>
        <v>48.121827411167509</v>
      </c>
      <c r="B331" s="45">
        <f>MATCH(A331*Calc!$R$12,Calc!$K$1:$K$774,1)</f>
        <v>264</v>
      </c>
      <c r="C331" s="45">
        <f>INDEX(Calc!$K$1:$K$774,B331)</f>
        <v>46.4</v>
      </c>
      <c r="D331" s="45">
        <f>1/(1/C331+1/Calc!K331)</f>
        <v>38.803105151729</v>
      </c>
      <c r="E331" s="45">
        <f>ABS(Show!$A$4-D331)/(Show!$A$4/100)</f>
        <v>2.9922371206775011</v>
      </c>
      <c r="F331" s="46">
        <f>Show!$A$4-Calc!L331</f>
        <v>-203</v>
      </c>
      <c r="G331" s="46" t="e">
        <f>MATCH(F331*Calc!$R$12,Calc!$K$1:$K$774,1)</f>
        <v>#N/A</v>
      </c>
      <c r="H331" s="46" t="e">
        <f>INDEX(Calc!$K$1:$K$774,G331)</f>
        <v>#N/A</v>
      </c>
      <c r="I331" s="46" t="e">
        <f>H331+Calc!K331</f>
        <v>#N/A</v>
      </c>
      <c r="J331" s="46" t="e">
        <f>ABS(Show!$A$4-I331)/(Show!$A$4/100)</f>
        <v>#N/A</v>
      </c>
      <c r="K331" s="45">
        <f>INDEX(Calc!L331:P331,Show!$B$4)</f>
        <v>237</v>
      </c>
      <c r="L331" s="46">
        <f t="shared" si="204"/>
        <v>243</v>
      </c>
      <c r="M331" s="46">
        <f>L330</f>
        <v>237</v>
      </c>
      <c r="N331" s="46">
        <f>L330</f>
        <v>237</v>
      </c>
      <c r="O331" s="46">
        <f t="shared" si="205"/>
        <v>270</v>
      </c>
      <c r="P331" s="46">
        <f t="shared" ref="P331" si="242">O322</f>
        <v>220</v>
      </c>
    </row>
    <row r="332" spans="1:16" x14ac:dyDescent="0.25">
      <c r="A332" s="45">
        <f>1/((1/Show!$A$4)-(1/Calc!K332))</f>
        <v>48.121827411167509</v>
      </c>
      <c r="B332" s="45">
        <f>MATCH(A332*Calc!$R$12,Calc!$K$1:$K$774,1)</f>
        <v>264</v>
      </c>
      <c r="C332" s="45">
        <f>INDEX(Calc!$K$1:$K$774,B332)</f>
        <v>46.4</v>
      </c>
      <c r="D332" s="45">
        <f>1/(1/C332+1/Calc!K332)</f>
        <v>38.803105151729</v>
      </c>
      <c r="E332" s="45">
        <f>ABS(Show!$A$4-D332)/(Show!$A$4/100)</f>
        <v>2.9922371206775011</v>
      </c>
      <c r="F332" s="46">
        <f>Show!$A$4-Calc!L332</f>
        <v>-209</v>
      </c>
      <c r="G332" s="46" t="e">
        <f>MATCH(F332*Calc!$R$12,Calc!$K$1:$K$774,1)</f>
        <v>#N/A</v>
      </c>
      <c r="H332" s="46" t="e">
        <f>INDEX(Calc!$K$1:$K$774,G332)</f>
        <v>#N/A</v>
      </c>
      <c r="I332" s="46" t="e">
        <f>H332+Calc!K332</f>
        <v>#N/A</v>
      </c>
      <c r="J332" s="46" t="e">
        <f>ABS(Show!$A$4-I332)/(Show!$A$4/100)</f>
        <v>#N/A</v>
      </c>
      <c r="K332" s="45">
        <f>INDEX(Calc!L332:P332,Show!$B$4)</f>
        <v>237</v>
      </c>
      <c r="L332" s="46">
        <f t="shared" si="204"/>
        <v>249</v>
      </c>
      <c r="M332" s="46">
        <f>L332</f>
        <v>249</v>
      </c>
      <c r="N332" s="46">
        <f>L330</f>
        <v>237</v>
      </c>
      <c r="O332" s="46">
        <f t="shared" si="205"/>
        <v>270</v>
      </c>
      <c r="P332" s="46">
        <f t="shared" ref="P332" si="243">O322</f>
        <v>220</v>
      </c>
    </row>
    <row r="333" spans="1:16" x14ac:dyDescent="0.25">
      <c r="A333" s="45">
        <f>1/((1/Show!$A$4)-(1/Calc!K333))</f>
        <v>47.23981900452489</v>
      </c>
      <c r="B333" s="45">
        <f>MATCH(A333*Calc!$R$12,Calc!$K$1:$K$774,1)</f>
        <v>264</v>
      </c>
      <c r="C333" s="45">
        <f>INDEX(Calc!$K$1:$K$774,B333)</f>
        <v>46.4</v>
      </c>
      <c r="D333" s="45">
        <f>1/(1/C333+1/Calc!K333)</f>
        <v>39.396226415094333</v>
      </c>
      <c r="E333" s="45">
        <f>ABS(Show!$A$4-D333)/(Show!$A$4/100)</f>
        <v>1.5094339622641684</v>
      </c>
      <c r="F333" s="46">
        <f>Show!$A$4-Calc!L333</f>
        <v>-215</v>
      </c>
      <c r="G333" s="46" t="e">
        <f>MATCH(F333*Calc!$R$12,Calc!$K$1:$K$774,1)</f>
        <v>#N/A</v>
      </c>
      <c r="H333" s="46" t="e">
        <f>INDEX(Calc!$K$1:$K$774,G333)</f>
        <v>#N/A</v>
      </c>
      <c r="I333" s="46" t="e">
        <f>H333+Calc!K333</f>
        <v>#N/A</v>
      </c>
      <c r="J333" s="46" t="e">
        <f>ABS(Show!$A$4-I333)/(Show!$A$4/100)</f>
        <v>#N/A</v>
      </c>
      <c r="K333" s="45">
        <f>INDEX(Calc!L333:P333,Show!$B$4)</f>
        <v>261</v>
      </c>
      <c r="L333" s="46">
        <f t="shared" si="204"/>
        <v>255</v>
      </c>
      <c r="M333" s="46">
        <f>L332</f>
        <v>249</v>
      </c>
      <c r="N333" s="46">
        <f>L334</f>
        <v>261</v>
      </c>
      <c r="O333" s="46">
        <f t="shared" si="205"/>
        <v>270</v>
      </c>
      <c r="P333" s="46">
        <f t="shared" ref="P333" si="244">O322</f>
        <v>220</v>
      </c>
    </row>
    <row r="334" spans="1:16" x14ac:dyDescent="0.25">
      <c r="A334" s="45">
        <f>1/((1/Show!$A$4)-(1/Calc!K334))</f>
        <v>47.23981900452489</v>
      </c>
      <c r="B334" s="45">
        <f>MATCH(A334*Calc!$R$12,Calc!$K$1:$K$774,1)</f>
        <v>264</v>
      </c>
      <c r="C334" s="45">
        <f>INDEX(Calc!$K$1:$K$774,B334)</f>
        <v>46.4</v>
      </c>
      <c r="D334" s="45">
        <f>1/(1/C334+1/Calc!K334)</f>
        <v>39.396226415094333</v>
      </c>
      <c r="E334" s="45">
        <f>ABS(Show!$A$4-D334)/(Show!$A$4/100)</f>
        <v>1.5094339622641684</v>
      </c>
      <c r="F334" s="46">
        <f>Show!$A$4-Calc!L334</f>
        <v>-221</v>
      </c>
      <c r="G334" s="46" t="e">
        <f>MATCH(F334*Calc!$R$12,Calc!$K$1:$K$774,1)</f>
        <v>#N/A</v>
      </c>
      <c r="H334" s="46" t="e">
        <f>INDEX(Calc!$K$1:$K$774,G334)</f>
        <v>#N/A</v>
      </c>
      <c r="I334" s="46" t="e">
        <f>H334+Calc!K334</f>
        <v>#N/A</v>
      </c>
      <c r="J334" s="46" t="e">
        <f>ABS(Show!$A$4-I334)/(Show!$A$4/100)</f>
        <v>#N/A</v>
      </c>
      <c r="K334" s="45">
        <f>INDEX(Calc!L334:P334,Show!$B$4)</f>
        <v>261</v>
      </c>
      <c r="L334" s="46">
        <f t="shared" si="204"/>
        <v>261</v>
      </c>
      <c r="M334" s="46">
        <f>L334</f>
        <v>261</v>
      </c>
      <c r="N334" s="46">
        <f>L334</f>
        <v>261</v>
      </c>
      <c r="O334" s="46">
        <f t="shared" si="205"/>
        <v>270</v>
      </c>
      <c r="P334" s="46">
        <f t="shared" ref="P334" si="245">O338</f>
        <v>330</v>
      </c>
    </row>
    <row r="335" spans="1:16" x14ac:dyDescent="0.25">
      <c r="A335" s="45">
        <f>1/((1/Show!$A$4)-(1/Calc!K335))</f>
        <v>47.23981900452489</v>
      </c>
      <c r="B335" s="45">
        <f>MATCH(A335*Calc!$R$12,Calc!$K$1:$K$774,1)</f>
        <v>264</v>
      </c>
      <c r="C335" s="45">
        <f>INDEX(Calc!$K$1:$K$774,B335)</f>
        <v>46.4</v>
      </c>
      <c r="D335" s="45">
        <f>1/(1/C335+1/Calc!K335)</f>
        <v>39.396226415094333</v>
      </c>
      <c r="E335" s="45">
        <f>ABS(Show!$A$4-D335)/(Show!$A$4/100)</f>
        <v>1.5094339622641684</v>
      </c>
      <c r="F335" s="46">
        <f>Show!$A$4-Calc!L335</f>
        <v>-227</v>
      </c>
      <c r="G335" s="46" t="e">
        <f>MATCH(F335*Calc!$R$12,Calc!$K$1:$K$774,1)</f>
        <v>#N/A</v>
      </c>
      <c r="H335" s="46" t="e">
        <f>INDEX(Calc!$K$1:$K$774,G335)</f>
        <v>#N/A</v>
      </c>
      <c r="I335" s="46" t="e">
        <f>H335+Calc!K335</f>
        <v>#N/A</v>
      </c>
      <c r="J335" s="46" t="e">
        <f>ABS(Show!$A$4-I335)/(Show!$A$4/100)</f>
        <v>#N/A</v>
      </c>
      <c r="K335" s="45">
        <f>INDEX(Calc!L335:P335,Show!$B$4)</f>
        <v>261</v>
      </c>
      <c r="L335" s="46">
        <f t="shared" si="204"/>
        <v>267</v>
      </c>
      <c r="M335" s="46">
        <f>L334</f>
        <v>261</v>
      </c>
      <c r="N335" s="46">
        <f>L334</f>
        <v>261</v>
      </c>
      <c r="O335" s="46">
        <f t="shared" si="205"/>
        <v>270</v>
      </c>
      <c r="P335" s="46">
        <f t="shared" ref="P335" si="246">O338</f>
        <v>330</v>
      </c>
    </row>
    <row r="336" spans="1:16" x14ac:dyDescent="0.25">
      <c r="A336" s="45">
        <f>1/((1/Show!$A$4)-(1/Calc!K336))</f>
        <v>47.23981900452489</v>
      </c>
      <c r="B336" s="45">
        <f>MATCH(A336*Calc!$R$12,Calc!$K$1:$K$774,1)</f>
        <v>264</v>
      </c>
      <c r="C336" s="45">
        <f>INDEX(Calc!$K$1:$K$774,B336)</f>
        <v>46.4</v>
      </c>
      <c r="D336" s="45">
        <f>1/(1/C336+1/Calc!K336)</f>
        <v>39.396226415094333</v>
      </c>
      <c r="E336" s="45">
        <f>ABS(Show!$A$4-D336)/(Show!$A$4/100)</f>
        <v>1.5094339622641684</v>
      </c>
      <c r="F336" s="46">
        <f>Show!$A$4-Calc!L336</f>
        <v>-233.99999999999994</v>
      </c>
      <c r="G336" s="46" t="e">
        <f>MATCH(F336*Calc!$R$12,Calc!$K$1:$K$774,1)</f>
        <v>#N/A</v>
      </c>
      <c r="H336" s="46" t="e">
        <f>INDEX(Calc!$K$1:$K$774,G336)</f>
        <v>#N/A</v>
      </c>
      <c r="I336" s="46" t="e">
        <f>H336+Calc!K336</f>
        <v>#N/A</v>
      </c>
      <c r="J336" s="46" t="e">
        <f>ABS(Show!$A$4-I336)/(Show!$A$4/100)</f>
        <v>#N/A</v>
      </c>
      <c r="K336" s="45">
        <f>INDEX(Calc!L336:P336,Show!$B$4)</f>
        <v>261</v>
      </c>
      <c r="L336" s="46">
        <f t="shared" si="204"/>
        <v>273.99999999999994</v>
      </c>
      <c r="M336" s="46">
        <f>L336</f>
        <v>273.99999999999994</v>
      </c>
      <c r="N336" s="46">
        <f>L334</f>
        <v>261</v>
      </c>
      <c r="O336" s="46">
        <f t="shared" si="205"/>
        <v>270</v>
      </c>
      <c r="P336" s="46">
        <f t="shared" ref="P336" si="247">O338</f>
        <v>330</v>
      </c>
    </row>
    <row r="337" spans="1:16" x14ac:dyDescent="0.25">
      <c r="A337" s="45">
        <f>1/((1/Show!$A$4)-(1/Calc!K337))</f>
        <v>46.477732793522264</v>
      </c>
      <c r="B337" s="45">
        <f>MATCH(A337*Calc!$R$12,Calc!$K$1:$K$774,1)</f>
        <v>264</v>
      </c>
      <c r="C337" s="45">
        <f>INDEX(Calc!$K$1:$K$774,B337)</f>
        <v>46.4</v>
      </c>
      <c r="D337" s="45">
        <f>1/(1/C337+1/Calc!K337)</f>
        <v>39.942411517696456</v>
      </c>
      <c r="E337" s="45">
        <f>ABS(Show!$A$4-D337)/(Show!$A$4/100)</f>
        <v>0.14397120575885936</v>
      </c>
      <c r="F337" s="46">
        <f>Show!$A$4-Calc!L337</f>
        <v>-240</v>
      </c>
      <c r="G337" s="46" t="e">
        <f>MATCH(F337*Calc!$R$12,Calc!$K$1:$K$774,1)</f>
        <v>#N/A</v>
      </c>
      <c r="H337" s="46" t="e">
        <f>INDEX(Calc!$K$1:$K$774,G337)</f>
        <v>#N/A</v>
      </c>
      <c r="I337" s="46" t="e">
        <f>H337+Calc!K337</f>
        <v>#N/A</v>
      </c>
      <c r="J337" s="46" t="e">
        <f>ABS(Show!$A$4-I337)/(Show!$A$4/100)</f>
        <v>#N/A</v>
      </c>
      <c r="K337" s="45">
        <f>INDEX(Calc!L337:P337,Show!$B$4)</f>
        <v>287</v>
      </c>
      <c r="L337" s="46">
        <f t="shared" si="204"/>
        <v>280</v>
      </c>
      <c r="M337" s="46">
        <f>L336</f>
        <v>273.99999999999994</v>
      </c>
      <c r="N337" s="46">
        <f>L338</f>
        <v>287</v>
      </c>
      <c r="O337" s="46">
        <f t="shared" si="205"/>
        <v>270</v>
      </c>
      <c r="P337" s="46">
        <f t="shared" ref="P337" si="248">O338</f>
        <v>330</v>
      </c>
    </row>
    <row r="338" spans="1:16" x14ac:dyDescent="0.25">
      <c r="A338" s="45">
        <f>1/((1/Show!$A$4)-(1/Calc!K338))</f>
        <v>46.477732793522264</v>
      </c>
      <c r="B338" s="45">
        <f>MATCH(A338*Calc!$R$12,Calc!$K$1:$K$774,1)</f>
        <v>264</v>
      </c>
      <c r="C338" s="45">
        <f>INDEX(Calc!$K$1:$K$774,B338)</f>
        <v>46.4</v>
      </c>
      <c r="D338" s="45">
        <f>1/(1/C338+1/Calc!K338)</f>
        <v>39.942411517696456</v>
      </c>
      <c r="E338" s="45">
        <f>ABS(Show!$A$4-D338)/(Show!$A$4/100)</f>
        <v>0.14397120575885936</v>
      </c>
      <c r="F338" s="46">
        <f>Show!$A$4-Calc!L338</f>
        <v>-247</v>
      </c>
      <c r="G338" s="46" t="e">
        <f>MATCH(F338*Calc!$R$12,Calc!$K$1:$K$774,1)</f>
        <v>#N/A</v>
      </c>
      <c r="H338" s="46" t="e">
        <f>INDEX(Calc!$K$1:$K$774,G338)</f>
        <v>#N/A</v>
      </c>
      <c r="I338" s="46" t="e">
        <f>H338+Calc!K338</f>
        <v>#N/A</v>
      </c>
      <c r="J338" s="46" t="e">
        <f>ABS(Show!$A$4-I338)/(Show!$A$4/100)</f>
        <v>#N/A</v>
      </c>
      <c r="K338" s="45">
        <f>INDEX(Calc!L338:P338,Show!$B$4)</f>
        <v>287</v>
      </c>
      <c r="L338" s="46">
        <f t="shared" si="204"/>
        <v>287</v>
      </c>
      <c r="M338" s="46">
        <f>L338</f>
        <v>287</v>
      </c>
      <c r="N338" s="46">
        <f>L338</f>
        <v>287</v>
      </c>
      <c r="O338" s="46">
        <f t="shared" si="205"/>
        <v>330</v>
      </c>
      <c r="P338" s="46">
        <f t="shared" ref="P338" si="249">O338</f>
        <v>330</v>
      </c>
    </row>
    <row r="339" spans="1:16" x14ac:dyDescent="0.25">
      <c r="A339" s="45">
        <f>1/((1/Show!$A$4)-(1/Calc!K339))</f>
        <v>46.477732793522264</v>
      </c>
      <c r="B339" s="45">
        <f>MATCH(A339*Calc!$R$12,Calc!$K$1:$K$774,1)</f>
        <v>264</v>
      </c>
      <c r="C339" s="45">
        <f>INDEX(Calc!$K$1:$K$774,B339)</f>
        <v>46.4</v>
      </c>
      <c r="D339" s="45">
        <f>1/(1/C339+1/Calc!K339)</f>
        <v>39.942411517696456</v>
      </c>
      <c r="E339" s="45">
        <f>ABS(Show!$A$4-D339)/(Show!$A$4/100)</f>
        <v>0.14397120575885936</v>
      </c>
      <c r="F339" s="46">
        <f>Show!$A$4-Calc!L339</f>
        <v>-254</v>
      </c>
      <c r="G339" s="46" t="e">
        <f>MATCH(F339*Calc!$R$12,Calc!$K$1:$K$774,1)</f>
        <v>#N/A</v>
      </c>
      <c r="H339" s="46" t="e">
        <f>INDEX(Calc!$K$1:$K$774,G339)</f>
        <v>#N/A</v>
      </c>
      <c r="I339" s="46" t="e">
        <f>H339+Calc!K339</f>
        <v>#N/A</v>
      </c>
      <c r="J339" s="46" t="e">
        <f>ABS(Show!$A$4-I339)/(Show!$A$4/100)</f>
        <v>#N/A</v>
      </c>
      <c r="K339" s="45">
        <f>INDEX(Calc!L339:P339,Show!$B$4)</f>
        <v>287</v>
      </c>
      <c r="L339" s="46">
        <f t="shared" si="204"/>
        <v>294</v>
      </c>
      <c r="M339" s="46">
        <f>L338</f>
        <v>287</v>
      </c>
      <c r="N339" s="46">
        <f>L338</f>
        <v>287</v>
      </c>
      <c r="O339" s="46">
        <f t="shared" si="205"/>
        <v>330</v>
      </c>
      <c r="P339" s="46">
        <f t="shared" ref="P339" si="250">O338</f>
        <v>330</v>
      </c>
    </row>
    <row r="340" spans="1:16" x14ac:dyDescent="0.25">
      <c r="A340" s="45">
        <f>1/((1/Show!$A$4)-(1/Calc!K340))</f>
        <v>46.477732793522264</v>
      </c>
      <c r="B340" s="45">
        <f>MATCH(A340*Calc!$R$12,Calc!$K$1:$K$774,1)</f>
        <v>264</v>
      </c>
      <c r="C340" s="45">
        <f>INDEX(Calc!$K$1:$K$774,B340)</f>
        <v>46.4</v>
      </c>
      <c r="D340" s="45">
        <f>1/(1/C340+1/Calc!K340)</f>
        <v>39.942411517696456</v>
      </c>
      <c r="E340" s="45">
        <f>ABS(Show!$A$4-D340)/(Show!$A$4/100)</f>
        <v>0.14397120575885936</v>
      </c>
      <c r="F340" s="46">
        <f>Show!$A$4-Calc!L340</f>
        <v>-261</v>
      </c>
      <c r="G340" s="46" t="e">
        <f>MATCH(F340*Calc!$R$12,Calc!$K$1:$K$774,1)</f>
        <v>#N/A</v>
      </c>
      <c r="H340" s="46" t="e">
        <f>INDEX(Calc!$K$1:$K$774,G340)</f>
        <v>#N/A</v>
      </c>
      <c r="I340" s="46" t="e">
        <f>H340+Calc!K340</f>
        <v>#N/A</v>
      </c>
      <c r="J340" s="46" t="e">
        <f>ABS(Show!$A$4-I340)/(Show!$A$4/100)</f>
        <v>#N/A</v>
      </c>
      <c r="K340" s="45">
        <f>INDEX(Calc!L340:P340,Show!$B$4)</f>
        <v>287</v>
      </c>
      <c r="L340" s="46">
        <f t="shared" si="204"/>
        <v>301</v>
      </c>
      <c r="M340" s="46">
        <f>L340</f>
        <v>301</v>
      </c>
      <c r="N340" s="46">
        <f>L338</f>
        <v>287</v>
      </c>
      <c r="O340" s="46">
        <f t="shared" si="205"/>
        <v>330</v>
      </c>
      <c r="P340" s="46">
        <f t="shared" ref="P340" si="251">O338</f>
        <v>330</v>
      </c>
    </row>
    <row r="341" spans="1:16" x14ac:dyDescent="0.25">
      <c r="A341" s="45">
        <f>1/((1/Show!$A$4)-(1/Calc!K341))</f>
        <v>45.79710144927536</v>
      </c>
      <c r="B341" s="45">
        <f>MATCH(A341*Calc!$R$12,Calc!$K$1:$K$774,1)</f>
        <v>264</v>
      </c>
      <c r="C341" s="45">
        <f>INDEX(Calc!$K$1:$K$774,B341)</f>
        <v>46.4</v>
      </c>
      <c r="D341" s="45">
        <f>1/(1/C341+1/Calc!K341)</f>
        <v>40.459161147902869</v>
      </c>
      <c r="E341" s="45">
        <f>ABS(Show!$A$4-D341)/(Show!$A$4/100)</f>
        <v>1.1479028697571714</v>
      </c>
      <c r="F341" s="46">
        <f>Show!$A$4-Calc!L341</f>
        <v>-269</v>
      </c>
      <c r="G341" s="46" t="e">
        <f>MATCH(F341*Calc!$R$12,Calc!$K$1:$K$774,1)</f>
        <v>#N/A</v>
      </c>
      <c r="H341" s="46" t="e">
        <f>INDEX(Calc!$K$1:$K$774,G341)</f>
        <v>#N/A</v>
      </c>
      <c r="I341" s="46" t="e">
        <f>H341+Calc!K341</f>
        <v>#N/A</v>
      </c>
      <c r="J341" s="46" t="e">
        <f>ABS(Show!$A$4-I341)/(Show!$A$4/100)</f>
        <v>#N/A</v>
      </c>
      <c r="K341" s="45">
        <f>INDEX(Calc!L341:P341,Show!$B$4)</f>
        <v>316</v>
      </c>
      <c r="L341" s="46">
        <f t="shared" si="204"/>
        <v>309</v>
      </c>
      <c r="M341" s="46">
        <f>L340</f>
        <v>301</v>
      </c>
      <c r="N341" s="46">
        <f>L342</f>
        <v>316</v>
      </c>
      <c r="O341" s="46">
        <f t="shared" si="205"/>
        <v>330</v>
      </c>
      <c r="P341" s="46">
        <f t="shared" ref="P341" si="252">O338</f>
        <v>330</v>
      </c>
    </row>
    <row r="342" spans="1:16" x14ac:dyDescent="0.25">
      <c r="A342" s="45">
        <f>1/((1/Show!$A$4)-(1/Calc!K342))</f>
        <v>45.79710144927536</v>
      </c>
      <c r="B342" s="45">
        <f>MATCH(A342*Calc!$R$12,Calc!$K$1:$K$774,1)</f>
        <v>264</v>
      </c>
      <c r="C342" s="45">
        <f>INDEX(Calc!$K$1:$K$774,B342)</f>
        <v>46.4</v>
      </c>
      <c r="D342" s="45">
        <f>1/(1/C342+1/Calc!K342)</f>
        <v>40.459161147902869</v>
      </c>
      <c r="E342" s="45">
        <f>ABS(Show!$A$4-D342)/(Show!$A$4/100)</f>
        <v>1.1479028697571714</v>
      </c>
      <c r="F342" s="46">
        <f>Show!$A$4-Calc!L342</f>
        <v>-276</v>
      </c>
      <c r="G342" s="46" t="e">
        <f>MATCH(F342*Calc!$R$12,Calc!$K$1:$K$774,1)</f>
        <v>#N/A</v>
      </c>
      <c r="H342" s="46" t="e">
        <f>INDEX(Calc!$K$1:$K$774,G342)</f>
        <v>#N/A</v>
      </c>
      <c r="I342" s="46" t="e">
        <f>H342+Calc!K342</f>
        <v>#N/A</v>
      </c>
      <c r="J342" s="46" t="e">
        <f>ABS(Show!$A$4-I342)/(Show!$A$4/100)</f>
        <v>#N/A</v>
      </c>
      <c r="K342" s="45">
        <f>INDEX(Calc!L342:P342,Show!$B$4)</f>
        <v>316</v>
      </c>
      <c r="L342" s="46">
        <f t="shared" si="204"/>
        <v>316</v>
      </c>
      <c r="M342" s="46">
        <f>L342</f>
        <v>316</v>
      </c>
      <c r="N342" s="46">
        <f>L342</f>
        <v>316</v>
      </c>
      <c r="O342" s="46">
        <f t="shared" si="205"/>
        <v>330</v>
      </c>
      <c r="P342" s="46">
        <f t="shared" ref="P342" si="253">O338</f>
        <v>330</v>
      </c>
    </row>
    <row r="343" spans="1:16" x14ac:dyDescent="0.25">
      <c r="A343" s="45">
        <f>1/((1/Show!$A$4)-(1/Calc!K343))</f>
        <v>45.79710144927536</v>
      </c>
      <c r="B343" s="45">
        <f>MATCH(A343*Calc!$R$12,Calc!$K$1:$K$774,1)</f>
        <v>264</v>
      </c>
      <c r="C343" s="45">
        <f>INDEX(Calc!$K$1:$K$774,B343)</f>
        <v>46.4</v>
      </c>
      <c r="D343" s="45">
        <f>1/(1/C343+1/Calc!K343)</f>
        <v>40.459161147902869</v>
      </c>
      <c r="E343" s="45">
        <f>ABS(Show!$A$4-D343)/(Show!$A$4/100)</f>
        <v>1.1479028697571714</v>
      </c>
      <c r="F343" s="46">
        <f>Show!$A$4-Calc!L343</f>
        <v>-284</v>
      </c>
      <c r="G343" s="46" t="e">
        <f>MATCH(F343*Calc!$R$12,Calc!$K$1:$K$774,1)</f>
        <v>#N/A</v>
      </c>
      <c r="H343" s="46" t="e">
        <f>INDEX(Calc!$K$1:$K$774,G343)</f>
        <v>#N/A</v>
      </c>
      <c r="I343" s="46" t="e">
        <f>H343+Calc!K343</f>
        <v>#N/A</v>
      </c>
      <c r="J343" s="46" t="e">
        <f>ABS(Show!$A$4-I343)/(Show!$A$4/100)</f>
        <v>#N/A</v>
      </c>
      <c r="K343" s="45">
        <f>INDEX(Calc!L343:P343,Show!$B$4)</f>
        <v>316</v>
      </c>
      <c r="L343" s="46">
        <f t="shared" si="204"/>
        <v>324</v>
      </c>
      <c r="M343" s="46">
        <f>L342</f>
        <v>316</v>
      </c>
      <c r="N343" s="46">
        <f>L342</f>
        <v>316</v>
      </c>
      <c r="O343" s="46">
        <f t="shared" si="205"/>
        <v>330</v>
      </c>
      <c r="P343" s="46">
        <f t="shared" ref="P343" si="254">O338</f>
        <v>330</v>
      </c>
    </row>
    <row r="344" spans="1:16" x14ac:dyDescent="0.25">
      <c r="A344" s="45">
        <f>1/((1/Show!$A$4)-(1/Calc!K344))</f>
        <v>45.79710144927536</v>
      </c>
      <c r="B344" s="45">
        <f>MATCH(A344*Calc!$R$12,Calc!$K$1:$K$774,1)</f>
        <v>264</v>
      </c>
      <c r="C344" s="45">
        <f>INDEX(Calc!$K$1:$K$774,B344)</f>
        <v>46.4</v>
      </c>
      <c r="D344" s="45">
        <f>1/(1/C344+1/Calc!K344)</f>
        <v>40.459161147902869</v>
      </c>
      <c r="E344" s="45">
        <f>ABS(Show!$A$4-D344)/(Show!$A$4/100)</f>
        <v>1.1479028697571714</v>
      </c>
      <c r="F344" s="46">
        <f>Show!$A$4-Calc!L344</f>
        <v>-292</v>
      </c>
      <c r="G344" s="46" t="e">
        <f>MATCH(F344*Calc!$R$12,Calc!$K$1:$K$774,1)</f>
        <v>#N/A</v>
      </c>
      <c r="H344" s="46" t="e">
        <f>INDEX(Calc!$K$1:$K$774,G344)</f>
        <v>#N/A</v>
      </c>
      <c r="I344" s="46" t="e">
        <f>H344+Calc!K344</f>
        <v>#N/A</v>
      </c>
      <c r="J344" s="46" t="e">
        <f>ABS(Show!$A$4-I344)/(Show!$A$4/100)</f>
        <v>#N/A</v>
      </c>
      <c r="K344" s="45">
        <f>INDEX(Calc!L344:P344,Show!$B$4)</f>
        <v>316</v>
      </c>
      <c r="L344" s="46">
        <f t="shared" si="204"/>
        <v>332</v>
      </c>
      <c r="M344" s="46">
        <f>L344</f>
        <v>332</v>
      </c>
      <c r="N344" s="46">
        <f>L342</f>
        <v>316</v>
      </c>
      <c r="O344" s="46">
        <f t="shared" si="205"/>
        <v>330</v>
      </c>
      <c r="P344" s="46">
        <f t="shared" ref="P344" si="255">O338</f>
        <v>330</v>
      </c>
    </row>
    <row r="345" spans="1:16" x14ac:dyDescent="0.25">
      <c r="A345" s="45">
        <f>1/((1/Show!$A$4)-(1/Calc!K345))</f>
        <v>45.194805194805191</v>
      </c>
      <c r="B345" s="45">
        <f>MATCH(A345*Calc!$R$12,Calc!$K$1:$K$774,1)</f>
        <v>264</v>
      </c>
      <c r="C345" s="45">
        <f>INDEX(Calc!$K$1:$K$774,B345)</f>
        <v>46.4</v>
      </c>
      <c r="D345" s="45">
        <f>1/(1/C345+1/Calc!K345)</f>
        <v>40.941176470588232</v>
      </c>
      <c r="E345" s="45">
        <f>ABS(Show!$A$4-D345)/(Show!$A$4/100)</f>
        <v>2.3529411764705799</v>
      </c>
      <c r="F345" s="46">
        <f>Show!$A$4-Calc!L345</f>
        <v>-300</v>
      </c>
      <c r="G345" s="46" t="e">
        <f>MATCH(F345*Calc!$R$12,Calc!$K$1:$K$774,1)</f>
        <v>#N/A</v>
      </c>
      <c r="H345" s="46" t="e">
        <f>INDEX(Calc!$K$1:$K$774,G345)</f>
        <v>#N/A</v>
      </c>
      <c r="I345" s="46" t="e">
        <f>H345+Calc!K345</f>
        <v>#N/A</v>
      </c>
      <c r="J345" s="46" t="e">
        <f>ABS(Show!$A$4-I345)/(Show!$A$4/100)</f>
        <v>#N/A</v>
      </c>
      <c r="K345" s="45">
        <f>INDEX(Calc!L345:P345,Show!$B$4)</f>
        <v>348</v>
      </c>
      <c r="L345" s="46">
        <f t="shared" si="204"/>
        <v>340</v>
      </c>
      <c r="M345" s="46">
        <f>L344</f>
        <v>332</v>
      </c>
      <c r="N345" s="46">
        <f>L346</f>
        <v>348</v>
      </c>
      <c r="O345" s="46">
        <f t="shared" si="205"/>
        <v>330</v>
      </c>
      <c r="P345" s="46">
        <f t="shared" ref="P345" si="256">O338</f>
        <v>330</v>
      </c>
    </row>
    <row r="346" spans="1:16" x14ac:dyDescent="0.25">
      <c r="A346" s="45">
        <f>1/((1/Show!$A$4)-(1/Calc!K346))</f>
        <v>45.194805194805191</v>
      </c>
      <c r="B346" s="45">
        <f>MATCH(A346*Calc!$R$12,Calc!$K$1:$K$774,1)</f>
        <v>264</v>
      </c>
      <c r="C346" s="45">
        <f>INDEX(Calc!$K$1:$K$774,B346)</f>
        <v>46.4</v>
      </c>
      <c r="D346" s="45">
        <f>1/(1/C346+1/Calc!K346)</f>
        <v>40.941176470588232</v>
      </c>
      <c r="E346" s="45">
        <f>ABS(Show!$A$4-D346)/(Show!$A$4/100)</f>
        <v>2.3529411764705799</v>
      </c>
      <c r="F346" s="46">
        <f>Show!$A$4-Calc!L346</f>
        <v>-308</v>
      </c>
      <c r="G346" s="46" t="e">
        <f>MATCH(F346*Calc!$R$12,Calc!$K$1:$K$774,1)</f>
        <v>#N/A</v>
      </c>
      <c r="H346" s="46" t="e">
        <f>INDEX(Calc!$K$1:$K$774,G346)</f>
        <v>#N/A</v>
      </c>
      <c r="I346" s="46" t="e">
        <f>H346+Calc!K346</f>
        <v>#N/A</v>
      </c>
      <c r="J346" s="46" t="e">
        <f>ABS(Show!$A$4-I346)/(Show!$A$4/100)</f>
        <v>#N/A</v>
      </c>
      <c r="K346" s="45">
        <f>INDEX(Calc!L346:P346,Show!$B$4)</f>
        <v>348</v>
      </c>
      <c r="L346" s="46">
        <f t="shared" si="204"/>
        <v>348</v>
      </c>
      <c r="M346" s="46">
        <f>L346</f>
        <v>348</v>
      </c>
      <c r="N346" s="46">
        <f>L346</f>
        <v>348</v>
      </c>
      <c r="O346" s="46">
        <f t="shared" si="205"/>
        <v>390</v>
      </c>
      <c r="P346" s="46">
        <f t="shared" ref="P346" si="257">O338</f>
        <v>330</v>
      </c>
    </row>
    <row r="347" spans="1:16" x14ac:dyDescent="0.25">
      <c r="A347" s="45">
        <f>1/((1/Show!$A$4)-(1/Calc!K347))</f>
        <v>45.194805194805191</v>
      </c>
      <c r="B347" s="45">
        <f>MATCH(A347*Calc!$R$12,Calc!$K$1:$K$774,1)</f>
        <v>264</v>
      </c>
      <c r="C347" s="45">
        <f>INDEX(Calc!$K$1:$K$774,B347)</f>
        <v>46.4</v>
      </c>
      <c r="D347" s="45">
        <f>1/(1/C347+1/Calc!K347)</f>
        <v>40.941176470588232</v>
      </c>
      <c r="E347" s="45">
        <f>ABS(Show!$A$4-D347)/(Show!$A$4/100)</f>
        <v>2.3529411764705799</v>
      </c>
      <c r="F347" s="46">
        <f>Show!$A$4-Calc!L347</f>
        <v>-317.00000000000006</v>
      </c>
      <c r="G347" s="46" t="e">
        <f>MATCH(F347*Calc!$R$12,Calc!$K$1:$K$774,1)</f>
        <v>#N/A</v>
      </c>
      <c r="H347" s="46" t="e">
        <f>INDEX(Calc!$K$1:$K$774,G347)</f>
        <v>#N/A</v>
      </c>
      <c r="I347" s="46" t="e">
        <f>H347+Calc!K347</f>
        <v>#N/A</v>
      </c>
      <c r="J347" s="46" t="e">
        <f>ABS(Show!$A$4-I347)/(Show!$A$4/100)</f>
        <v>#N/A</v>
      </c>
      <c r="K347" s="45">
        <f>INDEX(Calc!L347:P347,Show!$B$4)</f>
        <v>348</v>
      </c>
      <c r="L347" s="46">
        <f t="shared" si="204"/>
        <v>357.00000000000006</v>
      </c>
      <c r="M347" s="46">
        <f>L346</f>
        <v>348</v>
      </c>
      <c r="N347" s="46">
        <f>L346</f>
        <v>348</v>
      </c>
      <c r="O347" s="46">
        <f t="shared" si="205"/>
        <v>390</v>
      </c>
      <c r="P347" s="46">
        <f t="shared" ref="P347" si="258">O338</f>
        <v>330</v>
      </c>
    </row>
    <row r="348" spans="1:16" x14ac:dyDescent="0.25">
      <c r="A348" s="45">
        <f>1/((1/Show!$A$4)-(1/Calc!K348))</f>
        <v>45.194805194805191</v>
      </c>
      <c r="B348" s="45">
        <f>MATCH(A348*Calc!$R$12,Calc!$K$1:$K$774,1)</f>
        <v>264</v>
      </c>
      <c r="C348" s="45">
        <f>INDEX(Calc!$K$1:$K$774,B348)</f>
        <v>46.4</v>
      </c>
      <c r="D348" s="45">
        <f>1/(1/C348+1/Calc!K348)</f>
        <v>40.941176470588232</v>
      </c>
      <c r="E348" s="45">
        <f>ABS(Show!$A$4-D348)/(Show!$A$4/100)</f>
        <v>2.3529411764705799</v>
      </c>
      <c r="F348" s="46">
        <f>Show!$A$4-Calc!L348</f>
        <v>-325</v>
      </c>
      <c r="G348" s="46" t="e">
        <f>MATCH(F348*Calc!$R$12,Calc!$K$1:$K$774,1)</f>
        <v>#N/A</v>
      </c>
      <c r="H348" s="46" t="e">
        <f>INDEX(Calc!$K$1:$K$774,G348)</f>
        <v>#N/A</v>
      </c>
      <c r="I348" s="46" t="e">
        <f>H348+Calc!K348</f>
        <v>#N/A</v>
      </c>
      <c r="J348" s="46" t="e">
        <f>ABS(Show!$A$4-I348)/(Show!$A$4/100)</f>
        <v>#N/A</v>
      </c>
      <c r="K348" s="45">
        <f>INDEX(Calc!L348:P348,Show!$B$4)</f>
        <v>348</v>
      </c>
      <c r="L348" s="46">
        <f t="shared" si="204"/>
        <v>365</v>
      </c>
      <c r="M348" s="46">
        <f>L348</f>
        <v>365</v>
      </c>
      <c r="N348" s="46">
        <f>L346</f>
        <v>348</v>
      </c>
      <c r="O348" s="46">
        <f t="shared" si="205"/>
        <v>390</v>
      </c>
      <c r="P348" s="46">
        <f t="shared" ref="P348" si="259">O338</f>
        <v>330</v>
      </c>
    </row>
    <row r="349" spans="1:16" x14ac:dyDescent="0.25">
      <c r="A349" s="45">
        <f>1/((1/Show!$A$4)-(1/Calc!K349))</f>
        <v>44.664723032069965</v>
      </c>
      <c r="B349" s="45">
        <f>MATCH(A349*Calc!$R$12,Calc!$K$1:$K$774,1)</f>
        <v>264</v>
      </c>
      <c r="C349" s="45">
        <f>INDEX(Calc!$K$1:$K$774,B349)</f>
        <v>46.4</v>
      </c>
      <c r="D349" s="45">
        <f>1/(1/C349+1/Calc!K349)</f>
        <v>41.386120167675827</v>
      </c>
      <c r="E349" s="45">
        <f>ABS(Show!$A$4-D349)/(Show!$A$4/100)</f>
        <v>3.4653004191895675</v>
      </c>
      <c r="F349" s="46">
        <f>Show!$A$4-Calc!L349</f>
        <v>-334</v>
      </c>
      <c r="G349" s="46" t="e">
        <f>MATCH(F349*Calc!$R$12,Calc!$K$1:$K$774,1)</f>
        <v>#N/A</v>
      </c>
      <c r="H349" s="46" t="e">
        <f>INDEX(Calc!$K$1:$K$774,G349)</f>
        <v>#N/A</v>
      </c>
      <c r="I349" s="46" t="e">
        <f>H349+Calc!K349</f>
        <v>#N/A</v>
      </c>
      <c r="J349" s="46" t="e">
        <f>ABS(Show!$A$4-I349)/(Show!$A$4/100)</f>
        <v>#N/A</v>
      </c>
      <c r="K349" s="45">
        <f>INDEX(Calc!L349:P349,Show!$B$4)</f>
        <v>382.99999999999994</v>
      </c>
      <c r="L349" s="46">
        <f t="shared" si="204"/>
        <v>374</v>
      </c>
      <c r="M349" s="46">
        <f>L348</f>
        <v>365</v>
      </c>
      <c r="N349" s="46">
        <f>L350</f>
        <v>382.99999999999994</v>
      </c>
      <c r="O349" s="46">
        <f t="shared" si="205"/>
        <v>390</v>
      </c>
      <c r="P349" s="46">
        <f t="shared" ref="P349" si="260">O338</f>
        <v>330</v>
      </c>
    </row>
    <row r="350" spans="1:16" x14ac:dyDescent="0.25">
      <c r="A350" s="45">
        <f>1/((1/Show!$A$4)-(1/Calc!K350))</f>
        <v>44.664723032069965</v>
      </c>
      <c r="B350" s="45">
        <f>MATCH(A350*Calc!$R$12,Calc!$K$1:$K$774,1)</f>
        <v>264</v>
      </c>
      <c r="C350" s="45">
        <f>INDEX(Calc!$K$1:$K$774,B350)</f>
        <v>46.4</v>
      </c>
      <c r="D350" s="45">
        <f>1/(1/C350+1/Calc!K350)</f>
        <v>41.386120167675827</v>
      </c>
      <c r="E350" s="45">
        <f>ABS(Show!$A$4-D350)/(Show!$A$4/100)</f>
        <v>3.4653004191895675</v>
      </c>
      <c r="F350" s="46">
        <f>Show!$A$4-Calc!L350</f>
        <v>-342.99999999999994</v>
      </c>
      <c r="G350" s="46" t="e">
        <f>MATCH(F350*Calc!$R$12,Calc!$K$1:$K$774,1)</f>
        <v>#N/A</v>
      </c>
      <c r="H350" s="46" t="e">
        <f>INDEX(Calc!$K$1:$K$774,G350)</f>
        <v>#N/A</v>
      </c>
      <c r="I350" s="46" t="e">
        <f>H350+Calc!K350</f>
        <v>#N/A</v>
      </c>
      <c r="J350" s="46" t="e">
        <f>ABS(Show!$A$4-I350)/(Show!$A$4/100)</f>
        <v>#N/A</v>
      </c>
      <c r="K350" s="45">
        <f>INDEX(Calc!L350:P350,Show!$B$4)</f>
        <v>382.99999999999994</v>
      </c>
      <c r="L350" s="46">
        <f t="shared" si="204"/>
        <v>382.99999999999994</v>
      </c>
      <c r="M350" s="46">
        <f>L350</f>
        <v>382.99999999999994</v>
      </c>
      <c r="N350" s="46">
        <f>L350</f>
        <v>382.99999999999994</v>
      </c>
      <c r="O350" s="46">
        <f t="shared" si="205"/>
        <v>390</v>
      </c>
      <c r="P350" s="46">
        <f t="shared" ref="P350" si="261">O354</f>
        <v>470</v>
      </c>
    </row>
    <row r="351" spans="1:16" x14ac:dyDescent="0.25">
      <c r="A351" s="45">
        <f>1/((1/Show!$A$4)-(1/Calc!K351))</f>
        <v>44.664723032069965</v>
      </c>
      <c r="B351" s="45">
        <f>MATCH(A351*Calc!$R$12,Calc!$K$1:$K$774,1)</f>
        <v>264</v>
      </c>
      <c r="C351" s="45">
        <f>INDEX(Calc!$K$1:$K$774,B351)</f>
        <v>46.4</v>
      </c>
      <c r="D351" s="45">
        <f>1/(1/C351+1/Calc!K351)</f>
        <v>41.386120167675827</v>
      </c>
      <c r="E351" s="45">
        <f>ABS(Show!$A$4-D351)/(Show!$A$4/100)</f>
        <v>3.4653004191895675</v>
      </c>
      <c r="F351" s="46">
        <f>Show!$A$4-Calc!L351</f>
        <v>-352</v>
      </c>
      <c r="G351" s="46" t="e">
        <f>MATCH(F351*Calc!$R$12,Calc!$K$1:$K$774,1)</f>
        <v>#N/A</v>
      </c>
      <c r="H351" s="46" t="e">
        <f>INDEX(Calc!$K$1:$K$774,G351)</f>
        <v>#N/A</v>
      </c>
      <c r="I351" s="46" t="e">
        <f>H351+Calc!K351</f>
        <v>#N/A</v>
      </c>
      <c r="J351" s="46" t="e">
        <f>ABS(Show!$A$4-I351)/(Show!$A$4/100)</f>
        <v>#N/A</v>
      </c>
      <c r="K351" s="45">
        <f>INDEX(Calc!L351:P351,Show!$B$4)</f>
        <v>382.99999999999994</v>
      </c>
      <c r="L351" s="46">
        <f t="shared" si="204"/>
        <v>392</v>
      </c>
      <c r="M351" s="46">
        <f>L350</f>
        <v>382.99999999999994</v>
      </c>
      <c r="N351" s="46">
        <f>L350</f>
        <v>382.99999999999994</v>
      </c>
      <c r="O351" s="46">
        <f t="shared" si="205"/>
        <v>390</v>
      </c>
      <c r="P351" s="46">
        <f t="shared" ref="P351" si="262">O354</f>
        <v>470</v>
      </c>
    </row>
    <row r="352" spans="1:16" x14ac:dyDescent="0.25">
      <c r="A352" s="45">
        <f>1/((1/Show!$A$4)-(1/Calc!K352))</f>
        <v>44.664723032069965</v>
      </c>
      <c r="B352" s="45">
        <f>MATCH(A352*Calc!$R$12,Calc!$K$1:$K$774,1)</f>
        <v>264</v>
      </c>
      <c r="C352" s="45">
        <f>INDEX(Calc!$K$1:$K$774,B352)</f>
        <v>46.4</v>
      </c>
      <c r="D352" s="45">
        <f>1/(1/C352+1/Calc!K352)</f>
        <v>41.386120167675827</v>
      </c>
      <c r="E352" s="45">
        <f>ABS(Show!$A$4-D352)/(Show!$A$4/100)</f>
        <v>3.4653004191895675</v>
      </c>
      <c r="F352" s="46">
        <f>Show!$A$4-Calc!L352</f>
        <v>-362</v>
      </c>
      <c r="G352" s="46" t="e">
        <f>MATCH(F352*Calc!$R$12,Calc!$K$1:$K$774,1)</f>
        <v>#N/A</v>
      </c>
      <c r="H352" s="46" t="e">
        <f>INDEX(Calc!$K$1:$K$774,G352)</f>
        <v>#N/A</v>
      </c>
      <c r="I352" s="46" t="e">
        <f>H352+Calc!K352</f>
        <v>#N/A</v>
      </c>
      <c r="J352" s="46" t="e">
        <f>ABS(Show!$A$4-I352)/(Show!$A$4/100)</f>
        <v>#N/A</v>
      </c>
      <c r="K352" s="45">
        <f>INDEX(Calc!L352:P352,Show!$B$4)</f>
        <v>382.99999999999994</v>
      </c>
      <c r="L352" s="46">
        <f t="shared" si="204"/>
        <v>402</v>
      </c>
      <c r="M352" s="46">
        <f>L352</f>
        <v>402</v>
      </c>
      <c r="N352" s="46">
        <f>L350</f>
        <v>382.99999999999994</v>
      </c>
      <c r="O352" s="46">
        <f t="shared" si="205"/>
        <v>390</v>
      </c>
      <c r="P352" s="46">
        <f t="shared" ref="P352" si="263">O354</f>
        <v>470</v>
      </c>
    </row>
    <row r="353" spans="1:16" x14ac:dyDescent="0.25">
      <c r="A353" s="45">
        <f>1/((1/Show!$A$4)-(1/Calc!K353))</f>
        <v>44.188481675392666</v>
      </c>
      <c r="B353" s="45">
        <f>MATCH(A353*Calc!$R$12,Calc!$K$1:$K$774,1)</f>
        <v>260</v>
      </c>
      <c r="C353" s="45">
        <f>INDEX(Calc!$K$1:$K$774,B353)</f>
        <v>42.2</v>
      </c>
      <c r="D353" s="45">
        <f>1/(1/C353+1/Calc!K353)</f>
        <v>38.363636363636367</v>
      </c>
      <c r="E353" s="45">
        <f>ABS(Show!$A$4-D353)/(Show!$A$4/100)</f>
        <v>4.0909090909090828</v>
      </c>
      <c r="F353" s="46">
        <f>Show!$A$4-Calc!L353</f>
        <v>-372.00000000000006</v>
      </c>
      <c r="G353" s="46" t="e">
        <f>MATCH(F353*Calc!$R$12,Calc!$K$1:$K$774,1)</f>
        <v>#N/A</v>
      </c>
      <c r="H353" s="46" t="e">
        <f>INDEX(Calc!$K$1:$K$774,G353)</f>
        <v>#N/A</v>
      </c>
      <c r="I353" s="46" t="e">
        <f>H353+Calc!K353</f>
        <v>#N/A</v>
      </c>
      <c r="J353" s="46" t="e">
        <f>ABS(Show!$A$4-I353)/(Show!$A$4/100)</f>
        <v>#N/A</v>
      </c>
      <c r="K353" s="45">
        <f>INDEX(Calc!L353:P353,Show!$B$4)</f>
        <v>422.00000000000006</v>
      </c>
      <c r="L353" s="46">
        <f t="shared" si="204"/>
        <v>412.00000000000006</v>
      </c>
      <c r="M353" s="46">
        <f>L352</f>
        <v>402</v>
      </c>
      <c r="N353" s="46">
        <f>L354</f>
        <v>422.00000000000006</v>
      </c>
      <c r="O353" s="46">
        <f t="shared" si="205"/>
        <v>390</v>
      </c>
      <c r="P353" s="46">
        <f t="shared" ref="P353" si="264">O354</f>
        <v>470</v>
      </c>
    </row>
    <row r="354" spans="1:16" x14ac:dyDescent="0.25">
      <c r="A354" s="45">
        <f>1/((1/Show!$A$4)-(1/Calc!K354))</f>
        <v>44.188481675392666</v>
      </c>
      <c r="B354" s="45">
        <f>MATCH(A354*Calc!$R$12,Calc!$K$1:$K$774,1)</f>
        <v>260</v>
      </c>
      <c r="C354" s="45">
        <f>INDEX(Calc!$K$1:$K$774,B354)</f>
        <v>42.2</v>
      </c>
      <c r="D354" s="45">
        <f>1/(1/C354+1/Calc!K354)</f>
        <v>38.363636363636367</v>
      </c>
      <c r="E354" s="45">
        <f>ABS(Show!$A$4-D354)/(Show!$A$4/100)</f>
        <v>4.0909090909090828</v>
      </c>
      <c r="F354" s="46">
        <f>Show!$A$4-Calc!L354</f>
        <v>-382.00000000000006</v>
      </c>
      <c r="G354" s="46" t="e">
        <f>MATCH(F354*Calc!$R$12,Calc!$K$1:$K$774,1)</f>
        <v>#N/A</v>
      </c>
      <c r="H354" s="46" t="e">
        <f>INDEX(Calc!$K$1:$K$774,G354)</f>
        <v>#N/A</v>
      </c>
      <c r="I354" s="46" t="e">
        <f>H354+Calc!K354</f>
        <v>#N/A</v>
      </c>
      <c r="J354" s="46" t="e">
        <f>ABS(Show!$A$4-I354)/(Show!$A$4/100)</f>
        <v>#N/A</v>
      </c>
      <c r="K354" s="45">
        <f>INDEX(Calc!L354:P354,Show!$B$4)</f>
        <v>422.00000000000006</v>
      </c>
      <c r="L354" s="46">
        <f t="shared" si="204"/>
        <v>422.00000000000006</v>
      </c>
      <c r="M354" s="46">
        <f>L354</f>
        <v>422.00000000000006</v>
      </c>
      <c r="N354" s="46">
        <f>L354</f>
        <v>422.00000000000006</v>
      </c>
      <c r="O354" s="46">
        <f t="shared" si="205"/>
        <v>470</v>
      </c>
      <c r="P354" s="46">
        <f t="shared" ref="P354" si="265">O354</f>
        <v>470</v>
      </c>
    </row>
    <row r="355" spans="1:16" x14ac:dyDescent="0.25">
      <c r="A355" s="45">
        <f>1/((1/Show!$A$4)-(1/Calc!K355))</f>
        <v>44.188481675392666</v>
      </c>
      <c r="B355" s="45">
        <f>MATCH(A355*Calc!$R$12,Calc!$K$1:$K$774,1)</f>
        <v>260</v>
      </c>
      <c r="C355" s="45">
        <f>INDEX(Calc!$K$1:$K$774,B355)</f>
        <v>42.2</v>
      </c>
      <c r="D355" s="45">
        <f>1/(1/C355+1/Calc!K355)</f>
        <v>38.363636363636367</v>
      </c>
      <c r="E355" s="45">
        <f>ABS(Show!$A$4-D355)/(Show!$A$4/100)</f>
        <v>4.0909090909090828</v>
      </c>
      <c r="F355" s="46">
        <f>Show!$A$4-Calc!L355</f>
        <v>-392.00000000000006</v>
      </c>
      <c r="G355" s="46" t="e">
        <f>MATCH(F355*Calc!$R$12,Calc!$K$1:$K$774,1)</f>
        <v>#N/A</v>
      </c>
      <c r="H355" s="46" t="e">
        <f>INDEX(Calc!$K$1:$K$774,G355)</f>
        <v>#N/A</v>
      </c>
      <c r="I355" s="46" t="e">
        <f>H355+Calc!K355</f>
        <v>#N/A</v>
      </c>
      <c r="J355" s="46" t="e">
        <f>ABS(Show!$A$4-I355)/(Show!$A$4/100)</f>
        <v>#N/A</v>
      </c>
      <c r="K355" s="45">
        <f>INDEX(Calc!L355:P355,Show!$B$4)</f>
        <v>422.00000000000006</v>
      </c>
      <c r="L355" s="46">
        <f t="shared" si="204"/>
        <v>432.00000000000006</v>
      </c>
      <c r="M355" s="46">
        <f>L354</f>
        <v>422.00000000000006</v>
      </c>
      <c r="N355" s="46">
        <f>L354</f>
        <v>422.00000000000006</v>
      </c>
      <c r="O355" s="46">
        <f t="shared" si="205"/>
        <v>470</v>
      </c>
      <c r="P355" s="46">
        <f t="shared" ref="P355" si="266">O354</f>
        <v>470</v>
      </c>
    </row>
    <row r="356" spans="1:16" x14ac:dyDescent="0.25">
      <c r="A356" s="45">
        <f>1/((1/Show!$A$4)-(1/Calc!K356))</f>
        <v>44.188481675392666</v>
      </c>
      <c r="B356" s="45">
        <f>MATCH(A356*Calc!$R$12,Calc!$K$1:$K$774,1)</f>
        <v>260</v>
      </c>
      <c r="C356" s="45">
        <f>INDEX(Calc!$K$1:$K$774,B356)</f>
        <v>42.2</v>
      </c>
      <c r="D356" s="45">
        <f>1/(1/C356+1/Calc!K356)</f>
        <v>38.363636363636367</v>
      </c>
      <c r="E356" s="45">
        <f>ABS(Show!$A$4-D356)/(Show!$A$4/100)</f>
        <v>4.0909090909090828</v>
      </c>
      <c r="F356" s="46">
        <f>Show!$A$4-Calc!L356</f>
        <v>-402</v>
      </c>
      <c r="G356" s="46" t="e">
        <f>MATCH(F356*Calc!$R$12,Calc!$K$1:$K$774,1)</f>
        <v>#N/A</v>
      </c>
      <c r="H356" s="46" t="e">
        <f>INDEX(Calc!$K$1:$K$774,G356)</f>
        <v>#N/A</v>
      </c>
      <c r="I356" s="46" t="e">
        <f>H356+Calc!K356</f>
        <v>#N/A</v>
      </c>
      <c r="J356" s="46" t="e">
        <f>ABS(Show!$A$4-I356)/(Show!$A$4/100)</f>
        <v>#N/A</v>
      </c>
      <c r="K356" s="45">
        <f>INDEX(Calc!L356:P356,Show!$B$4)</f>
        <v>422.00000000000006</v>
      </c>
      <c r="L356" s="46">
        <f t="shared" si="204"/>
        <v>442</v>
      </c>
      <c r="M356" s="46">
        <f>L356</f>
        <v>442</v>
      </c>
      <c r="N356" s="46">
        <f>L354</f>
        <v>422.00000000000006</v>
      </c>
      <c r="O356" s="46">
        <f t="shared" si="205"/>
        <v>470</v>
      </c>
      <c r="P356" s="46">
        <f t="shared" ref="P356" si="267">O354</f>
        <v>470</v>
      </c>
    </row>
    <row r="357" spans="1:16" x14ac:dyDescent="0.25">
      <c r="A357" s="45">
        <f>1/((1/Show!$A$4)-(1/Calc!K357))</f>
        <v>43.773584905660378</v>
      </c>
      <c r="B357" s="45">
        <f>MATCH(A357*Calc!$R$12,Calc!$K$1:$K$774,1)</f>
        <v>260</v>
      </c>
      <c r="C357" s="45">
        <f>INDEX(Calc!$K$1:$K$774,B357)</f>
        <v>42.2</v>
      </c>
      <c r="D357" s="45">
        <f>1/(1/C357+1/Calc!K357)</f>
        <v>38.681943895693401</v>
      </c>
      <c r="E357" s="45">
        <f>ABS(Show!$A$4-D357)/(Show!$A$4/100)</f>
        <v>3.2951402607664981</v>
      </c>
      <c r="F357" s="46">
        <f>Show!$A$4-Calc!L357</f>
        <v>-412.99999999999994</v>
      </c>
      <c r="G357" s="46" t="e">
        <f>MATCH(F357*Calc!$R$12,Calc!$K$1:$K$774,1)</f>
        <v>#N/A</v>
      </c>
      <c r="H357" s="46" t="e">
        <f>INDEX(Calc!$K$1:$K$774,G357)</f>
        <v>#N/A</v>
      </c>
      <c r="I357" s="46" t="e">
        <f>H357+Calc!K357</f>
        <v>#N/A</v>
      </c>
      <c r="J357" s="46" t="e">
        <f>ABS(Show!$A$4-I357)/(Show!$A$4/100)</f>
        <v>#N/A</v>
      </c>
      <c r="K357" s="45">
        <f>INDEX(Calc!L357:P357,Show!$B$4)</f>
        <v>463.99999999999994</v>
      </c>
      <c r="L357" s="46">
        <f t="shared" si="204"/>
        <v>452.99999999999994</v>
      </c>
      <c r="M357" s="46">
        <f>L356</f>
        <v>442</v>
      </c>
      <c r="N357" s="46">
        <f>L358</f>
        <v>463.99999999999994</v>
      </c>
      <c r="O357" s="46">
        <f t="shared" si="205"/>
        <v>470</v>
      </c>
      <c r="P357" s="46">
        <f t="shared" ref="P357" si="268">O354</f>
        <v>470</v>
      </c>
    </row>
    <row r="358" spans="1:16" x14ac:dyDescent="0.25">
      <c r="A358" s="45">
        <f>1/((1/Show!$A$4)-(1/Calc!K358))</f>
        <v>43.773584905660378</v>
      </c>
      <c r="B358" s="45">
        <f>MATCH(A358*Calc!$R$12,Calc!$K$1:$K$774,1)</f>
        <v>260</v>
      </c>
      <c r="C358" s="45">
        <f>INDEX(Calc!$K$1:$K$774,B358)</f>
        <v>42.2</v>
      </c>
      <c r="D358" s="45">
        <f>1/(1/C358+1/Calc!K358)</f>
        <v>38.681943895693401</v>
      </c>
      <c r="E358" s="45">
        <f>ABS(Show!$A$4-D358)/(Show!$A$4/100)</f>
        <v>3.2951402607664981</v>
      </c>
      <c r="F358" s="46">
        <f>Show!$A$4-Calc!L358</f>
        <v>-423.99999999999994</v>
      </c>
      <c r="G358" s="46" t="e">
        <f>MATCH(F358*Calc!$R$12,Calc!$K$1:$K$774,1)</f>
        <v>#N/A</v>
      </c>
      <c r="H358" s="46" t="e">
        <f>INDEX(Calc!$K$1:$K$774,G358)</f>
        <v>#N/A</v>
      </c>
      <c r="I358" s="46" t="e">
        <f>H358+Calc!K358</f>
        <v>#N/A</v>
      </c>
      <c r="J358" s="46" t="e">
        <f>ABS(Show!$A$4-I358)/(Show!$A$4/100)</f>
        <v>#N/A</v>
      </c>
      <c r="K358" s="45">
        <f>INDEX(Calc!L358:P358,Show!$B$4)</f>
        <v>463.99999999999994</v>
      </c>
      <c r="L358" s="46">
        <f t="shared" si="204"/>
        <v>463.99999999999994</v>
      </c>
      <c r="M358" s="46">
        <f>L358</f>
        <v>463.99999999999994</v>
      </c>
      <c r="N358" s="46">
        <f>L358</f>
        <v>463.99999999999994</v>
      </c>
      <c r="O358" s="46">
        <f t="shared" si="205"/>
        <v>470</v>
      </c>
      <c r="P358" s="46">
        <f t="shared" ref="P358" si="269">O354</f>
        <v>470</v>
      </c>
    </row>
    <row r="359" spans="1:16" x14ac:dyDescent="0.25">
      <c r="A359" s="45">
        <f>1/((1/Show!$A$4)-(1/Calc!K359))</f>
        <v>43.773584905660378</v>
      </c>
      <c r="B359" s="45">
        <f>MATCH(A359*Calc!$R$12,Calc!$K$1:$K$774,1)</f>
        <v>260</v>
      </c>
      <c r="C359" s="45">
        <f>INDEX(Calc!$K$1:$K$774,B359)</f>
        <v>42.2</v>
      </c>
      <c r="D359" s="45">
        <f>1/(1/C359+1/Calc!K359)</f>
        <v>38.681943895693401</v>
      </c>
      <c r="E359" s="45">
        <f>ABS(Show!$A$4-D359)/(Show!$A$4/100)</f>
        <v>3.2951402607664981</v>
      </c>
      <c r="F359" s="46">
        <f>Show!$A$4-Calc!L359</f>
        <v>-435</v>
      </c>
      <c r="G359" s="46" t="e">
        <f>MATCH(F359*Calc!$R$12,Calc!$K$1:$K$774,1)</f>
        <v>#N/A</v>
      </c>
      <c r="H359" s="46" t="e">
        <f>INDEX(Calc!$K$1:$K$774,G359)</f>
        <v>#N/A</v>
      </c>
      <c r="I359" s="46" t="e">
        <f>H359+Calc!K359</f>
        <v>#N/A</v>
      </c>
      <c r="J359" s="46" t="e">
        <f>ABS(Show!$A$4-I359)/(Show!$A$4/100)</f>
        <v>#N/A</v>
      </c>
      <c r="K359" s="45">
        <f>INDEX(Calc!L359:P359,Show!$B$4)</f>
        <v>463.99999999999994</v>
      </c>
      <c r="L359" s="46">
        <f t="shared" ref="L359:L389" si="270">L71*1000</f>
        <v>475</v>
      </c>
      <c r="M359" s="46">
        <f>L358</f>
        <v>463.99999999999994</v>
      </c>
      <c r="N359" s="46">
        <f>L358</f>
        <v>463.99999999999994</v>
      </c>
      <c r="O359" s="46">
        <f t="shared" ref="O359:O389" si="271">O71*1000</f>
        <v>470</v>
      </c>
      <c r="P359" s="46">
        <f t="shared" ref="P359" si="272">O354</f>
        <v>470</v>
      </c>
    </row>
    <row r="360" spans="1:16" x14ac:dyDescent="0.25">
      <c r="A360" s="45">
        <f>1/((1/Show!$A$4)-(1/Calc!K360))</f>
        <v>43.773584905660378</v>
      </c>
      <c r="B360" s="45">
        <f>MATCH(A360*Calc!$R$12,Calc!$K$1:$K$774,1)</f>
        <v>260</v>
      </c>
      <c r="C360" s="45">
        <f>INDEX(Calc!$K$1:$K$774,B360)</f>
        <v>42.2</v>
      </c>
      <c r="D360" s="45">
        <f>1/(1/C360+1/Calc!K360)</f>
        <v>38.681943895693401</v>
      </c>
      <c r="E360" s="45">
        <f>ABS(Show!$A$4-D360)/(Show!$A$4/100)</f>
        <v>3.2951402607664981</v>
      </c>
      <c r="F360" s="46">
        <f>Show!$A$4-Calc!L360</f>
        <v>-447.00000000000006</v>
      </c>
      <c r="G360" s="46" t="e">
        <f>MATCH(F360*Calc!$R$12,Calc!$K$1:$K$774,1)</f>
        <v>#N/A</v>
      </c>
      <c r="H360" s="46" t="e">
        <f>INDEX(Calc!$K$1:$K$774,G360)</f>
        <v>#N/A</v>
      </c>
      <c r="I360" s="46" t="e">
        <f>H360+Calc!K360</f>
        <v>#N/A</v>
      </c>
      <c r="J360" s="46" t="e">
        <f>ABS(Show!$A$4-I360)/(Show!$A$4/100)</f>
        <v>#N/A</v>
      </c>
      <c r="K360" s="45">
        <f>INDEX(Calc!L360:P360,Show!$B$4)</f>
        <v>463.99999999999994</v>
      </c>
      <c r="L360" s="46">
        <f t="shared" si="270"/>
        <v>487.00000000000006</v>
      </c>
      <c r="M360" s="46">
        <f>L360</f>
        <v>487.00000000000006</v>
      </c>
      <c r="N360" s="46">
        <f>L358</f>
        <v>463.99999999999994</v>
      </c>
      <c r="O360" s="46">
        <f t="shared" si="271"/>
        <v>470</v>
      </c>
      <c r="P360" s="46">
        <f t="shared" ref="P360" si="273">O354</f>
        <v>470</v>
      </c>
    </row>
    <row r="361" spans="1:16" x14ac:dyDescent="0.25">
      <c r="A361" s="45">
        <f>1/((1/Show!$A$4)-(1/Calc!K361))</f>
        <v>43.397027600849256</v>
      </c>
      <c r="B361" s="45">
        <f>MATCH(A361*Calc!$R$12,Calc!$K$1:$K$774,1)</f>
        <v>260</v>
      </c>
      <c r="C361" s="45">
        <f>INDEX(Calc!$K$1:$K$774,B361)</f>
        <v>42.2</v>
      </c>
      <c r="D361" s="45">
        <f>1/(1/C361+1/Calc!K361)</f>
        <v>38.980838756326825</v>
      </c>
      <c r="E361" s="45">
        <f>ABS(Show!$A$4-D361)/(Show!$A$4/100)</f>
        <v>2.5479031091829363</v>
      </c>
      <c r="F361" s="46">
        <f>Show!$A$4-Calc!L361</f>
        <v>-459</v>
      </c>
      <c r="G361" s="46" t="e">
        <f>MATCH(F361*Calc!$R$12,Calc!$K$1:$K$774,1)</f>
        <v>#N/A</v>
      </c>
      <c r="H361" s="46" t="e">
        <f>INDEX(Calc!$K$1:$K$774,G361)</f>
        <v>#N/A</v>
      </c>
      <c r="I361" s="46" t="e">
        <f>H361+Calc!K361</f>
        <v>#N/A</v>
      </c>
      <c r="J361" s="46" t="e">
        <f>ABS(Show!$A$4-I361)/(Show!$A$4/100)</f>
        <v>#N/A</v>
      </c>
      <c r="K361" s="45">
        <f>INDEX(Calc!L361:P361,Show!$B$4)</f>
        <v>511</v>
      </c>
      <c r="L361" s="46">
        <f t="shared" si="270"/>
        <v>499</v>
      </c>
      <c r="M361" s="46">
        <f>L360</f>
        <v>487.00000000000006</v>
      </c>
      <c r="N361" s="46">
        <f>L362</f>
        <v>511</v>
      </c>
      <c r="O361" s="46">
        <f t="shared" si="271"/>
        <v>470</v>
      </c>
      <c r="P361" s="46">
        <f t="shared" ref="P361" si="274">O354</f>
        <v>470</v>
      </c>
    </row>
    <row r="362" spans="1:16" x14ac:dyDescent="0.25">
      <c r="A362" s="45">
        <f>1/((1/Show!$A$4)-(1/Calc!K362))</f>
        <v>43.397027600849256</v>
      </c>
      <c r="B362" s="45">
        <f>MATCH(A362*Calc!$R$12,Calc!$K$1:$K$774,1)</f>
        <v>260</v>
      </c>
      <c r="C362" s="45">
        <f>INDEX(Calc!$K$1:$K$774,B362)</f>
        <v>42.2</v>
      </c>
      <c r="D362" s="45">
        <f>1/(1/C362+1/Calc!K362)</f>
        <v>38.980838756326825</v>
      </c>
      <c r="E362" s="45">
        <f>ABS(Show!$A$4-D362)/(Show!$A$4/100)</f>
        <v>2.5479031091829363</v>
      </c>
      <c r="F362" s="46">
        <f>Show!$A$4-Calc!L362</f>
        <v>-471</v>
      </c>
      <c r="G362" s="46" t="e">
        <f>MATCH(F362*Calc!$R$12,Calc!$K$1:$K$774,1)</f>
        <v>#N/A</v>
      </c>
      <c r="H362" s="46" t="e">
        <f>INDEX(Calc!$K$1:$K$774,G362)</f>
        <v>#N/A</v>
      </c>
      <c r="I362" s="46" t="e">
        <f>H362+Calc!K362</f>
        <v>#N/A</v>
      </c>
      <c r="J362" s="46" t="e">
        <f>ABS(Show!$A$4-I362)/(Show!$A$4/100)</f>
        <v>#N/A</v>
      </c>
      <c r="K362" s="45">
        <f>INDEX(Calc!L362:P362,Show!$B$4)</f>
        <v>511</v>
      </c>
      <c r="L362" s="46">
        <f t="shared" si="270"/>
        <v>511</v>
      </c>
      <c r="M362" s="46">
        <f>L362</f>
        <v>511</v>
      </c>
      <c r="N362" s="46">
        <f>L362</f>
        <v>511</v>
      </c>
      <c r="O362" s="46">
        <f t="shared" si="271"/>
        <v>560</v>
      </c>
      <c r="P362" s="46">
        <f t="shared" ref="P362" si="275">O354</f>
        <v>470</v>
      </c>
    </row>
    <row r="363" spans="1:16" x14ac:dyDescent="0.25">
      <c r="A363" s="45">
        <f>1/((1/Show!$A$4)-(1/Calc!K363))</f>
        <v>43.397027600849256</v>
      </c>
      <c r="B363" s="45">
        <f>MATCH(A363*Calc!$R$12,Calc!$K$1:$K$774,1)</f>
        <v>260</v>
      </c>
      <c r="C363" s="45">
        <f>INDEX(Calc!$K$1:$K$774,B363)</f>
        <v>42.2</v>
      </c>
      <c r="D363" s="45">
        <f>1/(1/C363+1/Calc!K363)</f>
        <v>38.980838756326825</v>
      </c>
      <c r="E363" s="45">
        <f>ABS(Show!$A$4-D363)/(Show!$A$4/100)</f>
        <v>2.5479031091829363</v>
      </c>
      <c r="F363" s="46">
        <f>Show!$A$4-Calc!L363</f>
        <v>-483</v>
      </c>
      <c r="G363" s="46" t="e">
        <f>MATCH(F363*Calc!$R$12,Calc!$K$1:$K$774,1)</f>
        <v>#N/A</v>
      </c>
      <c r="H363" s="46" t="e">
        <f>INDEX(Calc!$K$1:$K$774,G363)</f>
        <v>#N/A</v>
      </c>
      <c r="I363" s="46" t="e">
        <f>H363+Calc!K363</f>
        <v>#N/A</v>
      </c>
      <c r="J363" s="46" t="e">
        <f>ABS(Show!$A$4-I363)/(Show!$A$4/100)</f>
        <v>#N/A</v>
      </c>
      <c r="K363" s="45">
        <f>INDEX(Calc!L363:P363,Show!$B$4)</f>
        <v>511</v>
      </c>
      <c r="L363" s="46">
        <f t="shared" si="270"/>
        <v>523</v>
      </c>
      <c r="M363" s="46">
        <f>L362</f>
        <v>511</v>
      </c>
      <c r="N363" s="46">
        <f>L362</f>
        <v>511</v>
      </c>
      <c r="O363" s="46">
        <f t="shared" si="271"/>
        <v>560</v>
      </c>
      <c r="P363" s="46">
        <f t="shared" ref="P363" si="276">O354</f>
        <v>470</v>
      </c>
    </row>
    <row r="364" spans="1:16" x14ac:dyDescent="0.25">
      <c r="A364" s="45">
        <f>1/((1/Show!$A$4)-(1/Calc!K364))</f>
        <v>43.397027600849256</v>
      </c>
      <c r="B364" s="45">
        <f>MATCH(A364*Calc!$R$12,Calc!$K$1:$K$774,1)</f>
        <v>260</v>
      </c>
      <c r="C364" s="45">
        <f>INDEX(Calc!$K$1:$K$774,B364)</f>
        <v>42.2</v>
      </c>
      <c r="D364" s="45">
        <f>1/(1/C364+1/Calc!K364)</f>
        <v>38.980838756326825</v>
      </c>
      <c r="E364" s="45">
        <f>ABS(Show!$A$4-D364)/(Show!$A$4/100)</f>
        <v>2.5479031091829363</v>
      </c>
      <c r="F364" s="46">
        <f>Show!$A$4-Calc!L364</f>
        <v>-496</v>
      </c>
      <c r="G364" s="46" t="e">
        <f>MATCH(F364*Calc!$R$12,Calc!$K$1:$K$774,1)</f>
        <v>#N/A</v>
      </c>
      <c r="H364" s="46" t="e">
        <f>INDEX(Calc!$K$1:$K$774,G364)</f>
        <v>#N/A</v>
      </c>
      <c r="I364" s="46" t="e">
        <f>H364+Calc!K364</f>
        <v>#N/A</v>
      </c>
      <c r="J364" s="46" t="e">
        <f>ABS(Show!$A$4-I364)/(Show!$A$4/100)</f>
        <v>#N/A</v>
      </c>
      <c r="K364" s="45">
        <f>INDEX(Calc!L364:P364,Show!$B$4)</f>
        <v>511</v>
      </c>
      <c r="L364" s="46">
        <f t="shared" si="270"/>
        <v>536</v>
      </c>
      <c r="M364" s="46">
        <f>L364</f>
        <v>536</v>
      </c>
      <c r="N364" s="46">
        <f>L362</f>
        <v>511</v>
      </c>
      <c r="O364" s="46">
        <f t="shared" si="271"/>
        <v>560</v>
      </c>
      <c r="P364" s="46">
        <f t="shared" ref="P364" si="277">O354</f>
        <v>470</v>
      </c>
    </row>
    <row r="365" spans="1:16" x14ac:dyDescent="0.25">
      <c r="A365" s="45">
        <f>1/((1/Show!$A$4)-(1/Calc!K365))</f>
        <v>43.065134099616856</v>
      </c>
      <c r="B365" s="45">
        <f>MATCH(A365*Calc!$R$12,Calc!$K$1:$K$774,1)</f>
        <v>260</v>
      </c>
      <c r="C365" s="45">
        <f>INDEX(Calc!$K$1:$K$774,B365)</f>
        <v>42.2</v>
      </c>
      <c r="D365" s="45">
        <f>1/(1/C365+1/Calc!K365)</f>
        <v>39.252565375703412</v>
      </c>
      <c r="E365" s="45">
        <f>ABS(Show!$A$4-D365)/(Show!$A$4/100)</f>
        <v>1.8685865607414698</v>
      </c>
      <c r="F365" s="46">
        <f>Show!$A$4-Calc!L365</f>
        <v>-508.99999999999989</v>
      </c>
      <c r="G365" s="46" t="e">
        <f>MATCH(F365*Calc!$R$12,Calc!$K$1:$K$774,1)</f>
        <v>#N/A</v>
      </c>
      <c r="H365" s="46" t="e">
        <f>INDEX(Calc!$K$1:$K$774,G365)</f>
        <v>#N/A</v>
      </c>
      <c r="I365" s="46" t="e">
        <f>H365+Calc!K365</f>
        <v>#N/A</v>
      </c>
      <c r="J365" s="46" t="e">
        <f>ABS(Show!$A$4-I365)/(Show!$A$4/100)</f>
        <v>#N/A</v>
      </c>
      <c r="K365" s="45">
        <f>INDEX(Calc!L365:P365,Show!$B$4)</f>
        <v>562</v>
      </c>
      <c r="L365" s="46">
        <f t="shared" si="270"/>
        <v>548.99999999999989</v>
      </c>
      <c r="M365" s="46">
        <f>L364</f>
        <v>536</v>
      </c>
      <c r="N365" s="46">
        <f>L366</f>
        <v>562</v>
      </c>
      <c r="O365" s="46">
        <f t="shared" si="271"/>
        <v>560</v>
      </c>
      <c r="P365" s="46">
        <f t="shared" ref="P365" si="278">O354</f>
        <v>470</v>
      </c>
    </row>
    <row r="366" spans="1:16" x14ac:dyDescent="0.25">
      <c r="A366" s="45">
        <f>1/((1/Show!$A$4)-(1/Calc!K366))</f>
        <v>43.065134099616856</v>
      </c>
      <c r="B366" s="45">
        <f>MATCH(A366*Calc!$R$12,Calc!$K$1:$K$774,1)</f>
        <v>260</v>
      </c>
      <c r="C366" s="45">
        <f>INDEX(Calc!$K$1:$K$774,B366)</f>
        <v>42.2</v>
      </c>
      <c r="D366" s="45">
        <f>1/(1/C366+1/Calc!K366)</f>
        <v>39.252565375703412</v>
      </c>
      <c r="E366" s="45">
        <f>ABS(Show!$A$4-D366)/(Show!$A$4/100)</f>
        <v>1.8685865607414698</v>
      </c>
      <c r="F366" s="46">
        <f>Show!$A$4-Calc!L366</f>
        <v>-522</v>
      </c>
      <c r="G366" s="46" t="e">
        <f>MATCH(F366*Calc!$R$12,Calc!$K$1:$K$774,1)</f>
        <v>#N/A</v>
      </c>
      <c r="H366" s="46" t="e">
        <f>INDEX(Calc!$K$1:$K$774,G366)</f>
        <v>#N/A</v>
      </c>
      <c r="I366" s="46" t="e">
        <f>H366+Calc!K366</f>
        <v>#N/A</v>
      </c>
      <c r="J366" s="46" t="e">
        <f>ABS(Show!$A$4-I366)/(Show!$A$4/100)</f>
        <v>#N/A</v>
      </c>
      <c r="K366" s="45">
        <f>INDEX(Calc!L366:P366,Show!$B$4)</f>
        <v>562</v>
      </c>
      <c r="L366" s="46">
        <f t="shared" si="270"/>
        <v>562</v>
      </c>
      <c r="M366" s="46">
        <f>L366</f>
        <v>562</v>
      </c>
      <c r="N366" s="46">
        <f>L366</f>
        <v>562</v>
      </c>
      <c r="O366" s="46">
        <f t="shared" si="271"/>
        <v>560</v>
      </c>
      <c r="P366" s="46">
        <f t="shared" ref="P366" si="279">O370</f>
        <v>680</v>
      </c>
    </row>
    <row r="367" spans="1:16" x14ac:dyDescent="0.25">
      <c r="A367" s="45">
        <f>1/((1/Show!$A$4)-(1/Calc!K367))</f>
        <v>43.065134099616856</v>
      </c>
      <c r="B367" s="45">
        <f>MATCH(A367*Calc!$R$12,Calc!$K$1:$K$774,1)</f>
        <v>260</v>
      </c>
      <c r="C367" s="45">
        <f>INDEX(Calc!$K$1:$K$774,B367)</f>
        <v>42.2</v>
      </c>
      <c r="D367" s="45">
        <f>1/(1/C367+1/Calc!K367)</f>
        <v>39.252565375703412</v>
      </c>
      <c r="E367" s="45">
        <f>ABS(Show!$A$4-D367)/(Show!$A$4/100)</f>
        <v>1.8685865607414698</v>
      </c>
      <c r="F367" s="46">
        <f>Show!$A$4-Calc!L367</f>
        <v>-536.00000000000011</v>
      </c>
      <c r="G367" s="46" t="e">
        <f>MATCH(F367*Calc!$R$12,Calc!$K$1:$K$774,1)</f>
        <v>#N/A</v>
      </c>
      <c r="H367" s="46" t="e">
        <f>INDEX(Calc!$K$1:$K$774,G367)</f>
        <v>#N/A</v>
      </c>
      <c r="I367" s="46" t="e">
        <f>H367+Calc!K367</f>
        <v>#N/A</v>
      </c>
      <c r="J367" s="46" t="e">
        <f>ABS(Show!$A$4-I367)/(Show!$A$4/100)</f>
        <v>#N/A</v>
      </c>
      <c r="K367" s="45">
        <f>INDEX(Calc!L367:P367,Show!$B$4)</f>
        <v>562</v>
      </c>
      <c r="L367" s="46">
        <f t="shared" si="270"/>
        <v>576.00000000000011</v>
      </c>
      <c r="M367" s="46">
        <f>L366</f>
        <v>562</v>
      </c>
      <c r="N367" s="46">
        <f>L366</f>
        <v>562</v>
      </c>
      <c r="O367" s="46">
        <f t="shared" si="271"/>
        <v>560</v>
      </c>
      <c r="P367" s="46">
        <f t="shared" ref="P367" si="280">O370</f>
        <v>680</v>
      </c>
    </row>
    <row r="368" spans="1:16" x14ac:dyDescent="0.25">
      <c r="A368" s="45">
        <f>1/((1/Show!$A$4)-(1/Calc!K368))</f>
        <v>43.065134099616856</v>
      </c>
      <c r="B368" s="45">
        <f>MATCH(A368*Calc!$R$12,Calc!$K$1:$K$774,1)</f>
        <v>260</v>
      </c>
      <c r="C368" s="45">
        <f>INDEX(Calc!$K$1:$K$774,B368)</f>
        <v>42.2</v>
      </c>
      <c r="D368" s="45">
        <f>1/(1/C368+1/Calc!K368)</f>
        <v>39.252565375703412</v>
      </c>
      <c r="E368" s="45">
        <f>ABS(Show!$A$4-D368)/(Show!$A$4/100)</f>
        <v>1.8685865607414698</v>
      </c>
      <c r="F368" s="46">
        <f>Show!$A$4-Calc!L368</f>
        <v>-550</v>
      </c>
      <c r="G368" s="46" t="e">
        <f>MATCH(F368*Calc!$R$12,Calc!$K$1:$K$774,1)</f>
        <v>#N/A</v>
      </c>
      <c r="H368" s="46" t="e">
        <f>INDEX(Calc!$K$1:$K$774,G368)</f>
        <v>#N/A</v>
      </c>
      <c r="I368" s="46" t="e">
        <f>H368+Calc!K368</f>
        <v>#N/A</v>
      </c>
      <c r="J368" s="46" t="e">
        <f>ABS(Show!$A$4-I368)/(Show!$A$4/100)</f>
        <v>#N/A</v>
      </c>
      <c r="K368" s="45">
        <f>INDEX(Calc!L368:P368,Show!$B$4)</f>
        <v>562</v>
      </c>
      <c r="L368" s="46">
        <f t="shared" si="270"/>
        <v>590</v>
      </c>
      <c r="M368" s="46">
        <f>L368</f>
        <v>590</v>
      </c>
      <c r="N368" s="46">
        <f>L366</f>
        <v>562</v>
      </c>
      <c r="O368" s="46">
        <f t="shared" si="271"/>
        <v>560</v>
      </c>
      <c r="P368" s="46">
        <f t="shared" ref="P368" si="281">O370</f>
        <v>680</v>
      </c>
    </row>
    <row r="369" spans="1:16" x14ac:dyDescent="0.25">
      <c r="A369" s="45">
        <f>1/((1/Show!$A$4)-(1/Calc!K369))</f>
        <v>42.763385146804836</v>
      </c>
      <c r="B369" s="45">
        <f>MATCH(A369*Calc!$R$12,Calc!$K$1:$K$774,1)</f>
        <v>260</v>
      </c>
      <c r="C369" s="45">
        <f>INDEX(Calc!$K$1:$K$774,B369)</f>
        <v>42.2</v>
      </c>
      <c r="D369" s="45">
        <f>1/(1/C369+1/Calc!K369)</f>
        <v>39.506654567453118</v>
      </c>
      <c r="E369" s="45">
        <f>ABS(Show!$A$4-D369)/(Show!$A$4/100)</f>
        <v>1.2333635813672039</v>
      </c>
      <c r="F369" s="46">
        <f>Show!$A$4-Calc!L369</f>
        <v>-564</v>
      </c>
      <c r="G369" s="46" t="e">
        <f>MATCH(F369*Calc!$R$12,Calc!$K$1:$K$774,1)</f>
        <v>#N/A</v>
      </c>
      <c r="H369" s="46" t="e">
        <f>INDEX(Calc!$K$1:$K$774,G369)</f>
        <v>#N/A</v>
      </c>
      <c r="I369" s="46" t="e">
        <f>H369+Calc!K369</f>
        <v>#N/A</v>
      </c>
      <c r="J369" s="46" t="e">
        <f>ABS(Show!$A$4-I369)/(Show!$A$4/100)</f>
        <v>#N/A</v>
      </c>
      <c r="K369" s="45">
        <f>INDEX(Calc!L369:P369,Show!$B$4)</f>
        <v>619</v>
      </c>
      <c r="L369" s="46">
        <f t="shared" si="270"/>
        <v>604</v>
      </c>
      <c r="M369" s="46">
        <f>L368</f>
        <v>590</v>
      </c>
      <c r="N369" s="46">
        <f>L370</f>
        <v>619</v>
      </c>
      <c r="O369" s="46">
        <f t="shared" si="271"/>
        <v>560</v>
      </c>
      <c r="P369" s="46">
        <f t="shared" ref="P369" si="282">O370</f>
        <v>680</v>
      </c>
    </row>
    <row r="370" spans="1:16" x14ac:dyDescent="0.25">
      <c r="A370" s="45">
        <f>1/((1/Show!$A$4)-(1/Calc!K370))</f>
        <v>42.763385146804836</v>
      </c>
      <c r="B370" s="45">
        <f>MATCH(A370*Calc!$R$12,Calc!$K$1:$K$774,1)</f>
        <v>260</v>
      </c>
      <c r="C370" s="45">
        <f>INDEX(Calc!$K$1:$K$774,B370)</f>
        <v>42.2</v>
      </c>
      <c r="D370" s="45">
        <f>1/(1/C370+1/Calc!K370)</f>
        <v>39.506654567453118</v>
      </c>
      <c r="E370" s="45">
        <f>ABS(Show!$A$4-D370)/(Show!$A$4/100)</f>
        <v>1.2333635813672039</v>
      </c>
      <c r="F370" s="46">
        <f>Show!$A$4-Calc!L370</f>
        <v>-579</v>
      </c>
      <c r="G370" s="46" t="e">
        <f>MATCH(F370*Calc!$R$12,Calc!$K$1:$K$774,1)</f>
        <v>#N/A</v>
      </c>
      <c r="H370" s="46" t="e">
        <f>INDEX(Calc!$K$1:$K$774,G370)</f>
        <v>#N/A</v>
      </c>
      <c r="I370" s="46" t="e">
        <f>H370+Calc!K370</f>
        <v>#N/A</v>
      </c>
      <c r="J370" s="46" t="e">
        <f>ABS(Show!$A$4-I370)/(Show!$A$4/100)</f>
        <v>#N/A</v>
      </c>
      <c r="K370" s="45">
        <f>INDEX(Calc!L370:P370,Show!$B$4)</f>
        <v>619</v>
      </c>
      <c r="L370" s="46">
        <f t="shared" si="270"/>
        <v>619</v>
      </c>
      <c r="M370" s="46">
        <f>L370</f>
        <v>619</v>
      </c>
      <c r="N370" s="46">
        <f>L370</f>
        <v>619</v>
      </c>
      <c r="O370" s="46">
        <f t="shared" si="271"/>
        <v>680</v>
      </c>
      <c r="P370" s="46">
        <f t="shared" ref="P370" si="283">O370</f>
        <v>680</v>
      </c>
    </row>
    <row r="371" spans="1:16" x14ac:dyDescent="0.25">
      <c r="A371" s="45">
        <f>1/((1/Show!$A$4)-(1/Calc!K371))</f>
        <v>42.763385146804836</v>
      </c>
      <c r="B371" s="45">
        <f>MATCH(A371*Calc!$R$12,Calc!$K$1:$K$774,1)</f>
        <v>260</v>
      </c>
      <c r="C371" s="45">
        <f>INDEX(Calc!$K$1:$K$774,B371)</f>
        <v>42.2</v>
      </c>
      <c r="D371" s="45">
        <f>1/(1/C371+1/Calc!K371)</f>
        <v>39.506654567453118</v>
      </c>
      <c r="E371" s="45">
        <f>ABS(Show!$A$4-D371)/(Show!$A$4/100)</f>
        <v>1.2333635813672039</v>
      </c>
      <c r="F371" s="46">
        <f>Show!$A$4-Calc!L371</f>
        <v>-594</v>
      </c>
      <c r="G371" s="46" t="e">
        <f>MATCH(F371*Calc!$R$12,Calc!$K$1:$K$774,1)</f>
        <v>#N/A</v>
      </c>
      <c r="H371" s="46" t="e">
        <f>INDEX(Calc!$K$1:$K$774,G371)</f>
        <v>#N/A</v>
      </c>
      <c r="I371" s="46" t="e">
        <f>H371+Calc!K371</f>
        <v>#N/A</v>
      </c>
      <c r="J371" s="46" t="e">
        <f>ABS(Show!$A$4-I371)/(Show!$A$4/100)</f>
        <v>#N/A</v>
      </c>
      <c r="K371" s="45">
        <f>INDEX(Calc!L371:P371,Show!$B$4)</f>
        <v>619</v>
      </c>
      <c r="L371" s="46">
        <f t="shared" si="270"/>
        <v>634</v>
      </c>
      <c r="M371" s="46">
        <f>L370</f>
        <v>619</v>
      </c>
      <c r="N371" s="46">
        <f>L370</f>
        <v>619</v>
      </c>
      <c r="O371" s="46">
        <f t="shared" si="271"/>
        <v>680</v>
      </c>
      <c r="P371" s="46">
        <f t="shared" ref="P371" si="284">O370</f>
        <v>680</v>
      </c>
    </row>
    <row r="372" spans="1:16" x14ac:dyDescent="0.25">
      <c r="A372" s="45">
        <f>1/((1/Show!$A$4)-(1/Calc!K372))</f>
        <v>42.763385146804836</v>
      </c>
      <c r="B372" s="45">
        <f>MATCH(A372*Calc!$R$12,Calc!$K$1:$K$774,1)</f>
        <v>260</v>
      </c>
      <c r="C372" s="45">
        <f>INDEX(Calc!$K$1:$K$774,B372)</f>
        <v>42.2</v>
      </c>
      <c r="D372" s="45">
        <f>1/(1/C372+1/Calc!K372)</f>
        <v>39.506654567453118</v>
      </c>
      <c r="E372" s="45">
        <f>ABS(Show!$A$4-D372)/(Show!$A$4/100)</f>
        <v>1.2333635813672039</v>
      </c>
      <c r="F372" s="46">
        <f>Show!$A$4-Calc!L372</f>
        <v>-609</v>
      </c>
      <c r="G372" s="46" t="e">
        <f>MATCH(F372*Calc!$R$12,Calc!$K$1:$K$774,1)</f>
        <v>#N/A</v>
      </c>
      <c r="H372" s="46" t="e">
        <f>INDEX(Calc!$K$1:$K$774,G372)</f>
        <v>#N/A</v>
      </c>
      <c r="I372" s="46" t="e">
        <f>H372+Calc!K372</f>
        <v>#N/A</v>
      </c>
      <c r="J372" s="46" t="e">
        <f>ABS(Show!$A$4-I372)/(Show!$A$4/100)</f>
        <v>#N/A</v>
      </c>
      <c r="K372" s="45">
        <f>INDEX(Calc!L372:P372,Show!$B$4)</f>
        <v>619</v>
      </c>
      <c r="L372" s="46">
        <f t="shared" si="270"/>
        <v>649</v>
      </c>
      <c r="M372" s="46">
        <f>L372</f>
        <v>649</v>
      </c>
      <c r="N372" s="46">
        <f>L370</f>
        <v>619</v>
      </c>
      <c r="O372" s="46">
        <f t="shared" si="271"/>
        <v>680</v>
      </c>
      <c r="P372" s="46">
        <f t="shared" ref="P372" si="285">O370</f>
        <v>680</v>
      </c>
    </row>
    <row r="373" spans="1:16" x14ac:dyDescent="0.25">
      <c r="A373" s="45">
        <f>1/((1/Show!$A$4)-(1/Calc!K373))</f>
        <v>42.496099843993761</v>
      </c>
      <c r="B373" s="45">
        <f>MATCH(A373*Calc!$R$12,Calc!$K$1:$K$774,1)</f>
        <v>260</v>
      </c>
      <c r="C373" s="45">
        <f>INDEX(Calc!$K$1:$K$774,B373)</f>
        <v>42.2</v>
      </c>
      <c r="D373" s="45">
        <f>1/(1/C373+1/Calc!K373)</f>
        <v>39.737555309734518</v>
      </c>
      <c r="E373" s="45">
        <f>ABS(Show!$A$4-D373)/(Show!$A$4/100)</f>
        <v>0.65611172566370612</v>
      </c>
      <c r="F373" s="46">
        <f>Show!$A$4-Calc!L373</f>
        <v>-625</v>
      </c>
      <c r="G373" s="46" t="e">
        <f>MATCH(F373*Calc!$R$12,Calc!$K$1:$K$774,1)</f>
        <v>#N/A</v>
      </c>
      <c r="H373" s="46" t="e">
        <f>INDEX(Calc!$K$1:$K$774,G373)</f>
        <v>#N/A</v>
      </c>
      <c r="I373" s="46" t="e">
        <f>H373+Calc!K373</f>
        <v>#N/A</v>
      </c>
      <c r="J373" s="46" t="e">
        <f>ABS(Show!$A$4-I373)/(Show!$A$4/100)</f>
        <v>#N/A</v>
      </c>
      <c r="K373" s="45">
        <f>INDEX(Calc!L373:P373,Show!$B$4)</f>
        <v>680.99999999999989</v>
      </c>
      <c r="L373" s="46">
        <f t="shared" si="270"/>
        <v>665</v>
      </c>
      <c r="M373" s="46">
        <f>L372</f>
        <v>649</v>
      </c>
      <c r="N373" s="46">
        <f>L374</f>
        <v>680.99999999999989</v>
      </c>
      <c r="O373" s="46">
        <f t="shared" si="271"/>
        <v>680</v>
      </c>
      <c r="P373" s="46">
        <f t="shared" ref="P373" si="286">O370</f>
        <v>680</v>
      </c>
    </row>
    <row r="374" spans="1:16" x14ac:dyDescent="0.25">
      <c r="A374" s="45">
        <f>1/((1/Show!$A$4)-(1/Calc!K374))</f>
        <v>42.496099843993761</v>
      </c>
      <c r="B374" s="45">
        <f>MATCH(A374*Calc!$R$12,Calc!$K$1:$K$774,1)</f>
        <v>260</v>
      </c>
      <c r="C374" s="45">
        <f>INDEX(Calc!$K$1:$K$774,B374)</f>
        <v>42.2</v>
      </c>
      <c r="D374" s="45">
        <f>1/(1/C374+1/Calc!K374)</f>
        <v>39.737555309734518</v>
      </c>
      <c r="E374" s="45">
        <f>ABS(Show!$A$4-D374)/(Show!$A$4/100)</f>
        <v>0.65611172566370612</v>
      </c>
      <c r="F374" s="46">
        <f>Show!$A$4-Calc!L374</f>
        <v>-640.99999999999989</v>
      </c>
      <c r="G374" s="46" t="e">
        <f>MATCH(F374*Calc!$R$12,Calc!$K$1:$K$774,1)</f>
        <v>#N/A</v>
      </c>
      <c r="H374" s="46" t="e">
        <f>INDEX(Calc!$K$1:$K$774,G374)</f>
        <v>#N/A</v>
      </c>
      <c r="I374" s="46" t="e">
        <f>H374+Calc!K374</f>
        <v>#N/A</v>
      </c>
      <c r="J374" s="46" t="e">
        <f>ABS(Show!$A$4-I374)/(Show!$A$4/100)</f>
        <v>#N/A</v>
      </c>
      <c r="K374" s="45">
        <f>INDEX(Calc!L374:P374,Show!$B$4)</f>
        <v>680.99999999999989</v>
      </c>
      <c r="L374" s="46">
        <f t="shared" si="270"/>
        <v>680.99999999999989</v>
      </c>
      <c r="M374" s="46">
        <f>L374</f>
        <v>680.99999999999989</v>
      </c>
      <c r="N374" s="46">
        <f>L374</f>
        <v>680.99999999999989</v>
      </c>
      <c r="O374" s="46">
        <f t="shared" si="271"/>
        <v>680</v>
      </c>
      <c r="P374" s="46">
        <f t="shared" ref="P374" si="287">O370</f>
        <v>680</v>
      </c>
    </row>
    <row r="375" spans="1:16" x14ac:dyDescent="0.25">
      <c r="A375" s="45">
        <f>1/((1/Show!$A$4)-(1/Calc!K375))</f>
        <v>42.496099843993761</v>
      </c>
      <c r="B375" s="45">
        <f>MATCH(A375*Calc!$R$12,Calc!$K$1:$K$774,1)</f>
        <v>260</v>
      </c>
      <c r="C375" s="45">
        <f>INDEX(Calc!$K$1:$K$774,B375)</f>
        <v>42.2</v>
      </c>
      <c r="D375" s="45">
        <f>1/(1/C375+1/Calc!K375)</f>
        <v>39.737555309734518</v>
      </c>
      <c r="E375" s="45">
        <f>ABS(Show!$A$4-D375)/(Show!$A$4/100)</f>
        <v>0.65611172566370612</v>
      </c>
      <c r="F375" s="46">
        <f>Show!$A$4-Calc!L375</f>
        <v>-658</v>
      </c>
      <c r="G375" s="46" t="e">
        <f>MATCH(F375*Calc!$R$12,Calc!$K$1:$K$774,1)</f>
        <v>#N/A</v>
      </c>
      <c r="H375" s="46" t="e">
        <f>INDEX(Calc!$K$1:$K$774,G375)</f>
        <v>#N/A</v>
      </c>
      <c r="I375" s="46" t="e">
        <f>H375+Calc!K375</f>
        <v>#N/A</v>
      </c>
      <c r="J375" s="46" t="e">
        <f>ABS(Show!$A$4-I375)/(Show!$A$4/100)</f>
        <v>#N/A</v>
      </c>
      <c r="K375" s="45">
        <f>INDEX(Calc!L375:P375,Show!$B$4)</f>
        <v>680.99999999999989</v>
      </c>
      <c r="L375" s="46">
        <f t="shared" si="270"/>
        <v>698</v>
      </c>
      <c r="M375" s="46">
        <f>L374</f>
        <v>680.99999999999989</v>
      </c>
      <c r="N375" s="46">
        <f>L374</f>
        <v>680.99999999999989</v>
      </c>
      <c r="O375" s="46">
        <f t="shared" si="271"/>
        <v>680</v>
      </c>
      <c r="P375" s="46">
        <f t="shared" ref="P375" si="288">O370</f>
        <v>680</v>
      </c>
    </row>
    <row r="376" spans="1:16" x14ac:dyDescent="0.25">
      <c r="A376" s="45">
        <f>1/((1/Show!$A$4)-(1/Calc!K376))</f>
        <v>42.496099843993761</v>
      </c>
      <c r="B376" s="45">
        <f>MATCH(A376*Calc!$R$12,Calc!$K$1:$K$774,1)</f>
        <v>260</v>
      </c>
      <c r="C376" s="45">
        <f>INDEX(Calc!$K$1:$K$774,B376)</f>
        <v>42.2</v>
      </c>
      <c r="D376" s="45">
        <f>1/(1/C376+1/Calc!K376)</f>
        <v>39.737555309734518</v>
      </c>
      <c r="E376" s="45">
        <f>ABS(Show!$A$4-D376)/(Show!$A$4/100)</f>
        <v>0.65611172566370612</v>
      </c>
      <c r="F376" s="46">
        <f>Show!$A$4-Calc!L376</f>
        <v>-675</v>
      </c>
      <c r="G376" s="46" t="e">
        <f>MATCH(F376*Calc!$R$12,Calc!$K$1:$K$774,1)</f>
        <v>#N/A</v>
      </c>
      <c r="H376" s="46" t="e">
        <f>INDEX(Calc!$K$1:$K$774,G376)</f>
        <v>#N/A</v>
      </c>
      <c r="I376" s="46" t="e">
        <f>H376+Calc!K376</f>
        <v>#N/A</v>
      </c>
      <c r="J376" s="46" t="e">
        <f>ABS(Show!$A$4-I376)/(Show!$A$4/100)</f>
        <v>#N/A</v>
      </c>
      <c r="K376" s="45">
        <f>INDEX(Calc!L376:P376,Show!$B$4)</f>
        <v>680.99999999999989</v>
      </c>
      <c r="L376" s="46">
        <f t="shared" si="270"/>
        <v>715</v>
      </c>
      <c r="M376" s="46">
        <f>L376</f>
        <v>715</v>
      </c>
      <c r="N376" s="46">
        <f>L374</f>
        <v>680.99999999999989</v>
      </c>
      <c r="O376" s="46">
        <f t="shared" si="271"/>
        <v>680</v>
      </c>
      <c r="P376" s="46">
        <f t="shared" ref="P376" si="289">O370</f>
        <v>680</v>
      </c>
    </row>
    <row r="377" spans="1:16" x14ac:dyDescent="0.25">
      <c r="A377" s="45">
        <f>1/((1/Show!$A$4)-(1/Calc!K377))</f>
        <v>42.25352112676056</v>
      </c>
      <c r="B377" s="45">
        <f>MATCH(A377*Calc!$R$12,Calc!$K$1:$K$774,1)</f>
        <v>260</v>
      </c>
      <c r="C377" s="45">
        <f>INDEX(Calc!$K$1:$K$774,B377)</f>
        <v>42.2</v>
      </c>
      <c r="D377" s="45">
        <f>1/(1/C377+1/Calc!K377)</f>
        <v>39.952032315071953</v>
      </c>
      <c r="E377" s="45">
        <f>ABS(Show!$A$4-D377)/(Show!$A$4/100)</f>
        <v>0.11991921232011649</v>
      </c>
      <c r="F377" s="46">
        <f>Show!$A$4-Calc!L377</f>
        <v>-692</v>
      </c>
      <c r="G377" s="46" t="e">
        <f>MATCH(F377*Calc!$R$12,Calc!$K$1:$K$774,1)</f>
        <v>#N/A</v>
      </c>
      <c r="H377" s="46" t="e">
        <f>INDEX(Calc!$K$1:$K$774,G377)</f>
        <v>#N/A</v>
      </c>
      <c r="I377" s="46" t="e">
        <f>H377+Calc!K377</f>
        <v>#N/A</v>
      </c>
      <c r="J377" s="46" t="e">
        <f>ABS(Show!$A$4-I377)/(Show!$A$4/100)</f>
        <v>#N/A</v>
      </c>
      <c r="K377" s="45">
        <f>INDEX(Calc!L377:P377,Show!$B$4)</f>
        <v>750</v>
      </c>
      <c r="L377" s="46">
        <f t="shared" si="270"/>
        <v>732</v>
      </c>
      <c r="M377" s="46">
        <f>L376</f>
        <v>715</v>
      </c>
      <c r="N377" s="46">
        <f>L378</f>
        <v>750</v>
      </c>
      <c r="O377" s="46">
        <f t="shared" si="271"/>
        <v>680</v>
      </c>
      <c r="P377" s="46">
        <f t="shared" ref="P377" si="290">O370</f>
        <v>680</v>
      </c>
    </row>
    <row r="378" spans="1:16" x14ac:dyDescent="0.25">
      <c r="A378" s="45">
        <f>1/((1/Show!$A$4)-(1/Calc!K378))</f>
        <v>42.25352112676056</v>
      </c>
      <c r="B378" s="45">
        <f>MATCH(A378*Calc!$R$12,Calc!$K$1:$K$774,1)</f>
        <v>260</v>
      </c>
      <c r="C378" s="45">
        <f>INDEX(Calc!$K$1:$K$774,B378)</f>
        <v>42.2</v>
      </c>
      <c r="D378" s="45">
        <f>1/(1/C378+1/Calc!K378)</f>
        <v>39.952032315071953</v>
      </c>
      <c r="E378" s="45">
        <f>ABS(Show!$A$4-D378)/(Show!$A$4/100)</f>
        <v>0.11991921232011649</v>
      </c>
      <c r="F378" s="46">
        <f>Show!$A$4-Calc!L378</f>
        <v>-710</v>
      </c>
      <c r="G378" s="46" t="e">
        <f>MATCH(F378*Calc!$R$12,Calc!$K$1:$K$774,1)</f>
        <v>#N/A</v>
      </c>
      <c r="H378" s="46" t="e">
        <f>INDEX(Calc!$K$1:$K$774,G378)</f>
        <v>#N/A</v>
      </c>
      <c r="I378" s="46" t="e">
        <f>H378+Calc!K378</f>
        <v>#N/A</v>
      </c>
      <c r="J378" s="46" t="e">
        <f>ABS(Show!$A$4-I378)/(Show!$A$4/100)</f>
        <v>#N/A</v>
      </c>
      <c r="K378" s="45">
        <f>INDEX(Calc!L378:P378,Show!$B$4)</f>
        <v>750</v>
      </c>
      <c r="L378" s="46">
        <f t="shared" si="270"/>
        <v>750</v>
      </c>
      <c r="M378" s="46">
        <f>L378</f>
        <v>750</v>
      </c>
      <c r="N378" s="46">
        <f>L378</f>
        <v>750</v>
      </c>
      <c r="O378" s="46">
        <f t="shared" si="271"/>
        <v>820</v>
      </c>
      <c r="P378" s="46">
        <f t="shared" ref="P378" si="291">O370</f>
        <v>680</v>
      </c>
    </row>
    <row r="379" spans="1:16" x14ac:dyDescent="0.25">
      <c r="A379" s="45">
        <f>1/((1/Show!$A$4)-(1/Calc!K379))</f>
        <v>42.25352112676056</v>
      </c>
      <c r="B379" s="45">
        <f>MATCH(A379*Calc!$R$12,Calc!$K$1:$K$774,1)</f>
        <v>260</v>
      </c>
      <c r="C379" s="45">
        <f>INDEX(Calc!$K$1:$K$774,B379)</f>
        <v>42.2</v>
      </c>
      <c r="D379" s="45">
        <f>1/(1/C379+1/Calc!K379)</f>
        <v>39.952032315071953</v>
      </c>
      <c r="E379" s="45">
        <f>ABS(Show!$A$4-D379)/(Show!$A$4/100)</f>
        <v>0.11991921232011649</v>
      </c>
      <c r="F379" s="46">
        <f>Show!$A$4-Calc!L379</f>
        <v>-728</v>
      </c>
      <c r="G379" s="46" t="e">
        <f>MATCH(F379*Calc!$R$12,Calc!$K$1:$K$774,1)</f>
        <v>#N/A</v>
      </c>
      <c r="H379" s="46" t="e">
        <f>INDEX(Calc!$K$1:$K$774,G379)</f>
        <v>#N/A</v>
      </c>
      <c r="I379" s="46" t="e">
        <f>H379+Calc!K379</f>
        <v>#N/A</v>
      </c>
      <c r="J379" s="46" t="e">
        <f>ABS(Show!$A$4-I379)/(Show!$A$4/100)</f>
        <v>#N/A</v>
      </c>
      <c r="K379" s="45">
        <f>INDEX(Calc!L379:P379,Show!$B$4)</f>
        <v>750</v>
      </c>
      <c r="L379" s="46">
        <f t="shared" si="270"/>
        <v>768</v>
      </c>
      <c r="M379" s="46">
        <f>L378</f>
        <v>750</v>
      </c>
      <c r="N379" s="46">
        <f>L378</f>
        <v>750</v>
      </c>
      <c r="O379" s="46">
        <f t="shared" si="271"/>
        <v>820</v>
      </c>
      <c r="P379" s="46">
        <f t="shared" ref="P379" si="292">O370</f>
        <v>680</v>
      </c>
    </row>
    <row r="380" spans="1:16" x14ac:dyDescent="0.25">
      <c r="A380" s="45">
        <f>1/((1/Show!$A$4)-(1/Calc!K380))</f>
        <v>42.25352112676056</v>
      </c>
      <c r="B380" s="45">
        <f>MATCH(A380*Calc!$R$12,Calc!$K$1:$K$774,1)</f>
        <v>260</v>
      </c>
      <c r="C380" s="45">
        <f>INDEX(Calc!$K$1:$K$774,B380)</f>
        <v>42.2</v>
      </c>
      <c r="D380" s="45">
        <f>1/(1/C380+1/Calc!K380)</f>
        <v>39.952032315071953</v>
      </c>
      <c r="E380" s="45">
        <f>ABS(Show!$A$4-D380)/(Show!$A$4/100)</f>
        <v>0.11991921232011649</v>
      </c>
      <c r="F380" s="46">
        <f>Show!$A$4-Calc!L380</f>
        <v>-747</v>
      </c>
      <c r="G380" s="46" t="e">
        <f>MATCH(F380*Calc!$R$12,Calc!$K$1:$K$774,1)</f>
        <v>#N/A</v>
      </c>
      <c r="H380" s="46" t="e">
        <f>INDEX(Calc!$K$1:$K$774,G380)</f>
        <v>#N/A</v>
      </c>
      <c r="I380" s="46" t="e">
        <f>H380+Calc!K380</f>
        <v>#N/A</v>
      </c>
      <c r="J380" s="46" t="e">
        <f>ABS(Show!$A$4-I380)/(Show!$A$4/100)</f>
        <v>#N/A</v>
      </c>
      <c r="K380" s="45">
        <f>INDEX(Calc!L380:P380,Show!$B$4)</f>
        <v>750</v>
      </c>
      <c r="L380" s="46">
        <f t="shared" si="270"/>
        <v>787</v>
      </c>
      <c r="M380" s="46">
        <f>L380</f>
        <v>787</v>
      </c>
      <c r="N380" s="46">
        <f>L378</f>
        <v>750</v>
      </c>
      <c r="O380" s="46">
        <f t="shared" si="271"/>
        <v>820</v>
      </c>
      <c r="P380" s="46">
        <f t="shared" ref="P380" si="293">O370</f>
        <v>680</v>
      </c>
    </row>
    <row r="381" spans="1:16" x14ac:dyDescent="0.25">
      <c r="A381" s="45">
        <f>1/((1/Show!$A$4)-(1/Calc!K381))</f>
        <v>42.038216560509554</v>
      </c>
      <c r="B381" s="45">
        <f>MATCH(A381*Calc!$R$12,Calc!$K$1:$K$774,1)</f>
        <v>260</v>
      </c>
      <c r="C381" s="45">
        <f>INDEX(Calc!$K$1:$K$774,B381)</f>
        <v>42.2</v>
      </c>
      <c r="D381" s="45">
        <f>1/(1/C381+1/Calc!K381)</f>
        <v>40.146448339483399</v>
      </c>
      <c r="E381" s="45">
        <f>ABS(Show!$A$4-D381)/(Show!$A$4/100)</f>
        <v>0.3661208487084977</v>
      </c>
      <c r="F381" s="46">
        <f>Show!$A$4-Calc!L381</f>
        <v>-765.99999999999989</v>
      </c>
      <c r="G381" s="46" t="e">
        <f>MATCH(F381*Calc!$R$12,Calc!$K$1:$K$774,1)</f>
        <v>#N/A</v>
      </c>
      <c r="H381" s="46" t="e">
        <f>INDEX(Calc!$K$1:$K$774,G381)</f>
        <v>#N/A</v>
      </c>
      <c r="I381" s="46" t="e">
        <f>H381+Calc!K381</f>
        <v>#N/A</v>
      </c>
      <c r="J381" s="46" t="e">
        <f>ABS(Show!$A$4-I381)/(Show!$A$4/100)</f>
        <v>#N/A</v>
      </c>
      <c r="K381" s="45">
        <f>INDEX(Calc!L381:P381,Show!$B$4)</f>
        <v>825</v>
      </c>
      <c r="L381" s="46">
        <f t="shared" si="270"/>
        <v>805.99999999999989</v>
      </c>
      <c r="M381" s="46">
        <f>L380</f>
        <v>787</v>
      </c>
      <c r="N381" s="46">
        <f>L382</f>
        <v>825</v>
      </c>
      <c r="O381" s="46">
        <f t="shared" si="271"/>
        <v>820</v>
      </c>
      <c r="P381" s="46">
        <f t="shared" ref="P381" si="294">O370</f>
        <v>680</v>
      </c>
    </row>
    <row r="382" spans="1:16" x14ac:dyDescent="0.25">
      <c r="A382" s="45">
        <f>1/((1/Show!$A$4)-(1/Calc!K382))</f>
        <v>42.038216560509554</v>
      </c>
      <c r="B382" s="45">
        <f>MATCH(A382*Calc!$R$12,Calc!$K$1:$K$774,1)</f>
        <v>260</v>
      </c>
      <c r="C382" s="45">
        <f>INDEX(Calc!$K$1:$K$774,B382)</f>
        <v>42.2</v>
      </c>
      <c r="D382" s="45">
        <f>1/(1/C382+1/Calc!K382)</f>
        <v>40.146448339483399</v>
      </c>
      <c r="E382" s="45">
        <f>ABS(Show!$A$4-D382)/(Show!$A$4/100)</f>
        <v>0.3661208487084977</v>
      </c>
      <c r="F382" s="46">
        <f>Show!$A$4-Calc!L382</f>
        <v>-785</v>
      </c>
      <c r="G382" s="46" t="e">
        <f>MATCH(F382*Calc!$R$12,Calc!$K$1:$K$774,1)</f>
        <v>#N/A</v>
      </c>
      <c r="H382" s="46" t="e">
        <f>INDEX(Calc!$K$1:$K$774,G382)</f>
        <v>#N/A</v>
      </c>
      <c r="I382" s="46" t="e">
        <f>H382+Calc!K382</f>
        <v>#N/A</v>
      </c>
      <c r="J382" s="46" t="e">
        <f>ABS(Show!$A$4-I382)/(Show!$A$4/100)</f>
        <v>#N/A</v>
      </c>
      <c r="K382" s="45">
        <f>INDEX(Calc!L382:P382,Show!$B$4)</f>
        <v>825</v>
      </c>
      <c r="L382" s="46">
        <f t="shared" si="270"/>
        <v>825</v>
      </c>
      <c r="M382" s="46">
        <f>L382</f>
        <v>825</v>
      </c>
      <c r="N382" s="46">
        <f>L382</f>
        <v>825</v>
      </c>
      <c r="O382" s="46">
        <f t="shared" si="271"/>
        <v>820</v>
      </c>
      <c r="P382" s="46">
        <f t="shared" ref="P382" si="295">O386</f>
        <v>1000</v>
      </c>
    </row>
    <row r="383" spans="1:16" x14ac:dyDescent="0.25">
      <c r="A383" s="45">
        <f>1/((1/Show!$A$4)-(1/Calc!K383))</f>
        <v>42.038216560509554</v>
      </c>
      <c r="B383" s="45">
        <f>MATCH(A383*Calc!$R$12,Calc!$K$1:$K$774,1)</f>
        <v>260</v>
      </c>
      <c r="C383" s="45">
        <f>INDEX(Calc!$K$1:$K$774,B383)</f>
        <v>42.2</v>
      </c>
      <c r="D383" s="45">
        <f>1/(1/C383+1/Calc!K383)</f>
        <v>40.146448339483399</v>
      </c>
      <c r="E383" s="45">
        <f>ABS(Show!$A$4-D383)/(Show!$A$4/100)</f>
        <v>0.3661208487084977</v>
      </c>
      <c r="F383" s="46">
        <f>Show!$A$4-Calc!L383</f>
        <v>-805</v>
      </c>
      <c r="G383" s="46" t="e">
        <f>MATCH(F383*Calc!$R$12,Calc!$K$1:$K$774,1)</f>
        <v>#N/A</v>
      </c>
      <c r="H383" s="46" t="e">
        <f>INDEX(Calc!$K$1:$K$774,G383)</f>
        <v>#N/A</v>
      </c>
      <c r="I383" s="46" t="e">
        <f>H383+Calc!K383</f>
        <v>#N/A</v>
      </c>
      <c r="J383" s="46" t="e">
        <f>ABS(Show!$A$4-I383)/(Show!$A$4/100)</f>
        <v>#N/A</v>
      </c>
      <c r="K383" s="45">
        <f>INDEX(Calc!L383:P383,Show!$B$4)</f>
        <v>825</v>
      </c>
      <c r="L383" s="46">
        <f t="shared" si="270"/>
        <v>845</v>
      </c>
      <c r="M383" s="46">
        <f>L382</f>
        <v>825</v>
      </c>
      <c r="N383" s="46">
        <f>L382</f>
        <v>825</v>
      </c>
      <c r="O383" s="46">
        <f t="shared" si="271"/>
        <v>820</v>
      </c>
      <c r="P383" s="46">
        <f t="shared" ref="P383" si="296">O386</f>
        <v>1000</v>
      </c>
    </row>
    <row r="384" spans="1:16" x14ac:dyDescent="0.25">
      <c r="A384" s="45">
        <f>1/((1/Show!$A$4)-(1/Calc!K384))</f>
        <v>42.038216560509554</v>
      </c>
      <c r="B384" s="45">
        <f>MATCH(A384*Calc!$R$12,Calc!$K$1:$K$774,1)</f>
        <v>260</v>
      </c>
      <c r="C384" s="45">
        <f>INDEX(Calc!$K$1:$K$774,B384)</f>
        <v>42.2</v>
      </c>
      <c r="D384" s="45">
        <f>1/(1/C384+1/Calc!K384)</f>
        <v>40.146448339483399</v>
      </c>
      <c r="E384" s="45">
        <f>ABS(Show!$A$4-D384)/(Show!$A$4/100)</f>
        <v>0.3661208487084977</v>
      </c>
      <c r="F384" s="46">
        <f>Show!$A$4-Calc!L384</f>
        <v>-826</v>
      </c>
      <c r="G384" s="46" t="e">
        <f>MATCH(F384*Calc!$R$12,Calc!$K$1:$K$774,1)</f>
        <v>#N/A</v>
      </c>
      <c r="H384" s="46" t="e">
        <f>INDEX(Calc!$K$1:$K$774,G384)</f>
        <v>#N/A</v>
      </c>
      <c r="I384" s="46" t="e">
        <f>H384+Calc!K384</f>
        <v>#N/A</v>
      </c>
      <c r="J384" s="46" t="e">
        <f>ABS(Show!$A$4-I384)/(Show!$A$4/100)</f>
        <v>#N/A</v>
      </c>
      <c r="K384" s="45">
        <f>INDEX(Calc!L384:P384,Show!$B$4)</f>
        <v>825</v>
      </c>
      <c r="L384" s="46">
        <f t="shared" si="270"/>
        <v>866</v>
      </c>
      <c r="M384" s="46">
        <f>L384</f>
        <v>866</v>
      </c>
      <c r="N384" s="46">
        <f>L382</f>
        <v>825</v>
      </c>
      <c r="O384" s="46">
        <f t="shared" si="271"/>
        <v>820</v>
      </c>
      <c r="P384" s="46">
        <f t="shared" ref="P384" si="297">O386</f>
        <v>1000</v>
      </c>
    </row>
    <row r="385" spans="1:18" x14ac:dyDescent="0.25">
      <c r="A385" s="45">
        <f>1/((1/Show!$A$4)-(1/Calc!K385))</f>
        <v>41.841196777905637</v>
      </c>
      <c r="B385" s="45">
        <f>MATCH(A385*Calc!$R$12,Calc!$K$1:$K$774,1)</f>
        <v>260</v>
      </c>
      <c r="C385" s="45">
        <f>INDEX(Calc!$K$1:$K$774,B385)</f>
        <v>42.2</v>
      </c>
      <c r="D385" s="45">
        <f>1/(1/C385+1/Calc!K385)</f>
        <v>40.327796467619848</v>
      </c>
      <c r="E385" s="45">
        <f>ABS(Show!$A$4-D385)/(Show!$A$4/100)</f>
        <v>0.81949116904961983</v>
      </c>
      <c r="F385" s="46">
        <f>Show!$A$4-Calc!L385</f>
        <v>-847</v>
      </c>
      <c r="G385" s="46" t="e">
        <f>MATCH(F385*Calc!$R$12,Calc!$K$1:$K$774,1)</f>
        <v>#N/A</v>
      </c>
      <c r="H385" s="46" t="e">
        <f>INDEX(Calc!$K$1:$K$774,G385)</f>
        <v>#N/A</v>
      </c>
      <c r="I385" s="46" t="e">
        <f>H385+Calc!K385</f>
        <v>#N/A</v>
      </c>
      <c r="J385" s="46" t="e">
        <f>ABS(Show!$A$4-I385)/(Show!$A$4/100)</f>
        <v>#N/A</v>
      </c>
      <c r="K385" s="45">
        <f>INDEX(Calc!L385:P385,Show!$B$4)</f>
        <v>909</v>
      </c>
      <c r="L385" s="46">
        <f t="shared" si="270"/>
        <v>887</v>
      </c>
      <c r="M385" s="46">
        <f>L384</f>
        <v>866</v>
      </c>
      <c r="N385" s="46">
        <f>L386</f>
        <v>909</v>
      </c>
      <c r="O385" s="46">
        <f t="shared" si="271"/>
        <v>820</v>
      </c>
      <c r="P385" s="46">
        <f t="shared" ref="P385" si="298">O386</f>
        <v>1000</v>
      </c>
    </row>
    <row r="386" spans="1:18" x14ac:dyDescent="0.25">
      <c r="A386" s="45">
        <f>1/((1/Show!$A$4)-(1/Calc!K386))</f>
        <v>41.841196777905637</v>
      </c>
      <c r="B386" s="45">
        <f>MATCH(A386*Calc!$R$12,Calc!$K$1:$K$774,1)</f>
        <v>260</v>
      </c>
      <c r="C386" s="45">
        <f>INDEX(Calc!$K$1:$K$774,B386)</f>
        <v>42.2</v>
      </c>
      <c r="D386" s="45">
        <f>1/(1/C386+1/Calc!K386)</f>
        <v>40.327796467619848</v>
      </c>
      <c r="E386" s="45">
        <f>ABS(Show!$A$4-D386)/(Show!$A$4/100)</f>
        <v>0.81949116904961983</v>
      </c>
      <c r="F386" s="46">
        <f>Show!$A$4-Calc!L386</f>
        <v>-869</v>
      </c>
      <c r="G386" s="46" t="e">
        <f>MATCH(F386*Calc!$R$12,Calc!$K$1:$K$774,1)</f>
        <v>#N/A</v>
      </c>
      <c r="H386" s="46" t="e">
        <f>INDEX(Calc!$K$1:$K$774,G386)</f>
        <v>#N/A</v>
      </c>
      <c r="I386" s="46" t="e">
        <f>H386+Calc!K386</f>
        <v>#N/A</v>
      </c>
      <c r="J386" s="46" t="e">
        <f>ABS(Show!$A$4-I386)/(Show!$A$4/100)</f>
        <v>#N/A</v>
      </c>
      <c r="K386" s="45">
        <f>INDEX(Calc!L386:P386,Show!$B$4)</f>
        <v>909</v>
      </c>
      <c r="L386" s="46">
        <f t="shared" si="270"/>
        <v>909</v>
      </c>
      <c r="M386" s="46">
        <f>L386</f>
        <v>909</v>
      </c>
      <c r="N386" s="46">
        <f>L386</f>
        <v>909</v>
      </c>
      <c r="O386" s="46">
        <f t="shared" si="271"/>
        <v>1000</v>
      </c>
      <c r="P386" s="46">
        <f t="shared" ref="P386" si="299">O386</f>
        <v>1000</v>
      </c>
    </row>
    <row r="387" spans="1:18" x14ac:dyDescent="0.25">
      <c r="A387" s="45">
        <f>1/((1/Show!$A$4)-(1/Calc!K387))</f>
        <v>41.841196777905637</v>
      </c>
      <c r="B387" s="45">
        <f>MATCH(A387*Calc!$R$12,Calc!$K$1:$K$774,1)</f>
        <v>260</v>
      </c>
      <c r="C387" s="45">
        <f>INDEX(Calc!$K$1:$K$774,B387)</f>
        <v>42.2</v>
      </c>
      <c r="D387" s="45">
        <f>1/(1/C387+1/Calc!K387)</f>
        <v>40.327796467619848</v>
      </c>
      <c r="E387" s="45">
        <f>ABS(Show!$A$4-D387)/(Show!$A$4/100)</f>
        <v>0.81949116904961983</v>
      </c>
      <c r="F387" s="46">
        <f>Show!$A$4-Calc!L387</f>
        <v>-890.99999999999989</v>
      </c>
      <c r="G387" s="46" t="e">
        <f>MATCH(F387*Calc!$R$12,Calc!$K$1:$K$774,1)</f>
        <v>#N/A</v>
      </c>
      <c r="H387" s="46" t="e">
        <f>INDEX(Calc!$K$1:$K$774,G387)</f>
        <v>#N/A</v>
      </c>
      <c r="I387" s="46" t="e">
        <f>H387+Calc!K387</f>
        <v>#N/A</v>
      </c>
      <c r="J387" s="46" t="e">
        <f>ABS(Show!$A$4-I387)/(Show!$A$4/100)</f>
        <v>#N/A</v>
      </c>
      <c r="K387" s="45">
        <f>INDEX(Calc!L387:P387,Show!$B$4)</f>
        <v>909</v>
      </c>
      <c r="L387" s="46">
        <f t="shared" si="270"/>
        <v>930.99999999999989</v>
      </c>
      <c r="M387" s="46">
        <f>L386</f>
        <v>909</v>
      </c>
      <c r="N387" s="46">
        <f>L386</f>
        <v>909</v>
      </c>
      <c r="O387" s="46">
        <f t="shared" si="271"/>
        <v>1000</v>
      </c>
      <c r="P387" s="46">
        <f t="shared" ref="P387" si="300">O386</f>
        <v>1000</v>
      </c>
    </row>
    <row r="388" spans="1:18" x14ac:dyDescent="0.25">
      <c r="A388" s="45">
        <f>1/((1/Show!$A$4)-(1/Calc!K388))</f>
        <v>41.841196777905637</v>
      </c>
      <c r="B388" s="45">
        <f>MATCH(A388*Calc!$R$12,Calc!$K$1:$K$774,1)</f>
        <v>260</v>
      </c>
      <c r="C388" s="45">
        <f>INDEX(Calc!$K$1:$K$774,B388)</f>
        <v>42.2</v>
      </c>
      <c r="D388" s="45">
        <f>1/(1/C388+1/Calc!K388)</f>
        <v>40.327796467619848</v>
      </c>
      <c r="E388" s="45">
        <f>ABS(Show!$A$4-D388)/(Show!$A$4/100)</f>
        <v>0.81949116904961983</v>
      </c>
      <c r="F388" s="46">
        <f>Show!$A$4-Calc!L388</f>
        <v>-913</v>
      </c>
      <c r="G388" s="46" t="e">
        <f>MATCH(F388*Calc!$R$12,Calc!$K$1:$K$774,1)</f>
        <v>#N/A</v>
      </c>
      <c r="H388" s="46" t="e">
        <f>INDEX(Calc!$K$1:$K$774,G388)</f>
        <v>#N/A</v>
      </c>
      <c r="I388" s="46" t="e">
        <f>H388+Calc!K388</f>
        <v>#N/A</v>
      </c>
      <c r="J388" s="46" t="e">
        <f>ABS(Show!$A$4-I388)/(Show!$A$4/100)</f>
        <v>#N/A</v>
      </c>
      <c r="K388" s="45">
        <f>INDEX(Calc!L388:P388,Show!$B$4)</f>
        <v>909</v>
      </c>
      <c r="L388" s="46">
        <f t="shared" si="270"/>
        <v>953</v>
      </c>
      <c r="M388" s="46">
        <f>L388</f>
        <v>953</v>
      </c>
      <c r="N388" s="46">
        <f>L386</f>
        <v>909</v>
      </c>
      <c r="O388" s="46">
        <f t="shared" si="271"/>
        <v>1000</v>
      </c>
      <c r="P388" s="46">
        <f t="shared" ref="P388" si="301">O386</f>
        <v>1000</v>
      </c>
    </row>
    <row r="389" spans="1:18" s="43" customFormat="1" ht="15.75" thickBot="1" x14ac:dyDescent="0.3">
      <c r="A389" s="47">
        <f>1/((1/Show!$A$4)-(1/Calc!K389))</f>
        <v>41.666666666666664</v>
      </c>
      <c r="B389" s="47">
        <f>MATCH(A389*Calc!$R$12,Calc!$K$1:$K$774,1)</f>
        <v>260</v>
      </c>
      <c r="C389" s="47">
        <f>INDEX(Calc!$K$1:$K$774,B389)</f>
        <v>42.2</v>
      </c>
      <c r="D389" s="47">
        <f>1/(1/C389+1/Calc!K389)</f>
        <v>40.491268470543083</v>
      </c>
      <c r="E389" s="47">
        <f>ABS(Show!$A$4-D389)/(Show!$A$4/100)</f>
        <v>1.2281711763577086</v>
      </c>
      <c r="F389" s="48">
        <f>Show!$A$4-Calc!L389</f>
        <v>-936</v>
      </c>
      <c r="G389" s="48" t="e">
        <f>MATCH(F389*Calc!$R$12,Calc!$K$1:$K$774,1)</f>
        <v>#N/A</v>
      </c>
      <c r="H389" s="48" t="e">
        <f>INDEX(Calc!$K$1:$K$774,G389)</f>
        <v>#N/A</v>
      </c>
      <c r="I389" s="48" t="e">
        <f>H389+Calc!K389</f>
        <v>#N/A</v>
      </c>
      <c r="J389" s="48" t="e">
        <f>ABS(Show!$A$4-I389)/(Show!$A$4/100)</f>
        <v>#N/A</v>
      </c>
      <c r="K389" s="47">
        <f>INDEX(Calc!L389:P389,Show!$B$4)</f>
        <v>1000</v>
      </c>
      <c r="L389" s="48">
        <f t="shared" si="270"/>
        <v>976</v>
      </c>
      <c r="M389" s="48">
        <f>L388</f>
        <v>953</v>
      </c>
      <c r="N389" s="48">
        <f>L390</f>
        <v>1000</v>
      </c>
      <c r="O389" s="48">
        <f t="shared" si="271"/>
        <v>1000</v>
      </c>
      <c r="P389" s="48">
        <f t="shared" ref="P389" si="302">O386</f>
        <v>1000</v>
      </c>
      <c r="Q389" s="47"/>
      <c r="R389" s="47"/>
    </row>
    <row r="390" spans="1:18" ht="15.75" thickTop="1" x14ac:dyDescent="0.25">
      <c r="A390" s="45">
        <f>1/((1/Show!$A$4)-(1/Calc!K390))</f>
        <v>41.666666666666664</v>
      </c>
      <c r="B390" s="45">
        <f>MATCH(A390*Calc!$R$12,Calc!$K$1:$K$774,1)</f>
        <v>260</v>
      </c>
      <c r="C390" s="45">
        <f>INDEX(Calc!$K$1:$K$774,B390)</f>
        <v>42.2</v>
      </c>
      <c r="D390" s="45">
        <f>1/(1/C390+1/Calc!K390)</f>
        <v>40.491268470543083</v>
      </c>
      <c r="E390" s="45">
        <f>ABS(Show!$A$4-D390)/(Show!$A$4/100)</f>
        <v>1.2281711763577086</v>
      </c>
      <c r="F390" s="46">
        <f>Show!$A$4-Calc!L390</f>
        <v>-960</v>
      </c>
      <c r="G390" s="46" t="e">
        <f>MATCH(F390*Calc!$R$12,Calc!$K$1:$K$774,1)</f>
        <v>#N/A</v>
      </c>
      <c r="H390" s="46" t="e">
        <f>INDEX(Calc!$K$1:$K$774,G390)</f>
        <v>#N/A</v>
      </c>
      <c r="I390" s="46" t="e">
        <f>H390+Calc!K390</f>
        <v>#N/A</v>
      </c>
      <c r="J390" s="46" t="e">
        <f>ABS(Show!$A$4-I390)/(Show!$A$4/100)</f>
        <v>#N/A</v>
      </c>
      <c r="K390" s="45">
        <f>INDEX(Calc!L390:P390,Show!$B$4)</f>
        <v>1000</v>
      </c>
      <c r="L390" s="46">
        <f>L6*10000</f>
        <v>1000</v>
      </c>
      <c r="M390" s="46">
        <f>L390</f>
        <v>1000</v>
      </c>
      <c r="N390" s="46">
        <f>L390</f>
        <v>1000</v>
      </c>
      <c r="O390" s="46">
        <f>O6*10000</f>
        <v>1000</v>
      </c>
      <c r="P390" s="46">
        <f t="shared" ref="P390" si="303">O390</f>
        <v>1000</v>
      </c>
    </row>
    <row r="391" spans="1:18" x14ac:dyDescent="0.25">
      <c r="A391" s="45">
        <f>1/((1/Show!$A$4)-(1/Calc!K391))</f>
        <v>41.666666666666664</v>
      </c>
      <c r="B391" s="45">
        <f>MATCH(A391*Calc!$R$12,Calc!$K$1:$K$774,1)</f>
        <v>260</v>
      </c>
      <c r="C391" s="45">
        <f>INDEX(Calc!$K$1:$K$774,B391)</f>
        <v>42.2</v>
      </c>
      <c r="D391" s="45">
        <f>1/(1/C391+1/Calc!K391)</f>
        <v>40.491268470543083</v>
      </c>
      <c r="E391" s="45">
        <f>ABS(Show!$A$4-D391)/(Show!$A$4/100)</f>
        <v>1.2281711763577086</v>
      </c>
      <c r="F391" s="46">
        <f>Show!$A$4-Calc!L391</f>
        <v>-979.99999999999989</v>
      </c>
      <c r="G391" s="46" t="e">
        <f>MATCH(F391*Calc!$R$12,Calc!$K$1:$K$774,1)</f>
        <v>#N/A</v>
      </c>
      <c r="H391" s="46" t="e">
        <f>INDEX(Calc!$K$1:$K$774,G391)</f>
        <v>#N/A</v>
      </c>
      <c r="I391" s="46" t="e">
        <f>H391+Calc!K391</f>
        <v>#N/A</v>
      </c>
      <c r="J391" s="46" t="e">
        <f>ABS(Show!$A$4-I391)/(Show!$A$4/100)</f>
        <v>#N/A</v>
      </c>
      <c r="K391" s="45">
        <f>INDEX(Calc!L391:P391,Show!$B$4)</f>
        <v>1000</v>
      </c>
      <c r="L391" s="46">
        <f>L7*10000</f>
        <v>1019.9999999999999</v>
      </c>
      <c r="M391" s="46">
        <f>L390</f>
        <v>1000</v>
      </c>
      <c r="N391" s="46">
        <f>L390</f>
        <v>1000</v>
      </c>
      <c r="O391" s="46">
        <f t="shared" ref="O391:O454" si="304">O7*10000</f>
        <v>1000</v>
      </c>
      <c r="P391" s="46">
        <f t="shared" ref="P391" si="305">O390</f>
        <v>1000</v>
      </c>
    </row>
    <row r="392" spans="1:18" x14ac:dyDescent="0.25">
      <c r="A392" s="45">
        <f>1/((1/Show!$A$4)-(1/Calc!K392))</f>
        <v>41.666666666666664</v>
      </c>
      <c r="B392" s="45">
        <f>MATCH(A392*Calc!$R$12,Calc!$K$1:$K$774,1)</f>
        <v>260</v>
      </c>
      <c r="C392" s="45">
        <f>INDEX(Calc!$K$1:$K$774,B392)</f>
        <v>42.2</v>
      </c>
      <c r="D392" s="45">
        <f>1/(1/C392+1/Calc!K392)</f>
        <v>40.491268470543083</v>
      </c>
      <c r="E392" s="45">
        <f>ABS(Show!$A$4-D392)/(Show!$A$4/100)</f>
        <v>1.2281711763577086</v>
      </c>
      <c r="F392" s="46">
        <f>Show!$A$4-Calc!L392</f>
        <v>-1010</v>
      </c>
      <c r="G392" s="46" t="e">
        <f>MATCH(F392*Calc!$R$12,Calc!$K$1:$K$774,1)</f>
        <v>#N/A</v>
      </c>
      <c r="H392" s="46" t="e">
        <f>INDEX(Calc!$K$1:$K$774,G392)</f>
        <v>#N/A</v>
      </c>
      <c r="I392" s="46" t="e">
        <f>H392+Calc!K392</f>
        <v>#N/A</v>
      </c>
      <c r="J392" s="46" t="e">
        <f>ABS(Show!$A$4-I392)/(Show!$A$4/100)</f>
        <v>#N/A</v>
      </c>
      <c r="K392" s="45">
        <f>INDEX(Calc!L392:P392,Show!$B$4)</f>
        <v>1000</v>
      </c>
      <c r="L392" s="46">
        <f>L8*10000</f>
        <v>1050</v>
      </c>
      <c r="M392" s="46">
        <f>L392</f>
        <v>1050</v>
      </c>
      <c r="N392" s="46">
        <f>L390</f>
        <v>1000</v>
      </c>
      <c r="O392" s="46">
        <f t="shared" si="304"/>
        <v>1000</v>
      </c>
      <c r="P392" s="46">
        <f t="shared" ref="P392" si="306">O390</f>
        <v>1000</v>
      </c>
    </row>
    <row r="393" spans="1:18" x14ac:dyDescent="0.25">
      <c r="A393" s="45">
        <f>1/((1/Show!$A$4)-(1/Calc!K393))</f>
        <v>41.509433962264147</v>
      </c>
      <c r="B393" s="45">
        <f>MATCH(A393*Calc!$R$12,Calc!$K$1:$K$774,1)</f>
        <v>260</v>
      </c>
      <c r="C393" s="45">
        <f>INDEX(Calc!$K$1:$K$774,B393)</f>
        <v>42.2</v>
      </c>
      <c r="D393" s="45">
        <f>1/(1/C393+1/Calc!K393)</f>
        <v>40.640868499387153</v>
      </c>
      <c r="E393" s="45">
        <f>ABS(Show!$A$4-D393)/(Show!$A$4/100)</f>
        <v>1.6021712484678829</v>
      </c>
      <c r="F393" s="46">
        <f>Show!$A$4-Calc!L393</f>
        <v>-1030</v>
      </c>
      <c r="G393" s="46" t="e">
        <f>MATCH(F393*Calc!$R$12,Calc!$K$1:$K$774,1)</f>
        <v>#N/A</v>
      </c>
      <c r="H393" s="46" t="e">
        <f>INDEX(Calc!$K$1:$K$774,G393)</f>
        <v>#N/A</v>
      </c>
      <c r="I393" s="46" t="e">
        <f>H393+Calc!K393</f>
        <v>#N/A</v>
      </c>
      <c r="J393" s="46" t="e">
        <f>ABS(Show!$A$4-I393)/(Show!$A$4/100)</f>
        <v>#N/A</v>
      </c>
      <c r="K393" s="45">
        <f>INDEX(Calc!L393:P393,Show!$B$4)</f>
        <v>1100</v>
      </c>
      <c r="L393" s="46">
        <f>L9*10000</f>
        <v>1070</v>
      </c>
      <c r="M393" s="46">
        <f>L392</f>
        <v>1050</v>
      </c>
      <c r="N393" s="46">
        <f>L394</f>
        <v>1100</v>
      </c>
      <c r="O393" s="46">
        <f t="shared" si="304"/>
        <v>1000</v>
      </c>
      <c r="P393" s="46">
        <f t="shared" ref="P393" si="307">O390</f>
        <v>1000</v>
      </c>
    </row>
    <row r="394" spans="1:18" x14ac:dyDescent="0.25">
      <c r="A394" s="45">
        <f>1/((1/Show!$A$4)-(1/Calc!K394))</f>
        <v>41.509433962264147</v>
      </c>
      <c r="B394" s="45">
        <f>MATCH(A394*Calc!$R$12,Calc!$K$1:$K$774,1)</f>
        <v>260</v>
      </c>
      <c r="C394" s="45">
        <f>INDEX(Calc!$K$1:$K$774,B394)</f>
        <v>42.2</v>
      </c>
      <c r="D394" s="45">
        <f>1/(1/C394+1/Calc!K394)</f>
        <v>40.640868499387153</v>
      </c>
      <c r="E394" s="45">
        <f>ABS(Show!$A$4-D394)/(Show!$A$4/100)</f>
        <v>1.6021712484678829</v>
      </c>
      <c r="F394" s="46">
        <f>Show!$A$4-Calc!L394</f>
        <v>-1060</v>
      </c>
      <c r="G394" s="46" t="e">
        <f>MATCH(F394*Calc!$R$12,Calc!$K$1:$K$774,1)</f>
        <v>#N/A</v>
      </c>
      <c r="H394" s="46" t="e">
        <f>INDEX(Calc!$K$1:$K$774,G394)</f>
        <v>#N/A</v>
      </c>
      <c r="I394" s="46" t="e">
        <f>H394+Calc!K394</f>
        <v>#N/A</v>
      </c>
      <c r="J394" s="46" t="e">
        <f>ABS(Show!$A$4-I394)/(Show!$A$4/100)</f>
        <v>#N/A</v>
      </c>
      <c r="K394" s="45">
        <f>INDEX(Calc!L394:P394,Show!$B$4)</f>
        <v>1100</v>
      </c>
      <c r="L394" s="46">
        <f t="shared" ref="L394:L457" si="308">L10*10000</f>
        <v>1100</v>
      </c>
      <c r="M394" s="46">
        <f>L394</f>
        <v>1100</v>
      </c>
      <c r="N394" s="46">
        <f>L394</f>
        <v>1100</v>
      </c>
      <c r="O394" s="46">
        <f t="shared" si="304"/>
        <v>1200</v>
      </c>
      <c r="P394" s="46">
        <f t="shared" ref="P394" si="309">O390</f>
        <v>1000</v>
      </c>
    </row>
    <row r="395" spans="1:18" x14ac:dyDescent="0.25">
      <c r="A395" s="45">
        <f>1/((1/Show!$A$4)-(1/Calc!K395))</f>
        <v>41.509433962264147</v>
      </c>
      <c r="B395" s="45">
        <f>MATCH(A395*Calc!$R$12,Calc!$K$1:$K$774,1)</f>
        <v>260</v>
      </c>
      <c r="C395" s="45">
        <f>INDEX(Calc!$K$1:$K$774,B395)</f>
        <v>42.2</v>
      </c>
      <c r="D395" s="45">
        <f>1/(1/C395+1/Calc!K395)</f>
        <v>40.640868499387153</v>
      </c>
      <c r="E395" s="45">
        <f>ABS(Show!$A$4-D395)/(Show!$A$4/100)</f>
        <v>1.6021712484678829</v>
      </c>
      <c r="F395" s="46">
        <f>Show!$A$4-Calc!L395</f>
        <v>-1090</v>
      </c>
      <c r="G395" s="46" t="e">
        <f>MATCH(F395*Calc!$R$12,Calc!$K$1:$K$774,1)</f>
        <v>#N/A</v>
      </c>
      <c r="H395" s="46" t="e">
        <f>INDEX(Calc!$K$1:$K$774,G395)</f>
        <v>#N/A</v>
      </c>
      <c r="I395" s="46" t="e">
        <f>H395+Calc!K395</f>
        <v>#N/A</v>
      </c>
      <c r="J395" s="46" t="e">
        <f>ABS(Show!$A$4-I395)/(Show!$A$4/100)</f>
        <v>#N/A</v>
      </c>
      <c r="K395" s="45">
        <f>INDEX(Calc!L395:P395,Show!$B$4)</f>
        <v>1100</v>
      </c>
      <c r="L395" s="46">
        <f t="shared" si="308"/>
        <v>1130</v>
      </c>
      <c r="M395" s="46">
        <f>L394</f>
        <v>1100</v>
      </c>
      <c r="N395" s="46">
        <f>L394</f>
        <v>1100</v>
      </c>
      <c r="O395" s="46">
        <f t="shared" si="304"/>
        <v>1200</v>
      </c>
      <c r="P395" s="46">
        <f t="shared" ref="P395" si="310">O390</f>
        <v>1000</v>
      </c>
    </row>
    <row r="396" spans="1:18" x14ac:dyDescent="0.25">
      <c r="A396" s="45">
        <f>1/((1/Show!$A$4)-(1/Calc!K396))</f>
        <v>41.509433962264147</v>
      </c>
      <c r="B396" s="45">
        <f>MATCH(A396*Calc!$R$12,Calc!$K$1:$K$774,1)</f>
        <v>260</v>
      </c>
      <c r="C396" s="45">
        <f>INDEX(Calc!$K$1:$K$774,B396)</f>
        <v>42.2</v>
      </c>
      <c r="D396" s="45">
        <f>1/(1/C396+1/Calc!K396)</f>
        <v>40.640868499387153</v>
      </c>
      <c r="E396" s="45">
        <f>ABS(Show!$A$4-D396)/(Show!$A$4/100)</f>
        <v>1.6021712484678829</v>
      </c>
      <c r="F396" s="46">
        <f>Show!$A$4-Calc!L396</f>
        <v>-1110</v>
      </c>
      <c r="G396" s="46" t="e">
        <f>MATCH(F396*Calc!$R$12,Calc!$K$1:$K$774,1)</f>
        <v>#N/A</v>
      </c>
      <c r="H396" s="46" t="e">
        <f>INDEX(Calc!$K$1:$K$774,G396)</f>
        <v>#N/A</v>
      </c>
      <c r="I396" s="46" t="e">
        <f>H396+Calc!K396</f>
        <v>#N/A</v>
      </c>
      <c r="J396" s="46" t="e">
        <f>ABS(Show!$A$4-I396)/(Show!$A$4/100)</f>
        <v>#N/A</v>
      </c>
      <c r="K396" s="45">
        <f>INDEX(Calc!L396:P396,Show!$B$4)</f>
        <v>1100</v>
      </c>
      <c r="L396" s="46">
        <f t="shared" si="308"/>
        <v>1150</v>
      </c>
      <c r="M396" s="46">
        <f>L396</f>
        <v>1150</v>
      </c>
      <c r="N396" s="46">
        <f>L394</f>
        <v>1100</v>
      </c>
      <c r="O396" s="46">
        <f t="shared" si="304"/>
        <v>1200</v>
      </c>
      <c r="P396" s="46">
        <f t="shared" ref="P396" si="311">O390</f>
        <v>1000</v>
      </c>
    </row>
    <row r="397" spans="1:18" x14ac:dyDescent="0.25">
      <c r="A397" s="45">
        <f>1/((1/Show!$A$4)-(1/Calc!K397))</f>
        <v>41.367521367521363</v>
      </c>
      <c r="B397" s="45">
        <f>MATCH(A397*Calc!$R$12,Calc!$K$1:$K$774,1)</f>
        <v>260</v>
      </c>
      <c r="C397" s="45">
        <f>INDEX(Calc!$K$1:$K$774,B397)</f>
        <v>42.2</v>
      </c>
      <c r="D397" s="45">
        <f>1/(1/C397+1/Calc!K397)</f>
        <v>40.777831017409362</v>
      </c>
      <c r="E397" s="45">
        <f>ABS(Show!$A$4-D397)/(Show!$A$4/100)</f>
        <v>1.9445775435234047</v>
      </c>
      <c r="F397" s="46">
        <f>Show!$A$4-Calc!L397</f>
        <v>-1140</v>
      </c>
      <c r="G397" s="46" t="e">
        <f>MATCH(F397*Calc!$R$12,Calc!$K$1:$K$774,1)</f>
        <v>#N/A</v>
      </c>
      <c r="H397" s="46" t="e">
        <f>INDEX(Calc!$K$1:$K$774,G397)</f>
        <v>#N/A</v>
      </c>
      <c r="I397" s="46" t="e">
        <f>H397+Calc!K397</f>
        <v>#N/A</v>
      </c>
      <c r="J397" s="46" t="e">
        <f>ABS(Show!$A$4-I397)/(Show!$A$4/100)</f>
        <v>#N/A</v>
      </c>
      <c r="K397" s="45">
        <f>INDEX(Calc!L397:P397,Show!$B$4)</f>
        <v>1210</v>
      </c>
      <c r="L397" s="46">
        <f t="shared" si="308"/>
        <v>1180</v>
      </c>
      <c r="M397" s="46">
        <f>L396</f>
        <v>1150</v>
      </c>
      <c r="N397" s="46">
        <f>L398</f>
        <v>1210</v>
      </c>
      <c r="O397" s="46">
        <f t="shared" si="304"/>
        <v>1200</v>
      </c>
      <c r="P397" s="46">
        <f t="shared" ref="P397" si="312">O390</f>
        <v>1000</v>
      </c>
    </row>
    <row r="398" spans="1:18" x14ac:dyDescent="0.25">
      <c r="A398" s="45">
        <f>1/((1/Show!$A$4)-(1/Calc!K398))</f>
        <v>41.367521367521363</v>
      </c>
      <c r="B398" s="45">
        <f>MATCH(A398*Calc!$R$12,Calc!$K$1:$K$774,1)</f>
        <v>260</v>
      </c>
      <c r="C398" s="45">
        <f>INDEX(Calc!$K$1:$K$774,B398)</f>
        <v>42.2</v>
      </c>
      <c r="D398" s="45">
        <f>1/(1/C398+1/Calc!K398)</f>
        <v>40.777831017409362</v>
      </c>
      <c r="E398" s="45">
        <f>ABS(Show!$A$4-D398)/(Show!$A$4/100)</f>
        <v>1.9445775435234047</v>
      </c>
      <c r="F398" s="46">
        <f>Show!$A$4-Calc!L398</f>
        <v>-1170</v>
      </c>
      <c r="G398" s="46" t="e">
        <f>MATCH(F398*Calc!$R$12,Calc!$K$1:$K$774,1)</f>
        <v>#N/A</v>
      </c>
      <c r="H398" s="46" t="e">
        <f>INDEX(Calc!$K$1:$K$774,G398)</f>
        <v>#N/A</v>
      </c>
      <c r="I398" s="46" t="e">
        <f>H398+Calc!K398</f>
        <v>#N/A</v>
      </c>
      <c r="J398" s="46" t="e">
        <f>ABS(Show!$A$4-I398)/(Show!$A$4/100)</f>
        <v>#N/A</v>
      </c>
      <c r="K398" s="45">
        <f>INDEX(Calc!L398:P398,Show!$B$4)</f>
        <v>1210</v>
      </c>
      <c r="L398" s="46">
        <f t="shared" si="308"/>
        <v>1210</v>
      </c>
      <c r="M398" s="46">
        <f>L398</f>
        <v>1210</v>
      </c>
      <c r="N398" s="46">
        <f>L398</f>
        <v>1210</v>
      </c>
      <c r="O398" s="46">
        <f t="shared" si="304"/>
        <v>1200</v>
      </c>
      <c r="P398" s="46">
        <f t="shared" ref="P398" si="313">O402</f>
        <v>1500</v>
      </c>
    </row>
    <row r="399" spans="1:18" x14ac:dyDescent="0.25">
      <c r="A399" s="45">
        <f>1/((1/Show!$A$4)-(1/Calc!K399))</f>
        <v>41.367521367521363</v>
      </c>
      <c r="B399" s="45">
        <f>MATCH(A399*Calc!$R$12,Calc!$K$1:$K$774,1)</f>
        <v>260</v>
      </c>
      <c r="C399" s="45">
        <f>INDEX(Calc!$K$1:$K$774,B399)</f>
        <v>42.2</v>
      </c>
      <c r="D399" s="45">
        <f>1/(1/C399+1/Calc!K399)</f>
        <v>40.777831017409362</v>
      </c>
      <c r="E399" s="45">
        <f>ABS(Show!$A$4-D399)/(Show!$A$4/100)</f>
        <v>1.9445775435234047</v>
      </c>
      <c r="F399" s="46">
        <f>Show!$A$4-Calc!L399</f>
        <v>-1200</v>
      </c>
      <c r="G399" s="46" t="e">
        <f>MATCH(F399*Calc!$R$12,Calc!$K$1:$K$774,1)</f>
        <v>#N/A</v>
      </c>
      <c r="H399" s="46" t="e">
        <f>INDEX(Calc!$K$1:$K$774,G399)</f>
        <v>#N/A</v>
      </c>
      <c r="I399" s="46" t="e">
        <f>H399+Calc!K399</f>
        <v>#N/A</v>
      </c>
      <c r="J399" s="46" t="e">
        <f>ABS(Show!$A$4-I399)/(Show!$A$4/100)</f>
        <v>#N/A</v>
      </c>
      <c r="K399" s="45">
        <f>INDEX(Calc!L399:P399,Show!$B$4)</f>
        <v>1210</v>
      </c>
      <c r="L399" s="46">
        <f t="shared" si="308"/>
        <v>1240</v>
      </c>
      <c r="M399" s="46">
        <f>L398</f>
        <v>1210</v>
      </c>
      <c r="N399" s="46">
        <f>L398</f>
        <v>1210</v>
      </c>
      <c r="O399" s="46">
        <f t="shared" si="304"/>
        <v>1200</v>
      </c>
      <c r="P399" s="46">
        <f t="shared" ref="P399" si="314">O402</f>
        <v>1500</v>
      </c>
    </row>
    <row r="400" spans="1:18" x14ac:dyDescent="0.25">
      <c r="A400" s="45">
        <f>1/((1/Show!$A$4)-(1/Calc!K400))</f>
        <v>41.367521367521363</v>
      </c>
      <c r="B400" s="45">
        <f>MATCH(A400*Calc!$R$12,Calc!$K$1:$K$774,1)</f>
        <v>260</v>
      </c>
      <c r="C400" s="45">
        <f>INDEX(Calc!$K$1:$K$774,B400)</f>
        <v>42.2</v>
      </c>
      <c r="D400" s="45">
        <f>1/(1/C400+1/Calc!K400)</f>
        <v>40.777831017409362</v>
      </c>
      <c r="E400" s="45">
        <f>ABS(Show!$A$4-D400)/(Show!$A$4/100)</f>
        <v>1.9445775435234047</v>
      </c>
      <c r="F400" s="46">
        <f>Show!$A$4-Calc!L400</f>
        <v>-1230</v>
      </c>
      <c r="G400" s="46" t="e">
        <f>MATCH(F400*Calc!$R$12,Calc!$K$1:$K$774,1)</f>
        <v>#N/A</v>
      </c>
      <c r="H400" s="46" t="e">
        <f>INDEX(Calc!$K$1:$K$774,G400)</f>
        <v>#N/A</v>
      </c>
      <c r="I400" s="46" t="e">
        <f>H400+Calc!K400</f>
        <v>#N/A</v>
      </c>
      <c r="J400" s="46" t="e">
        <f>ABS(Show!$A$4-I400)/(Show!$A$4/100)</f>
        <v>#N/A</v>
      </c>
      <c r="K400" s="45">
        <f>INDEX(Calc!L400:P400,Show!$B$4)</f>
        <v>1210</v>
      </c>
      <c r="L400" s="46">
        <f t="shared" si="308"/>
        <v>1270</v>
      </c>
      <c r="M400" s="46">
        <f>L400</f>
        <v>1270</v>
      </c>
      <c r="N400" s="46">
        <f>L398</f>
        <v>1210</v>
      </c>
      <c r="O400" s="46">
        <f t="shared" si="304"/>
        <v>1200</v>
      </c>
      <c r="P400" s="46">
        <f t="shared" ref="P400" si="315">O402</f>
        <v>1500</v>
      </c>
    </row>
    <row r="401" spans="1:16" x14ac:dyDescent="0.25">
      <c r="A401" s="45">
        <f>1/((1/Show!$A$4)-(1/Calc!K401))</f>
        <v>41.240310077519382</v>
      </c>
      <c r="B401" s="45">
        <f>MATCH(A401*Calc!$R$12,Calc!$K$1:$K$774,1)</f>
        <v>260</v>
      </c>
      <c r="C401" s="45">
        <f>INDEX(Calc!$K$1:$K$774,B401)</f>
        <v>42.2</v>
      </c>
      <c r="D401" s="45">
        <f>1/(1/C401+1/Calc!K401)</f>
        <v>40.902200845357818</v>
      </c>
      <c r="E401" s="45">
        <f>ABS(Show!$A$4-D401)/(Show!$A$4/100)</f>
        <v>2.2555021133945452</v>
      </c>
      <c r="F401" s="46">
        <f>Show!$A$4-Calc!L401</f>
        <v>-1260</v>
      </c>
      <c r="G401" s="46" t="e">
        <f>MATCH(F401*Calc!$R$12,Calc!$K$1:$K$774,1)</f>
        <v>#N/A</v>
      </c>
      <c r="H401" s="46" t="e">
        <f>INDEX(Calc!$K$1:$K$774,G401)</f>
        <v>#N/A</v>
      </c>
      <c r="I401" s="46" t="e">
        <f>H401+Calc!K401</f>
        <v>#N/A</v>
      </c>
      <c r="J401" s="46" t="e">
        <f>ABS(Show!$A$4-I401)/(Show!$A$4/100)</f>
        <v>#N/A</v>
      </c>
      <c r="K401" s="45">
        <f>INDEX(Calc!L401:P401,Show!$B$4)</f>
        <v>1330</v>
      </c>
      <c r="L401" s="46">
        <f t="shared" si="308"/>
        <v>1300</v>
      </c>
      <c r="M401" s="46">
        <f>L400</f>
        <v>1270</v>
      </c>
      <c r="N401" s="46">
        <f>L402</f>
        <v>1330</v>
      </c>
      <c r="O401" s="46">
        <f t="shared" si="304"/>
        <v>1200</v>
      </c>
      <c r="P401" s="46">
        <f t="shared" ref="P401" si="316">O402</f>
        <v>1500</v>
      </c>
    </row>
    <row r="402" spans="1:16" x14ac:dyDescent="0.25">
      <c r="A402" s="45">
        <f>1/((1/Show!$A$4)-(1/Calc!K402))</f>
        <v>41.240310077519382</v>
      </c>
      <c r="B402" s="45">
        <f>MATCH(A402*Calc!$R$12,Calc!$K$1:$K$774,1)</f>
        <v>260</v>
      </c>
      <c r="C402" s="45">
        <f>INDEX(Calc!$K$1:$K$774,B402)</f>
        <v>42.2</v>
      </c>
      <c r="D402" s="45">
        <f>1/(1/C402+1/Calc!K402)</f>
        <v>40.902200845357818</v>
      </c>
      <c r="E402" s="45">
        <f>ABS(Show!$A$4-D402)/(Show!$A$4/100)</f>
        <v>2.2555021133945452</v>
      </c>
      <c r="F402" s="46">
        <f>Show!$A$4-Calc!L402</f>
        <v>-1290</v>
      </c>
      <c r="G402" s="46" t="e">
        <f>MATCH(F402*Calc!$R$12,Calc!$K$1:$K$774,1)</f>
        <v>#N/A</v>
      </c>
      <c r="H402" s="46" t="e">
        <f>INDEX(Calc!$K$1:$K$774,G402)</f>
        <v>#N/A</v>
      </c>
      <c r="I402" s="46" t="e">
        <f>H402+Calc!K402</f>
        <v>#N/A</v>
      </c>
      <c r="J402" s="46" t="e">
        <f>ABS(Show!$A$4-I402)/(Show!$A$4/100)</f>
        <v>#N/A</v>
      </c>
      <c r="K402" s="45">
        <f>INDEX(Calc!L402:P402,Show!$B$4)</f>
        <v>1330</v>
      </c>
      <c r="L402" s="46">
        <f t="shared" si="308"/>
        <v>1330</v>
      </c>
      <c r="M402" s="46">
        <f>L402</f>
        <v>1330</v>
      </c>
      <c r="N402" s="46">
        <f>L402</f>
        <v>1330</v>
      </c>
      <c r="O402" s="46">
        <f t="shared" si="304"/>
        <v>1500</v>
      </c>
      <c r="P402" s="46">
        <f t="shared" ref="P402" si="317">O402</f>
        <v>1500</v>
      </c>
    </row>
    <row r="403" spans="1:16" x14ac:dyDescent="0.25">
      <c r="A403" s="45">
        <f>1/((1/Show!$A$4)-(1/Calc!K403))</f>
        <v>41.240310077519382</v>
      </c>
      <c r="B403" s="45">
        <f>MATCH(A403*Calc!$R$12,Calc!$K$1:$K$774,1)</f>
        <v>260</v>
      </c>
      <c r="C403" s="45">
        <f>INDEX(Calc!$K$1:$K$774,B403)</f>
        <v>42.2</v>
      </c>
      <c r="D403" s="45">
        <f>1/(1/C403+1/Calc!K403)</f>
        <v>40.902200845357818</v>
      </c>
      <c r="E403" s="45">
        <f>ABS(Show!$A$4-D403)/(Show!$A$4/100)</f>
        <v>2.2555021133945452</v>
      </c>
      <c r="F403" s="46">
        <f>Show!$A$4-Calc!L403</f>
        <v>-1329.9999999999998</v>
      </c>
      <c r="G403" s="46" t="e">
        <f>MATCH(F403*Calc!$R$12,Calc!$K$1:$K$774,1)</f>
        <v>#N/A</v>
      </c>
      <c r="H403" s="46" t="e">
        <f>INDEX(Calc!$K$1:$K$774,G403)</f>
        <v>#N/A</v>
      </c>
      <c r="I403" s="46" t="e">
        <f>H403+Calc!K403</f>
        <v>#N/A</v>
      </c>
      <c r="J403" s="46" t="e">
        <f>ABS(Show!$A$4-I403)/(Show!$A$4/100)</f>
        <v>#N/A</v>
      </c>
      <c r="K403" s="45">
        <f>INDEX(Calc!L403:P403,Show!$B$4)</f>
        <v>1330</v>
      </c>
      <c r="L403" s="46">
        <f t="shared" si="308"/>
        <v>1369.9999999999998</v>
      </c>
      <c r="M403" s="46">
        <f>L402</f>
        <v>1330</v>
      </c>
      <c r="N403" s="46">
        <f>L402</f>
        <v>1330</v>
      </c>
      <c r="O403" s="46">
        <f t="shared" si="304"/>
        <v>1500</v>
      </c>
      <c r="P403" s="46">
        <f t="shared" ref="P403" si="318">O402</f>
        <v>1500</v>
      </c>
    </row>
    <row r="404" spans="1:16" x14ac:dyDescent="0.25">
      <c r="A404" s="45">
        <f>1/((1/Show!$A$4)-(1/Calc!K404))</f>
        <v>41.240310077519382</v>
      </c>
      <c r="B404" s="45">
        <f>MATCH(A404*Calc!$R$12,Calc!$K$1:$K$774,1)</f>
        <v>260</v>
      </c>
      <c r="C404" s="45">
        <f>INDEX(Calc!$K$1:$K$774,B404)</f>
        <v>42.2</v>
      </c>
      <c r="D404" s="45">
        <f>1/(1/C404+1/Calc!K404)</f>
        <v>40.902200845357818</v>
      </c>
      <c r="E404" s="45">
        <f>ABS(Show!$A$4-D404)/(Show!$A$4/100)</f>
        <v>2.2555021133945452</v>
      </c>
      <c r="F404" s="46">
        <f>Show!$A$4-Calc!L404</f>
        <v>-1360.0000000000002</v>
      </c>
      <c r="G404" s="46" t="e">
        <f>MATCH(F404*Calc!$R$12,Calc!$K$1:$K$774,1)</f>
        <v>#N/A</v>
      </c>
      <c r="H404" s="46" t="e">
        <f>INDEX(Calc!$K$1:$K$774,G404)</f>
        <v>#N/A</v>
      </c>
      <c r="I404" s="46" t="e">
        <f>H404+Calc!K404</f>
        <v>#N/A</v>
      </c>
      <c r="J404" s="46" t="e">
        <f>ABS(Show!$A$4-I404)/(Show!$A$4/100)</f>
        <v>#N/A</v>
      </c>
      <c r="K404" s="45">
        <f>INDEX(Calc!L404:P404,Show!$B$4)</f>
        <v>1330</v>
      </c>
      <c r="L404" s="46">
        <f t="shared" si="308"/>
        <v>1400.0000000000002</v>
      </c>
      <c r="M404" s="46">
        <f>L404</f>
        <v>1400.0000000000002</v>
      </c>
      <c r="N404" s="46">
        <f>L402</f>
        <v>1330</v>
      </c>
      <c r="O404" s="46">
        <f t="shared" si="304"/>
        <v>1500</v>
      </c>
      <c r="P404" s="46">
        <f t="shared" ref="P404" si="319">O402</f>
        <v>1500</v>
      </c>
    </row>
    <row r="405" spans="1:16" x14ac:dyDescent="0.25">
      <c r="A405" s="45">
        <f>1/((1/Show!$A$4)-(1/Calc!K405))</f>
        <v>41.11888111888112</v>
      </c>
      <c r="B405" s="45">
        <f>MATCH(A405*Calc!$R$12,Calc!$K$1:$K$774,1)</f>
        <v>260</v>
      </c>
      <c r="C405" s="45">
        <f>INDEX(Calc!$K$1:$K$774,B405)</f>
        <v>42.2</v>
      </c>
      <c r="D405" s="45">
        <f>1/(1/C405+1/Calc!K405)</f>
        <v>41.02235154080148</v>
      </c>
      <c r="E405" s="45">
        <f>ABS(Show!$A$4-D405)/(Show!$A$4/100)</f>
        <v>2.5558788520037012</v>
      </c>
      <c r="F405" s="46">
        <f>Show!$A$4-Calc!L405</f>
        <v>-1390.0000000000002</v>
      </c>
      <c r="G405" s="46" t="e">
        <f>MATCH(F405*Calc!$R$12,Calc!$K$1:$K$774,1)</f>
        <v>#N/A</v>
      </c>
      <c r="H405" s="46" t="e">
        <f>INDEX(Calc!$K$1:$K$774,G405)</f>
        <v>#N/A</v>
      </c>
      <c r="I405" s="46" t="e">
        <f>H405+Calc!K405</f>
        <v>#N/A</v>
      </c>
      <c r="J405" s="46" t="e">
        <f>ABS(Show!$A$4-I405)/(Show!$A$4/100)</f>
        <v>#N/A</v>
      </c>
      <c r="K405" s="45">
        <f>INDEX(Calc!L405:P405,Show!$B$4)</f>
        <v>1470</v>
      </c>
      <c r="L405" s="46">
        <f t="shared" si="308"/>
        <v>1430.0000000000002</v>
      </c>
      <c r="M405" s="46">
        <f>L404</f>
        <v>1400.0000000000002</v>
      </c>
      <c r="N405" s="46">
        <f>L406</f>
        <v>1470</v>
      </c>
      <c r="O405" s="46">
        <f t="shared" si="304"/>
        <v>1500</v>
      </c>
      <c r="P405" s="46">
        <f t="shared" ref="P405" si="320">O402</f>
        <v>1500</v>
      </c>
    </row>
    <row r="406" spans="1:16" x14ac:dyDescent="0.25">
      <c r="A406" s="45">
        <f>1/((1/Show!$A$4)-(1/Calc!K406))</f>
        <v>41.11888111888112</v>
      </c>
      <c r="B406" s="45">
        <f>MATCH(A406*Calc!$R$12,Calc!$K$1:$K$774,1)</f>
        <v>260</v>
      </c>
      <c r="C406" s="45">
        <f>INDEX(Calc!$K$1:$K$774,B406)</f>
        <v>42.2</v>
      </c>
      <c r="D406" s="45">
        <f>1/(1/C406+1/Calc!K406)</f>
        <v>41.02235154080148</v>
      </c>
      <c r="E406" s="45">
        <f>ABS(Show!$A$4-D406)/(Show!$A$4/100)</f>
        <v>2.5558788520037012</v>
      </c>
      <c r="F406" s="46">
        <f>Show!$A$4-Calc!L406</f>
        <v>-1430</v>
      </c>
      <c r="G406" s="46" t="e">
        <f>MATCH(F406*Calc!$R$12,Calc!$K$1:$K$774,1)</f>
        <v>#N/A</v>
      </c>
      <c r="H406" s="46" t="e">
        <f>INDEX(Calc!$K$1:$K$774,G406)</f>
        <v>#N/A</v>
      </c>
      <c r="I406" s="46" t="e">
        <f>H406+Calc!K406</f>
        <v>#N/A</v>
      </c>
      <c r="J406" s="46" t="e">
        <f>ABS(Show!$A$4-I406)/(Show!$A$4/100)</f>
        <v>#N/A</v>
      </c>
      <c r="K406" s="45">
        <f>INDEX(Calc!L406:P406,Show!$B$4)</f>
        <v>1470</v>
      </c>
      <c r="L406" s="46">
        <f t="shared" si="308"/>
        <v>1470</v>
      </c>
      <c r="M406" s="46">
        <f>L406</f>
        <v>1470</v>
      </c>
      <c r="N406" s="46">
        <f>L406</f>
        <v>1470</v>
      </c>
      <c r="O406" s="46">
        <f t="shared" si="304"/>
        <v>1500</v>
      </c>
      <c r="P406" s="46">
        <f t="shared" ref="P406" si="321">O402</f>
        <v>1500</v>
      </c>
    </row>
    <row r="407" spans="1:16" x14ac:dyDescent="0.25">
      <c r="A407" s="45">
        <f>1/((1/Show!$A$4)-(1/Calc!K407))</f>
        <v>41.11888111888112</v>
      </c>
      <c r="B407" s="45">
        <f>MATCH(A407*Calc!$R$12,Calc!$K$1:$K$774,1)</f>
        <v>260</v>
      </c>
      <c r="C407" s="45">
        <f>INDEX(Calc!$K$1:$K$774,B407)</f>
        <v>42.2</v>
      </c>
      <c r="D407" s="45">
        <f>1/(1/C407+1/Calc!K407)</f>
        <v>41.02235154080148</v>
      </c>
      <c r="E407" s="45">
        <f>ABS(Show!$A$4-D407)/(Show!$A$4/100)</f>
        <v>2.5558788520037012</v>
      </c>
      <c r="F407" s="46">
        <f>Show!$A$4-Calc!L407</f>
        <v>-1460</v>
      </c>
      <c r="G407" s="46" t="e">
        <f>MATCH(F407*Calc!$R$12,Calc!$K$1:$K$774,1)</f>
        <v>#N/A</v>
      </c>
      <c r="H407" s="46" t="e">
        <f>INDEX(Calc!$K$1:$K$774,G407)</f>
        <v>#N/A</v>
      </c>
      <c r="I407" s="46" t="e">
        <f>H407+Calc!K407</f>
        <v>#N/A</v>
      </c>
      <c r="J407" s="46" t="e">
        <f>ABS(Show!$A$4-I407)/(Show!$A$4/100)</f>
        <v>#N/A</v>
      </c>
      <c r="K407" s="45">
        <f>INDEX(Calc!L407:P407,Show!$B$4)</f>
        <v>1470</v>
      </c>
      <c r="L407" s="46">
        <f t="shared" si="308"/>
        <v>1500</v>
      </c>
      <c r="M407" s="46">
        <f>L406</f>
        <v>1470</v>
      </c>
      <c r="N407" s="46">
        <f>L406</f>
        <v>1470</v>
      </c>
      <c r="O407" s="46">
        <f t="shared" si="304"/>
        <v>1500</v>
      </c>
      <c r="P407" s="46">
        <f t="shared" ref="P407" si="322">O402</f>
        <v>1500</v>
      </c>
    </row>
    <row r="408" spans="1:16" x14ac:dyDescent="0.25">
      <c r="A408" s="45">
        <f>1/((1/Show!$A$4)-(1/Calc!K408))</f>
        <v>41.11888111888112</v>
      </c>
      <c r="B408" s="45">
        <f>MATCH(A408*Calc!$R$12,Calc!$K$1:$K$774,1)</f>
        <v>260</v>
      </c>
      <c r="C408" s="45">
        <f>INDEX(Calc!$K$1:$K$774,B408)</f>
        <v>42.2</v>
      </c>
      <c r="D408" s="45">
        <f>1/(1/C408+1/Calc!K408)</f>
        <v>41.02235154080148</v>
      </c>
      <c r="E408" s="45">
        <f>ABS(Show!$A$4-D408)/(Show!$A$4/100)</f>
        <v>2.5558788520037012</v>
      </c>
      <c r="F408" s="46">
        <f>Show!$A$4-Calc!L408</f>
        <v>-1500</v>
      </c>
      <c r="G408" s="46" t="e">
        <f>MATCH(F408*Calc!$R$12,Calc!$K$1:$K$774,1)</f>
        <v>#N/A</v>
      </c>
      <c r="H408" s="46" t="e">
        <f>INDEX(Calc!$K$1:$K$774,G408)</f>
        <v>#N/A</v>
      </c>
      <c r="I408" s="46" t="e">
        <f>H408+Calc!K408</f>
        <v>#N/A</v>
      </c>
      <c r="J408" s="46" t="e">
        <f>ABS(Show!$A$4-I408)/(Show!$A$4/100)</f>
        <v>#N/A</v>
      </c>
      <c r="K408" s="45">
        <f>INDEX(Calc!L408:P408,Show!$B$4)</f>
        <v>1470</v>
      </c>
      <c r="L408" s="46">
        <f t="shared" si="308"/>
        <v>1540</v>
      </c>
      <c r="M408" s="46">
        <f>L408</f>
        <v>1540</v>
      </c>
      <c r="N408" s="46">
        <f>L406</f>
        <v>1470</v>
      </c>
      <c r="O408" s="46">
        <f t="shared" si="304"/>
        <v>1500</v>
      </c>
      <c r="P408" s="46">
        <f t="shared" ref="P408" si="323">O402</f>
        <v>1500</v>
      </c>
    </row>
    <row r="409" spans="1:16" x14ac:dyDescent="0.25">
      <c r="A409" s="45">
        <f>1/((1/Show!$A$4)-(1/Calc!K409))</f>
        <v>41.0126582278481</v>
      </c>
      <c r="B409" s="45">
        <f>MATCH(A409*Calc!$R$12,Calc!$K$1:$K$774,1)</f>
        <v>260</v>
      </c>
      <c r="C409" s="45">
        <f>INDEX(Calc!$K$1:$K$774,B409)</f>
        <v>42.2</v>
      </c>
      <c r="D409" s="45">
        <f>1/(1/C409+1/Calc!K409)</f>
        <v>41.128624714234149</v>
      </c>
      <c r="E409" s="45">
        <f>ABS(Show!$A$4-D409)/(Show!$A$4/100)</f>
        <v>2.8215617855853736</v>
      </c>
      <c r="F409" s="46">
        <f>Show!$A$4-Calc!L409</f>
        <v>-1540</v>
      </c>
      <c r="G409" s="46" t="e">
        <f>MATCH(F409*Calc!$R$12,Calc!$K$1:$K$774,1)</f>
        <v>#N/A</v>
      </c>
      <c r="H409" s="46" t="e">
        <f>INDEX(Calc!$K$1:$K$774,G409)</f>
        <v>#N/A</v>
      </c>
      <c r="I409" s="46" t="e">
        <f>H409+Calc!K409</f>
        <v>#N/A</v>
      </c>
      <c r="J409" s="46" t="e">
        <f>ABS(Show!$A$4-I409)/(Show!$A$4/100)</f>
        <v>#N/A</v>
      </c>
      <c r="K409" s="45">
        <f>INDEX(Calc!L409:P409,Show!$B$4)</f>
        <v>1620</v>
      </c>
      <c r="L409" s="46">
        <f t="shared" si="308"/>
        <v>1580</v>
      </c>
      <c r="M409" s="46">
        <f>L408</f>
        <v>1540</v>
      </c>
      <c r="N409" s="46">
        <f>L410</f>
        <v>1620</v>
      </c>
      <c r="O409" s="46">
        <f t="shared" si="304"/>
        <v>1500</v>
      </c>
      <c r="P409" s="46">
        <f t="shared" ref="P409" si="324">O402</f>
        <v>1500</v>
      </c>
    </row>
    <row r="410" spans="1:16" x14ac:dyDescent="0.25">
      <c r="A410" s="45">
        <f>1/((1/Show!$A$4)-(1/Calc!K410))</f>
        <v>41.0126582278481</v>
      </c>
      <c r="B410" s="45">
        <f>MATCH(A410*Calc!$R$12,Calc!$K$1:$K$774,1)</f>
        <v>260</v>
      </c>
      <c r="C410" s="45">
        <f>INDEX(Calc!$K$1:$K$774,B410)</f>
        <v>42.2</v>
      </c>
      <c r="D410" s="45">
        <f>1/(1/C410+1/Calc!K410)</f>
        <v>41.128624714234149</v>
      </c>
      <c r="E410" s="45">
        <f>ABS(Show!$A$4-D410)/(Show!$A$4/100)</f>
        <v>2.8215617855853736</v>
      </c>
      <c r="F410" s="46">
        <f>Show!$A$4-Calc!L410</f>
        <v>-1580</v>
      </c>
      <c r="G410" s="46" t="e">
        <f>MATCH(F410*Calc!$R$12,Calc!$K$1:$K$774,1)</f>
        <v>#N/A</v>
      </c>
      <c r="H410" s="46" t="e">
        <f>INDEX(Calc!$K$1:$K$774,G410)</f>
        <v>#N/A</v>
      </c>
      <c r="I410" s="46" t="e">
        <f>H410+Calc!K410</f>
        <v>#N/A</v>
      </c>
      <c r="J410" s="46" t="e">
        <f>ABS(Show!$A$4-I410)/(Show!$A$4/100)</f>
        <v>#N/A</v>
      </c>
      <c r="K410" s="45">
        <f>INDEX(Calc!L410:P410,Show!$B$4)</f>
        <v>1620</v>
      </c>
      <c r="L410" s="46">
        <f t="shared" si="308"/>
        <v>1620</v>
      </c>
      <c r="M410" s="46">
        <f>L410</f>
        <v>1620</v>
      </c>
      <c r="N410" s="46">
        <f>L410</f>
        <v>1620</v>
      </c>
      <c r="O410" s="46">
        <f t="shared" si="304"/>
        <v>1800</v>
      </c>
      <c r="P410" s="46">
        <f t="shared" ref="P410" si="325">O402</f>
        <v>1500</v>
      </c>
    </row>
    <row r="411" spans="1:16" x14ac:dyDescent="0.25">
      <c r="A411" s="45">
        <f>1/((1/Show!$A$4)-(1/Calc!K411))</f>
        <v>41.0126582278481</v>
      </c>
      <c r="B411" s="45">
        <f>MATCH(A411*Calc!$R$12,Calc!$K$1:$K$774,1)</f>
        <v>260</v>
      </c>
      <c r="C411" s="45">
        <f>INDEX(Calc!$K$1:$K$774,B411)</f>
        <v>42.2</v>
      </c>
      <c r="D411" s="45">
        <f>1/(1/C411+1/Calc!K411)</f>
        <v>41.128624714234149</v>
      </c>
      <c r="E411" s="45">
        <f>ABS(Show!$A$4-D411)/(Show!$A$4/100)</f>
        <v>2.8215617855853736</v>
      </c>
      <c r="F411" s="46">
        <f>Show!$A$4-Calc!L411</f>
        <v>-1610</v>
      </c>
      <c r="G411" s="46" t="e">
        <f>MATCH(F411*Calc!$R$12,Calc!$K$1:$K$774,1)</f>
        <v>#N/A</v>
      </c>
      <c r="H411" s="46" t="e">
        <f>INDEX(Calc!$K$1:$K$774,G411)</f>
        <v>#N/A</v>
      </c>
      <c r="I411" s="46" t="e">
        <f>H411+Calc!K411</f>
        <v>#N/A</v>
      </c>
      <c r="J411" s="46" t="e">
        <f>ABS(Show!$A$4-I411)/(Show!$A$4/100)</f>
        <v>#N/A</v>
      </c>
      <c r="K411" s="45">
        <f>INDEX(Calc!L411:P411,Show!$B$4)</f>
        <v>1620</v>
      </c>
      <c r="L411" s="46">
        <f t="shared" si="308"/>
        <v>1650</v>
      </c>
      <c r="M411" s="46">
        <f>L410</f>
        <v>1620</v>
      </c>
      <c r="N411" s="46">
        <f>L410</f>
        <v>1620</v>
      </c>
      <c r="O411" s="46">
        <f t="shared" si="304"/>
        <v>1800</v>
      </c>
      <c r="P411" s="46">
        <f t="shared" ref="P411" si="326">O402</f>
        <v>1500</v>
      </c>
    </row>
    <row r="412" spans="1:16" x14ac:dyDescent="0.25">
      <c r="A412" s="45">
        <f>1/((1/Show!$A$4)-(1/Calc!K412))</f>
        <v>41.0126582278481</v>
      </c>
      <c r="B412" s="45">
        <f>MATCH(A412*Calc!$R$12,Calc!$K$1:$K$774,1)</f>
        <v>260</v>
      </c>
      <c r="C412" s="45">
        <f>INDEX(Calc!$K$1:$K$774,B412)</f>
        <v>42.2</v>
      </c>
      <c r="D412" s="45">
        <f>1/(1/C412+1/Calc!K412)</f>
        <v>41.128624714234149</v>
      </c>
      <c r="E412" s="45">
        <f>ABS(Show!$A$4-D412)/(Show!$A$4/100)</f>
        <v>2.8215617855853736</v>
      </c>
      <c r="F412" s="46">
        <f>Show!$A$4-Calc!L412</f>
        <v>-1649.9999999999998</v>
      </c>
      <c r="G412" s="46" t="e">
        <f>MATCH(F412*Calc!$R$12,Calc!$K$1:$K$774,1)</f>
        <v>#N/A</v>
      </c>
      <c r="H412" s="46" t="e">
        <f>INDEX(Calc!$K$1:$K$774,G412)</f>
        <v>#N/A</v>
      </c>
      <c r="I412" s="46" t="e">
        <f>H412+Calc!K412</f>
        <v>#N/A</v>
      </c>
      <c r="J412" s="46" t="e">
        <f>ABS(Show!$A$4-I412)/(Show!$A$4/100)</f>
        <v>#N/A</v>
      </c>
      <c r="K412" s="45">
        <f>INDEX(Calc!L412:P412,Show!$B$4)</f>
        <v>1620</v>
      </c>
      <c r="L412" s="46">
        <f t="shared" si="308"/>
        <v>1689.9999999999998</v>
      </c>
      <c r="M412" s="46">
        <f>L412</f>
        <v>1689.9999999999998</v>
      </c>
      <c r="N412" s="46">
        <f>L410</f>
        <v>1620</v>
      </c>
      <c r="O412" s="46">
        <f t="shared" si="304"/>
        <v>1800</v>
      </c>
      <c r="P412" s="46">
        <f t="shared" ref="P412" si="327">O402</f>
        <v>1500</v>
      </c>
    </row>
    <row r="413" spans="1:16" x14ac:dyDescent="0.25">
      <c r="A413" s="45">
        <f>1/((1/Show!$A$4)-(1/Calc!K413))</f>
        <v>40.919540229885051</v>
      </c>
      <c r="B413" s="45">
        <f>MATCH(A413*Calc!$R$12,Calc!$K$1:$K$774,1)</f>
        <v>260</v>
      </c>
      <c r="C413" s="45">
        <f>INDEX(Calc!$K$1:$K$774,B413)</f>
        <v>42.2</v>
      </c>
      <c r="D413" s="45">
        <f>1/(1/C413+1/Calc!K413)</f>
        <v>41.222697837778512</v>
      </c>
      <c r="E413" s="45">
        <f>ABS(Show!$A$4-D413)/(Show!$A$4/100)</f>
        <v>3.056744594446279</v>
      </c>
      <c r="F413" s="46">
        <f>Show!$A$4-Calc!L413</f>
        <v>-1699.9999999999998</v>
      </c>
      <c r="G413" s="46" t="e">
        <f>MATCH(F413*Calc!$R$12,Calc!$K$1:$K$774,1)</f>
        <v>#N/A</v>
      </c>
      <c r="H413" s="46" t="e">
        <f>INDEX(Calc!$K$1:$K$774,G413)</f>
        <v>#N/A</v>
      </c>
      <c r="I413" s="46" t="e">
        <f>H413+Calc!K413</f>
        <v>#N/A</v>
      </c>
      <c r="J413" s="46" t="e">
        <f>ABS(Show!$A$4-I413)/(Show!$A$4/100)</f>
        <v>#N/A</v>
      </c>
      <c r="K413" s="45">
        <f>INDEX(Calc!L413:P413,Show!$B$4)</f>
        <v>1780.0000000000002</v>
      </c>
      <c r="L413" s="46">
        <f t="shared" si="308"/>
        <v>1739.9999999999998</v>
      </c>
      <c r="M413" s="46">
        <f>L412</f>
        <v>1689.9999999999998</v>
      </c>
      <c r="N413" s="46">
        <f>L414</f>
        <v>1780.0000000000002</v>
      </c>
      <c r="O413" s="46">
        <f t="shared" si="304"/>
        <v>1800</v>
      </c>
      <c r="P413" s="46">
        <f t="shared" ref="P413" si="328">O402</f>
        <v>1500</v>
      </c>
    </row>
    <row r="414" spans="1:16" x14ac:dyDescent="0.25">
      <c r="A414" s="45">
        <f>1/((1/Show!$A$4)-(1/Calc!K414))</f>
        <v>40.919540229885051</v>
      </c>
      <c r="B414" s="45">
        <f>MATCH(A414*Calc!$R$12,Calc!$K$1:$K$774,1)</f>
        <v>260</v>
      </c>
      <c r="C414" s="45">
        <f>INDEX(Calc!$K$1:$K$774,B414)</f>
        <v>42.2</v>
      </c>
      <c r="D414" s="45">
        <f>1/(1/C414+1/Calc!K414)</f>
        <v>41.222697837778512</v>
      </c>
      <c r="E414" s="45">
        <f>ABS(Show!$A$4-D414)/(Show!$A$4/100)</f>
        <v>3.056744594446279</v>
      </c>
      <c r="F414" s="46">
        <f>Show!$A$4-Calc!L414</f>
        <v>-1740.0000000000002</v>
      </c>
      <c r="G414" s="46" t="e">
        <f>MATCH(F414*Calc!$R$12,Calc!$K$1:$K$774,1)</f>
        <v>#N/A</v>
      </c>
      <c r="H414" s="46" t="e">
        <f>INDEX(Calc!$K$1:$K$774,G414)</f>
        <v>#N/A</v>
      </c>
      <c r="I414" s="46" t="e">
        <f>H414+Calc!K414</f>
        <v>#N/A</v>
      </c>
      <c r="J414" s="46" t="e">
        <f>ABS(Show!$A$4-I414)/(Show!$A$4/100)</f>
        <v>#N/A</v>
      </c>
      <c r="K414" s="45">
        <f>INDEX(Calc!L414:P414,Show!$B$4)</f>
        <v>1780.0000000000002</v>
      </c>
      <c r="L414" s="46">
        <f t="shared" si="308"/>
        <v>1780.0000000000002</v>
      </c>
      <c r="M414" s="46">
        <f>L414</f>
        <v>1780.0000000000002</v>
      </c>
      <c r="N414" s="46">
        <f>L414</f>
        <v>1780.0000000000002</v>
      </c>
      <c r="O414" s="46">
        <f t="shared" si="304"/>
        <v>1800</v>
      </c>
      <c r="P414" s="46">
        <f t="shared" ref="P414" si="329">O418</f>
        <v>2200</v>
      </c>
    </row>
    <row r="415" spans="1:16" x14ac:dyDescent="0.25">
      <c r="A415" s="45">
        <f>1/((1/Show!$A$4)-(1/Calc!K415))</f>
        <v>40.919540229885051</v>
      </c>
      <c r="B415" s="45">
        <f>MATCH(A415*Calc!$R$12,Calc!$K$1:$K$774,1)</f>
        <v>260</v>
      </c>
      <c r="C415" s="45">
        <f>INDEX(Calc!$K$1:$K$774,B415)</f>
        <v>42.2</v>
      </c>
      <c r="D415" s="45">
        <f>1/(1/C415+1/Calc!K415)</f>
        <v>41.222697837778512</v>
      </c>
      <c r="E415" s="45">
        <f>ABS(Show!$A$4-D415)/(Show!$A$4/100)</f>
        <v>3.056744594446279</v>
      </c>
      <c r="F415" s="46">
        <f>Show!$A$4-Calc!L415</f>
        <v>-1780</v>
      </c>
      <c r="G415" s="46" t="e">
        <f>MATCH(F415*Calc!$R$12,Calc!$K$1:$K$774,1)</f>
        <v>#N/A</v>
      </c>
      <c r="H415" s="46" t="e">
        <f>INDEX(Calc!$K$1:$K$774,G415)</f>
        <v>#N/A</v>
      </c>
      <c r="I415" s="46" t="e">
        <f>H415+Calc!K415</f>
        <v>#N/A</v>
      </c>
      <c r="J415" s="46" t="e">
        <f>ABS(Show!$A$4-I415)/(Show!$A$4/100)</f>
        <v>#N/A</v>
      </c>
      <c r="K415" s="45">
        <f>INDEX(Calc!L415:P415,Show!$B$4)</f>
        <v>1780.0000000000002</v>
      </c>
      <c r="L415" s="46">
        <f t="shared" si="308"/>
        <v>1820</v>
      </c>
      <c r="M415" s="46">
        <f>L414</f>
        <v>1780.0000000000002</v>
      </c>
      <c r="N415" s="46">
        <f>L414</f>
        <v>1780.0000000000002</v>
      </c>
      <c r="O415" s="46">
        <f t="shared" si="304"/>
        <v>1800</v>
      </c>
      <c r="P415" s="46">
        <f t="shared" ref="P415" si="330">O418</f>
        <v>2200</v>
      </c>
    </row>
    <row r="416" spans="1:16" x14ac:dyDescent="0.25">
      <c r="A416" s="45">
        <f>1/((1/Show!$A$4)-(1/Calc!K416))</f>
        <v>40.919540229885051</v>
      </c>
      <c r="B416" s="45">
        <f>MATCH(A416*Calc!$R$12,Calc!$K$1:$K$774,1)</f>
        <v>260</v>
      </c>
      <c r="C416" s="45">
        <f>INDEX(Calc!$K$1:$K$774,B416)</f>
        <v>42.2</v>
      </c>
      <c r="D416" s="45">
        <f>1/(1/C416+1/Calc!K416)</f>
        <v>41.222697837778512</v>
      </c>
      <c r="E416" s="45">
        <f>ABS(Show!$A$4-D416)/(Show!$A$4/100)</f>
        <v>3.056744594446279</v>
      </c>
      <c r="F416" s="46">
        <f>Show!$A$4-Calc!L416</f>
        <v>-1830</v>
      </c>
      <c r="G416" s="46" t="e">
        <f>MATCH(F416*Calc!$R$12,Calc!$K$1:$K$774,1)</f>
        <v>#N/A</v>
      </c>
      <c r="H416" s="46" t="e">
        <f>INDEX(Calc!$K$1:$K$774,G416)</f>
        <v>#N/A</v>
      </c>
      <c r="I416" s="46" t="e">
        <f>H416+Calc!K416</f>
        <v>#N/A</v>
      </c>
      <c r="J416" s="46" t="e">
        <f>ABS(Show!$A$4-I416)/(Show!$A$4/100)</f>
        <v>#N/A</v>
      </c>
      <c r="K416" s="45">
        <f>INDEX(Calc!L416:P416,Show!$B$4)</f>
        <v>1780.0000000000002</v>
      </c>
      <c r="L416" s="46">
        <f t="shared" si="308"/>
        <v>1870</v>
      </c>
      <c r="M416" s="46">
        <f>L416</f>
        <v>1870</v>
      </c>
      <c r="N416" s="46">
        <f>L414</f>
        <v>1780.0000000000002</v>
      </c>
      <c r="O416" s="46">
        <f t="shared" si="304"/>
        <v>1800</v>
      </c>
      <c r="P416" s="46">
        <f t="shared" ref="P416" si="331">O418</f>
        <v>2200</v>
      </c>
    </row>
    <row r="417" spans="1:16" x14ac:dyDescent="0.25">
      <c r="A417" s="45">
        <f>1/((1/Show!$A$4)-(1/Calc!K417))</f>
        <v>40.833333333333329</v>
      </c>
      <c r="B417" s="45">
        <f>MATCH(A417*Calc!$R$12,Calc!$K$1:$K$774,1)</f>
        <v>260</v>
      </c>
      <c r="C417" s="45">
        <f>INDEX(Calc!$K$1:$K$774,B417)</f>
        <v>42.2</v>
      </c>
      <c r="D417" s="45">
        <f>1/(1/C417+1/Calc!K417)</f>
        <v>41.31055838577565</v>
      </c>
      <c r="E417" s="45">
        <f>ABS(Show!$A$4-D417)/(Show!$A$4/100)</f>
        <v>3.276395964439125</v>
      </c>
      <c r="F417" s="46">
        <f>Show!$A$4-Calc!L417</f>
        <v>-1870</v>
      </c>
      <c r="G417" s="46" t="e">
        <f>MATCH(F417*Calc!$R$12,Calc!$K$1:$K$774,1)</f>
        <v>#N/A</v>
      </c>
      <c r="H417" s="46" t="e">
        <f>INDEX(Calc!$K$1:$K$774,G417)</f>
        <v>#N/A</v>
      </c>
      <c r="I417" s="46" t="e">
        <f>H417+Calc!K417</f>
        <v>#N/A</v>
      </c>
      <c r="J417" s="46" t="e">
        <f>ABS(Show!$A$4-I417)/(Show!$A$4/100)</f>
        <v>#N/A</v>
      </c>
      <c r="K417" s="45">
        <f>INDEX(Calc!L417:P417,Show!$B$4)</f>
        <v>1960</v>
      </c>
      <c r="L417" s="46">
        <f t="shared" si="308"/>
        <v>1910</v>
      </c>
      <c r="M417" s="46">
        <f>L416</f>
        <v>1870</v>
      </c>
      <c r="N417" s="46">
        <f>L418</f>
        <v>1960</v>
      </c>
      <c r="O417" s="46">
        <f t="shared" si="304"/>
        <v>1800</v>
      </c>
      <c r="P417" s="46">
        <f t="shared" ref="P417" si="332">O418</f>
        <v>2200</v>
      </c>
    </row>
    <row r="418" spans="1:16" x14ac:dyDescent="0.25">
      <c r="A418" s="45">
        <f>1/((1/Show!$A$4)-(1/Calc!K418))</f>
        <v>40.833333333333329</v>
      </c>
      <c r="B418" s="45">
        <f>MATCH(A418*Calc!$R$12,Calc!$K$1:$K$774,1)</f>
        <v>260</v>
      </c>
      <c r="C418" s="45">
        <f>INDEX(Calc!$K$1:$K$774,B418)</f>
        <v>42.2</v>
      </c>
      <c r="D418" s="45">
        <f>1/(1/C418+1/Calc!K418)</f>
        <v>41.31055838577565</v>
      </c>
      <c r="E418" s="45">
        <f>ABS(Show!$A$4-D418)/(Show!$A$4/100)</f>
        <v>3.276395964439125</v>
      </c>
      <c r="F418" s="46">
        <f>Show!$A$4-Calc!L418</f>
        <v>-1920</v>
      </c>
      <c r="G418" s="46" t="e">
        <f>MATCH(F418*Calc!$R$12,Calc!$K$1:$K$774,1)</f>
        <v>#N/A</v>
      </c>
      <c r="H418" s="46" t="e">
        <f>INDEX(Calc!$K$1:$K$774,G418)</f>
        <v>#N/A</v>
      </c>
      <c r="I418" s="46" t="e">
        <f>H418+Calc!K418</f>
        <v>#N/A</v>
      </c>
      <c r="J418" s="46" t="e">
        <f>ABS(Show!$A$4-I418)/(Show!$A$4/100)</f>
        <v>#N/A</v>
      </c>
      <c r="K418" s="45">
        <f>INDEX(Calc!L418:P418,Show!$B$4)</f>
        <v>1960</v>
      </c>
      <c r="L418" s="46">
        <f t="shared" si="308"/>
        <v>1960</v>
      </c>
      <c r="M418" s="46">
        <f>L418</f>
        <v>1960</v>
      </c>
      <c r="N418" s="46">
        <f>L418</f>
        <v>1960</v>
      </c>
      <c r="O418" s="46">
        <f t="shared" si="304"/>
        <v>2200</v>
      </c>
      <c r="P418" s="46">
        <f t="shared" ref="P418" si="333">O418</f>
        <v>2200</v>
      </c>
    </row>
    <row r="419" spans="1:16" x14ac:dyDescent="0.25">
      <c r="A419" s="45">
        <f>1/((1/Show!$A$4)-(1/Calc!K419))</f>
        <v>40.833333333333329</v>
      </c>
      <c r="B419" s="45">
        <f>MATCH(A419*Calc!$R$12,Calc!$K$1:$K$774,1)</f>
        <v>260</v>
      </c>
      <c r="C419" s="45">
        <f>INDEX(Calc!$K$1:$K$774,B419)</f>
        <v>42.2</v>
      </c>
      <c r="D419" s="45">
        <f>1/(1/C419+1/Calc!K419)</f>
        <v>41.31055838577565</v>
      </c>
      <c r="E419" s="45">
        <f>ABS(Show!$A$4-D419)/(Show!$A$4/100)</f>
        <v>3.276395964439125</v>
      </c>
      <c r="F419" s="46">
        <f>Show!$A$4-Calc!L419</f>
        <v>-1960</v>
      </c>
      <c r="G419" s="46" t="e">
        <f>MATCH(F419*Calc!$R$12,Calc!$K$1:$K$774,1)</f>
        <v>#N/A</v>
      </c>
      <c r="H419" s="46" t="e">
        <f>INDEX(Calc!$K$1:$K$774,G419)</f>
        <v>#N/A</v>
      </c>
      <c r="I419" s="46" t="e">
        <f>H419+Calc!K419</f>
        <v>#N/A</v>
      </c>
      <c r="J419" s="46" t="e">
        <f>ABS(Show!$A$4-I419)/(Show!$A$4/100)</f>
        <v>#N/A</v>
      </c>
      <c r="K419" s="45">
        <f>INDEX(Calc!L419:P419,Show!$B$4)</f>
        <v>1960</v>
      </c>
      <c r="L419" s="46">
        <f t="shared" si="308"/>
        <v>2000</v>
      </c>
      <c r="M419" s="46">
        <f>L418</f>
        <v>1960</v>
      </c>
      <c r="N419" s="46">
        <f>L418</f>
        <v>1960</v>
      </c>
      <c r="O419" s="46">
        <f t="shared" si="304"/>
        <v>2200</v>
      </c>
      <c r="P419" s="46">
        <f t="shared" ref="P419" si="334">O418</f>
        <v>2200</v>
      </c>
    </row>
    <row r="420" spans="1:16" x14ac:dyDescent="0.25">
      <c r="A420" s="45">
        <f>1/((1/Show!$A$4)-(1/Calc!K420))</f>
        <v>40.833333333333329</v>
      </c>
      <c r="B420" s="45">
        <f>MATCH(A420*Calc!$R$12,Calc!$K$1:$K$774,1)</f>
        <v>260</v>
      </c>
      <c r="C420" s="45">
        <f>INDEX(Calc!$K$1:$K$774,B420)</f>
        <v>42.2</v>
      </c>
      <c r="D420" s="45">
        <f>1/(1/C420+1/Calc!K420)</f>
        <v>41.31055838577565</v>
      </c>
      <c r="E420" s="45">
        <f>ABS(Show!$A$4-D420)/(Show!$A$4/100)</f>
        <v>3.276395964439125</v>
      </c>
      <c r="F420" s="46">
        <f>Show!$A$4-Calc!L420</f>
        <v>-2010</v>
      </c>
      <c r="G420" s="46" t="e">
        <f>MATCH(F420*Calc!$R$12,Calc!$K$1:$K$774,1)</f>
        <v>#N/A</v>
      </c>
      <c r="H420" s="46" t="e">
        <f>INDEX(Calc!$K$1:$K$774,G420)</f>
        <v>#N/A</v>
      </c>
      <c r="I420" s="46" t="e">
        <f>H420+Calc!K420</f>
        <v>#N/A</v>
      </c>
      <c r="J420" s="46" t="e">
        <f>ABS(Show!$A$4-I420)/(Show!$A$4/100)</f>
        <v>#N/A</v>
      </c>
      <c r="K420" s="45">
        <f>INDEX(Calc!L420:P420,Show!$B$4)</f>
        <v>1960</v>
      </c>
      <c r="L420" s="46">
        <f t="shared" si="308"/>
        <v>2050</v>
      </c>
      <c r="M420" s="46">
        <f>L420</f>
        <v>2050</v>
      </c>
      <c r="N420" s="46">
        <f>L418</f>
        <v>1960</v>
      </c>
      <c r="O420" s="46">
        <f t="shared" si="304"/>
        <v>2200</v>
      </c>
      <c r="P420" s="46">
        <f t="shared" ref="P420" si="335">O418</f>
        <v>2200</v>
      </c>
    </row>
    <row r="421" spans="1:16" x14ac:dyDescent="0.25">
      <c r="A421" s="45">
        <f>1/((1/Show!$A$4)-(1/Calc!K421))</f>
        <v>40.758293838862556</v>
      </c>
      <c r="B421" s="45">
        <f>MATCH(A421*Calc!$R$12,Calc!$K$1:$K$774,1)</f>
        <v>260</v>
      </c>
      <c r="C421" s="45">
        <f>INDEX(Calc!$K$1:$K$774,B421)</f>
        <v>42.2</v>
      </c>
      <c r="D421" s="45">
        <f>1/(1/C421+1/Calc!K421)</f>
        <v>41.387647112489738</v>
      </c>
      <c r="E421" s="45">
        <f>ABS(Show!$A$4-D421)/(Show!$A$4/100)</f>
        <v>3.4691177812243446</v>
      </c>
      <c r="F421" s="46">
        <f>Show!$A$4-Calc!L421</f>
        <v>-2060</v>
      </c>
      <c r="G421" s="46" t="e">
        <f>MATCH(F421*Calc!$R$12,Calc!$K$1:$K$774,1)</f>
        <v>#N/A</v>
      </c>
      <c r="H421" s="46" t="e">
        <f>INDEX(Calc!$K$1:$K$774,G421)</f>
        <v>#N/A</v>
      </c>
      <c r="I421" s="46" t="e">
        <f>H421+Calc!K421</f>
        <v>#N/A</v>
      </c>
      <c r="J421" s="46" t="e">
        <f>ABS(Show!$A$4-I421)/(Show!$A$4/100)</f>
        <v>#N/A</v>
      </c>
      <c r="K421" s="45">
        <f>INDEX(Calc!L421:P421,Show!$B$4)</f>
        <v>2150</v>
      </c>
      <c r="L421" s="46">
        <f t="shared" si="308"/>
        <v>2100</v>
      </c>
      <c r="M421" s="46">
        <f>L420</f>
        <v>2050</v>
      </c>
      <c r="N421" s="46">
        <f>L422</f>
        <v>2150</v>
      </c>
      <c r="O421" s="46">
        <f t="shared" si="304"/>
        <v>2200</v>
      </c>
      <c r="P421" s="46">
        <f t="shared" ref="P421" si="336">O418</f>
        <v>2200</v>
      </c>
    </row>
    <row r="422" spans="1:16" x14ac:dyDescent="0.25">
      <c r="A422" s="45">
        <f>1/((1/Show!$A$4)-(1/Calc!K422))</f>
        <v>40.758293838862556</v>
      </c>
      <c r="B422" s="45">
        <f>MATCH(A422*Calc!$R$12,Calc!$K$1:$K$774,1)</f>
        <v>260</v>
      </c>
      <c r="C422" s="45">
        <f>INDEX(Calc!$K$1:$K$774,B422)</f>
        <v>42.2</v>
      </c>
      <c r="D422" s="45">
        <f>1/(1/C422+1/Calc!K422)</f>
        <v>41.387647112489738</v>
      </c>
      <c r="E422" s="45">
        <f>ABS(Show!$A$4-D422)/(Show!$A$4/100)</f>
        <v>3.4691177812243446</v>
      </c>
      <c r="F422" s="46">
        <f>Show!$A$4-Calc!L422</f>
        <v>-2110</v>
      </c>
      <c r="G422" s="46" t="e">
        <f>MATCH(F422*Calc!$R$12,Calc!$K$1:$K$774,1)</f>
        <v>#N/A</v>
      </c>
      <c r="H422" s="46" t="e">
        <f>INDEX(Calc!$K$1:$K$774,G422)</f>
        <v>#N/A</v>
      </c>
      <c r="I422" s="46" t="e">
        <f>H422+Calc!K422</f>
        <v>#N/A</v>
      </c>
      <c r="J422" s="46" t="e">
        <f>ABS(Show!$A$4-I422)/(Show!$A$4/100)</f>
        <v>#N/A</v>
      </c>
      <c r="K422" s="45">
        <f>INDEX(Calc!L422:P422,Show!$B$4)</f>
        <v>2150</v>
      </c>
      <c r="L422" s="46">
        <f t="shared" si="308"/>
        <v>2150</v>
      </c>
      <c r="M422" s="46">
        <f>L422</f>
        <v>2150</v>
      </c>
      <c r="N422" s="46">
        <f>L422</f>
        <v>2150</v>
      </c>
      <c r="O422" s="46">
        <f t="shared" si="304"/>
        <v>2200</v>
      </c>
      <c r="P422" s="46">
        <f t="shared" ref="P422" si="337">O418</f>
        <v>2200</v>
      </c>
    </row>
    <row r="423" spans="1:16" x14ac:dyDescent="0.25">
      <c r="A423" s="45">
        <f>1/((1/Show!$A$4)-(1/Calc!K423))</f>
        <v>40.758293838862556</v>
      </c>
      <c r="B423" s="45">
        <f>MATCH(A423*Calc!$R$12,Calc!$K$1:$K$774,1)</f>
        <v>260</v>
      </c>
      <c r="C423" s="45">
        <f>INDEX(Calc!$K$1:$K$774,B423)</f>
        <v>42.2</v>
      </c>
      <c r="D423" s="45">
        <f>1/(1/C423+1/Calc!K423)</f>
        <v>41.387647112489738</v>
      </c>
      <c r="E423" s="45">
        <f>ABS(Show!$A$4-D423)/(Show!$A$4/100)</f>
        <v>3.4691177812243446</v>
      </c>
      <c r="F423" s="46">
        <f>Show!$A$4-Calc!L423</f>
        <v>-2170</v>
      </c>
      <c r="G423" s="46" t="e">
        <f>MATCH(F423*Calc!$R$12,Calc!$K$1:$K$774,1)</f>
        <v>#N/A</v>
      </c>
      <c r="H423" s="46" t="e">
        <f>INDEX(Calc!$K$1:$K$774,G423)</f>
        <v>#N/A</v>
      </c>
      <c r="I423" s="46" t="e">
        <f>H423+Calc!K423</f>
        <v>#N/A</v>
      </c>
      <c r="J423" s="46" t="e">
        <f>ABS(Show!$A$4-I423)/(Show!$A$4/100)</f>
        <v>#N/A</v>
      </c>
      <c r="K423" s="45">
        <f>INDEX(Calc!L423:P423,Show!$B$4)</f>
        <v>2150</v>
      </c>
      <c r="L423" s="46">
        <f t="shared" si="308"/>
        <v>2210</v>
      </c>
      <c r="M423" s="46">
        <f>L422</f>
        <v>2150</v>
      </c>
      <c r="N423" s="46">
        <f>L422</f>
        <v>2150</v>
      </c>
      <c r="O423" s="46">
        <f t="shared" si="304"/>
        <v>2200</v>
      </c>
      <c r="P423" s="46">
        <f t="shared" ref="P423" si="338">O418</f>
        <v>2200</v>
      </c>
    </row>
    <row r="424" spans="1:16" x14ac:dyDescent="0.25">
      <c r="A424" s="45">
        <f>1/((1/Show!$A$4)-(1/Calc!K424))</f>
        <v>40.758293838862556</v>
      </c>
      <c r="B424" s="45">
        <f>MATCH(A424*Calc!$R$12,Calc!$K$1:$K$774,1)</f>
        <v>260</v>
      </c>
      <c r="C424" s="45">
        <f>INDEX(Calc!$K$1:$K$774,B424)</f>
        <v>42.2</v>
      </c>
      <c r="D424" s="45">
        <f>1/(1/C424+1/Calc!K424)</f>
        <v>41.387647112489738</v>
      </c>
      <c r="E424" s="45">
        <f>ABS(Show!$A$4-D424)/(Show!$A$4/100)</f>
        <v>3.4691177812243446</v>
      </c>
      <c r="F424" s="46">
        <f>Show!$A$4-Calc!L424</f>
        <v>-2220</v>
      </c>
      <c r="G424" s="46" t="e">
        <f>MATCH(F424*Calc!$R$12,Calc!$K$1:$K$774,1)</f>
        <v>#N/A</v>
      </c>
      <c r="H424" s="46" t="e">
        <f>INDEX(Calc!$K$1:$K$774,G424)</f>
        <v>#N/A</v>
      </c>
      <c r="I424" s="46" t="e">
        <f>H424+Calc!K424</f>
        <v>#N/A</v>
      </c>
      <c r="J424" s="46" t="e">
        <f>ABS(Show!$A$4-I424)/(Show!$A$4/100)</f>
        <v>#N/A</v>
      </c>
      <c r="K424" s="45">
        <f>INDEX(Calc!L424:P424,Show!$B$4)</f>
        <v>2150</v>
      </c>
      <c r="L424" s="46">
        <f t="shared" si="308"/>
        <v>2260</v>
      </c>
      <c r="M424" s="46">
        <f>L424</f>
        <v>2260</v>
      </c>
      <c r="N424" s="46">
        <f>L422</f>
        <v>2150</v>
      </c>
      <c r="O424" s="46">
        <f t="shared" si="304"/>
        <v>2200</v>
      </c>
      <c r="P424" s="46">
        <f t="shared" ref="P424" si="339">O418</f>
        <v>2200</v>
      </c>
    </row>
    <row r="425" spans="1:16" x14ac:dyDescent="0.25">
      <c r="A425" s="45">
        <f>1/((1/Show!$A$4)-(1/Calc!K425))</f>
        <v>40.686695278969957</v>
      </c>
      <c r="B425" s="45">
        <f>MATCH(A425*Calc!$R$12,Calc!$K$1:$K$774,1)</f>
        <v>260</v>
      </c>
      <c r="C425" s="45">
        <f>INDEX(Calc!$K$1:$K$774,B425)</f>
        <v>42.2</v>
      </c>
      <c r="D425" s="45">
        <f>1/(1/C425+1/Calc!K425)</f>
        <v>41.461736174446564</v>
      </c>
      <c r="E425" s="45">
        <f>ABS(Show!$A$4-D425)/(Show!$A$4/100)</f>
        <v>3.65434043611641</v>
      </c>
      <c r="F425" s="46">
        <f>Show!$A$4-Calc!L425</f>
        <v>-2280</v>
      </c>
      <c r="G425" s="46" t="e">
        <f>MATCH(F425*Calc!$R$12,Calc!$K$1:$K$774,1)</f>
        <v>#N/A</v>
      </c>
      <c r="H425" s="46" t="e">
        <f>INDEX(Calc!$K$1:$K$774,G425)</f>
        <v>#N/A</v>
      </c>
      <c r="I425" s="46" t="e">
        <f>H425+Calc!K425</f>
        <v>#N/A</v>
      </c>
      <c r="J425" s="46" t="e">
        <f>ABS(Show!$A$4-I425)/(Show!$A$4/100)</f>
        <v>#N/A</v>
      </c>
      <c r="K425" s="45">
        <f>INDEX(Calc!L425:P425,Show!$B$4)</f>
        <v>2370</v>
      </c>
      <c r="L425" s="46">
        <f t="shared" si="308"/>
        <v>2320</v>
      </c>
      <c r="M425" s="46">
        <f>L424</f>
        <v>2260</v>
      </c>
      <c r="N425" s="46">
        <f>L426</f>
        <v>2370</v>
      </c>
      <c r="O425" s="46">
        <f t="shared" si="304"/>
        <v>2200</v>
      </c>
      <c r="P425" s="46">
        <f t="shared" ref="P425" si="340">O418</f>
        <v>2200</v>
      </c>
    </row>
    <row r="426" spans="1:16" x14ac:dyDescent="0.25">
      <c r="A426" s="45">
        <f>1/((1/Show!$A$4)-(1/Calc!K426))</f>
        <v>40.686695278969957</v>
      </c>
      <c r="B426" s="45">
        <f>MATCH(A426*Calc!$R$12,Calc!$K$1:$K$774,1)</f>
        <v>260</v>
      </c>
      <c r="C426" s="45">
        <f>INDEX(Calc!$K$1:$K$774,B426)</f>
        <v>42.2</v>
      </c>
      <c r="D426" s="45">
        <f>1/(1/C426+1/Calc!K426)</f>
        <v>41.461736174446564</v>
      </c>
      <c r="E426" s="45">
        <f>ABS(Show!$A$4-D426)/(Show!$A$4/100)</f>
        <v>3.65434043611641</v>
      </c>
      <c r="F426" s="46">
        <f>Show!$A$4-Calc!L426</f>
        <v>-2330</v>
      </c>
      <c r="G426" s="46" t="e">
        <f>MATCH(F426*Calc!$R$12,Calc!$K$1:$K$774,1)</f>
        <v>#N/A</v>
      </c>
      <c r="H426" s="46" t="e">
        <f>INDEX(Calc!$K$1:$K$774,G426)</f>
        <v>#N/A</v>
      </c>
      <c r="I426" s="46" t="e">
        <f>H426+Calc!K426</f>
        <v>#N/A</v>
      </c>
      <c r="J426" s="46" t="e">
        <f>ABS(Show!$A$4-I426)/(Show!$A$4/100)</f>
        <v>#N/A</v>
      </c>
      <c r="K426" s="45">
        <f>INDEX(Calc!L426:P426,Show!$B$4)</f>
        <v>2370</v>
      </c>
      <c r="L426" s="46">
        <f t="shared" si="308"/>
        <v>2370</v>
      </c>
      <c r="M426" s="46">
        <f>L426</f>
        <v>2370</v>
      </c>
      <c r="N426" s="46">
        <f>L426</f>
        <v>2370</v>
      </c>
      <c r="O426" s="46">
        <f t="shared" si="304"/>
        <v>2700</v>
      </c>
      <c r="P426" s="46">
        <f t="shared" ref="P426" si="341">O418</f>
        <v>2200</v>
      </c>
    </row>
    <row r="427" spans="1:16" x14ac:dyDescent="0.25">
      <c r="A427" s="45">
        <f>1/((1/Show!$A$4)-(1/Calc!K427))</f>
        <v>40.686695278969957</v>
      </c>
      <c r="B427" s="45">
        <f>MATCH(A427*Calc!$R$12,Calc!$K$1:$K$774,1)</f>
        <v>260</v>
      </c>
      <c r="C427" s="45">
        <f>INDEX(Calc!$K$1:$K$774,B427)</f>
        <v>42.2</v>
      </c>
      <c r="D427" s="45">
        <f>1/(1/C427+1/Calc!K427)</f>
        <v>41.461736174446564</v>
      </c>
      <c r="E427" s="45">
        <f>ABS(Show!$A$4-D427)/(Show!$A$4/100)</f>
        <v>3.65434043611641</v>
      </c>
      <c r="F427" s="46">
        <f>Show!$A$4-Calc!L427</f>
        <v>-2390</v>
      </c>
      <c r="G427" s="46" t="e">
        <f>MATCH(F427*Calc!$R$12,Calc!$K$1:$K$774,1)</f>
        <v>#N/A</v>
      </c>
      <c r="H427" s="46" t="e">
        <f>INDEX(Calc!$K$1:$K$774,G427)</f>
        <v>#N/A</v>
      </c>
      <c r="I427" s="46" t="e">
        <f>H427+Calc!K427</f>
        <v>#N/A</v>
      </c>
      <c r="J427" s="46" t="e">
        <f>ABS(Show!$A$4-I427)/(Show!$A$4/100)</f>
        <v>#N/A</v>
      </c>
      <c r="K427" s="45">
        <f>INDEX(Calc!L427:P427,Show!$B$4)</f>
        <v>2370</v>
      </c>
      <c r="L427" s="46">
        <f t="shared" si="308"/>
        <v>2430</v>
      </c>
      <c r="M427" s="46">
        <f>L426</f>
        <v>2370</v>
      </c>
      <c r="N427" s="46">
        <f>L426</f>
        <v>2370</v>
      </c>
      <c r="O427" s="46">
        <f t="shared" si="304"/>
        <v>2700</v>
      </c>
      <c r="P427" s="46">
        <f t="shared" ref="P427" si="342">O418</f>
        <v>2200</v>
      </c>
    </row>
    <row r="428" spans="1:16" x14ac:dyDescent="0.25">
      <c r="A428" s="45">
        <f>1/((1/Show!$A$4)-(1/Calc!K428))</f>
        <v>40.686695278969957</v>
      </c>
      <c r="B428" s="45">
        <f>MATCH(A428*Calc!$R$12,Calc!$K$1:$K$774,1)</f>
        <v>260</v>
      </c>
      <c r="C428" s="45">
        <f>INDEX(Calc!$K$1:$K$774,B428)</f>
        <v>42.2</v>
      </c>
      <c r="D428" s="45">
        <f>1/(1/C428+1/Calc!K428)</f>
        <v>41.461736174446564</v>
      </c>
      <c r="E428" s="45">
        <f>ABS(Show!$A$4-D428)/(Show!$A$4/100)</f>
        <v>3.65434043611641</v>
      </c>
      <c r="F428" s="46">
        <f>Show!$A$4-Calc!L428</f>
        <v>-2450</v>
      </c>
      <c r="G428" s="46" t="e">
        <f>MATCH(F428*Calc!$R$12,Calc!$K$1:$K$774,1)</f>
        <v>#N/A</v>
      </c>
      <c r="H428" s="46" t="e">
        <f>INDEX(Calc!$K$1:$K$774,G428)</f>
        <v>#N/A</v>
      </c>
      <c r="I428" s="46" t="e">
        <f>H428+Calc!K428</f>
        <v>#N/A</v>
      </c>
      <c r="J428" s="46" t="e">
        <f>ABS(Show!$A$4-I428)/(Show!$A$4/100)</f>
        <v>#N/A</v>
      </c>
      <c r="K428" s="45">
        <f>INDEX(Calc!L428:P428,Show!$B$4)</f>
        <v>2370</v>
      </c>
      <c r="L428" s="46">
        <f t="shared" si="308"/>
        <v>2490</v>
      </c>
      <c r="M428" s="46">
        <f>L428</f>
        <v>2490</v>
      </c>
      <c r="N428" s="46">
        <f>L426</f>
        <v>2370</v>
      </c>
      <c r="O428" s="46">
        <f t="shared" si="304"/>
        <v>2700</v>
      </c>
      <c r="P428" s="46">
        <f t="shared" ref="P428" si="343">O418</f>
        <v>2200</v>
      </c>
    </row>
    <row r="429" spans="1:16" x14ac:dyDescent="0.25">
      <c r="A429" s="45">
        <f>1/((1/Show!$A$4)-(1/Calc!K429))</f>
        <v>40.622568093385212</v>
      </c>
      <c r="B429" s="45">
        <f>MATCH(A429*Calc!$R$12,Calc!$K$1:$K$774,1)</f>
        <v>260</v>
      </c>
      <c r="C429" s="45">
        <f>INDEX(Calc!$K$1:$K$774,B429)</f>
        <v>42.2</v>
      </c>
      <c r="D429" s="45">
        <f>1/(1/C429+1/Calc!K429)</f>
        <v>41.528542342206471</v>
      </c>
      <c r="E429" s="45">
        <f>ABS(Show!$A$4-D429)/(Show!$A$4/100)</f>
        <v>3.8213558555161775</v>
      </c>
      <c r="F429" s="46">
        <f>Show!$A$4-Calc!L429</f>
        <v>-2510</v>
      </c>
      <c r="G429" s="46" t="e">
        <f>MATCH(F429*Calc!$R$12,Calc!$K$1:$K$774,1)</f>
        <v>#N/A</v>
      </c>
      <c r="H429" s="46" t="e">
        <f>INDEX(Calc!$K$1:$K$774,G429)</f>
        <v>#N/A</v>
      </c>
      <c r="I429" s="46" t="e">
        <f>H429+Calc!K429</f>
        <v>#N/A</v>
      </c>
      <c r="J429" s="46" t="e">
        <f>ABS(Show!$A$4-I429)/(Show!$A$4/100)</f>
        <v>#N/A</v>
      </c>
      <c r="K429" s="45">
        <f>INDEX(Calc!L429:P429,Show!$B$4)</f>
        <v>2610</v>
      </c>
      <c r="L429" s="46">
        <f t="shared" si="308"/>
        <v>2550</v>
      </c>
      <c r="M429" s="46">
        <f>L428</f>
        <v>2490</v>
      </c>
      <c r="N429" s="46">
        <f>L430</f>
        <v>2610</v>
      </c>
      <c r="O429" s="46">
        <f t="shared" si="304"/>
        <v>2700</v>
      </c>
      <c r="P429" s="46">
        <f t="shared" ref="P429" si="344">O418</f>
        <v>2200</v>
      </c>
    </row>
    <row r="430" spans="1:16" x14ac:dyDescent="0.25">
      <c r="A430" s="45">
        <f>1/((1/Show!$A$4)-(1/Calc!K430))</f>
        <v>40.622568093385212</v>
      </c>
      <c r="B430" s="45">
        <f>MATCH(A430*Calc!$R$12,Calc!$K$1:$K$774,1)</f>
        <v>260</v>
      </c>
      <c r="C430" s="45">
        <f>INDEX(Calc!$K$1:$K$774,B430)</f>
        <v>42.2</v>
      </c>
      <c r="D430" s="45">
        <f>1/(1/C430+1/Calc!K430)</f>
        <v>41.528542342206471</v>
      </c>
      <c r="E430" s="45">
        <f>ABS(Show!$A$4-D430)/(Show!$A$4/100)</f>
        <v>3.8213558555161775</v>
      </c>
      <c r="F430" s="46">
        <f>Show!$A$4-Calc!L430</f>
        <v>-2570</v>
      </c>
      <c r="G430" s="46" t="e">
        <f>MATCH(F430*Calc!$R$12,Calc!$K$1:$K$774,1)</f>
        <v>#N/A</v>
      </c>
      <c r="H430" s="46" t="e">
        <f>INDEX(Calc!$K$1:$K$774,G430)</f>
        <v>#N/A</v>
      </c>
      <c r="I430" s="46" t="e">
        <f>H430+Calc!K430</f>
        <v>#N/A</v>
      </c>
      <c r="J430" s="46" t="e">
        <f>ABS(Show!$A$4-I430)/(Show!$A$4/100)</f>
        <v>#N/A</v>
      </c>
      <c r="K430" s="45">
        <f>INDEX(Calc!L430:P430,Show!$B$4)</f>
        <v>2610</v>
      </c>
      <c r="L430" s="46">
        <f t="shared" si="308"/>
        <v>2610</v>
      </c>
      <c r="M430" s="46">
        <f>L430</f>
        <v>2610</v>
      </c>
      <c r="N430" s="46">
        <f>L430</f>
        <v>2610</v>
      </c>
      <c r="O430" s="46">
        <f t="shared" si="304"/>
        <v>2700</v>
      </c>
      <c r="P430" s="46">
        <f t="shared" ref="P430" si="345">O434</f>
        <v>3300</v>
      </c>
    </row>
    <row r="431" spans="1:16" x14ac:dyDescent="0.25">
      <c r="A431" s="45">
        <f>1/((1/Show!$A$4)-(1/Calc!K431))</f>
        <v>40.622568093385212</v>
      </c>
      <c r="B431" s="45">
        <f>MATCH(A431*Calc!$R$12,Calc!$K$1:$K$774,1)</f>
        <v>260</v>
      </c>
      <c r="C431" s="45">
        <f>INDEX(Calc!$K$1:$K$774,B431)</f>
        <v>42.2</v>
      </c>
      <c r="D431" s="45">
        <f>1/(1/C431+1/Calc!K431)</f>
        <v>41.528542342206471</v>
      </c>
      <c r="E431" s="45">
        <f>ABS(Show!$A$4-D431)/(Show!$A$4/100)</f>
        <v>3.8213558555161775</v>
      </c>
      <c r="F431" s="46">
        <f>Show!$A$4-Calc!L431</f>
        <v>-2630</v>
      </c>
      <c r="G431" s="46" t="e">
        <f>MATCH(F431*Calc!$R$12,Calc!$K$1:$K$774,1)</f>
        <v>#N/A</v>
      </c>
      <c r="H431" s="46" t="e">
        <f>INDEX(Calc!$K$1:$K$774,G431)</f>
        <v>#N/A</v>
      </c>
      <c r="I431" s="46" t="e">
        <f>H431+Calc!K431</f>
        <v>#N/A</v>
      </c>
      <c r="J431" s="46" t="e">
        <f>ABS(Show!$A$4-I431)/(Show!$A$4/100)</f>
        <v>#N/A</v>
      </c>
      <c r="K431" s="45">
        <f>INDEX(Calc!L431:P431,Show!$B$4)</f>
        <v>2610</v>
      </c>
      <c r="L431" s="46">
        <f t="shared" si="308"/>
        <v>2670</v>
      </c>
      <c r="M431" s="46">
        <f>L430</f>
        <v>2610</v>
      </c>
      <c r="N431" s="46">
        <f>L430</f>
        <v>2610</v>
      </c>
      <c r="O431" s="46">
        <f t="shared" si="304"/>
        <v>2700</v>
      </c>
      <c r="P431" s="46">
        <f t="shared" ref="P431" si="346">O434</f>
        <v>3300</v>
      </c>
    </row>
    <row r="432" spans="1:16" x14ac:dyDescent="0.25">
      <c r="A432" s="45">
        <f>1/((1/Show!$A$4)-(1/Calc!K432))</f>
        <v>40.622568093385212</v>
      </c>
      <c r="B432" s="45">
        <f>MATCH(A432*Calc!$R$12,Calc!$K$1:$K$774,1)</f>
        <v>260</v>
      </c>
      <c r="C432" s="45">
        <f>INDEX(Calc!$K$1:$K$774,B432)</f>
        <v>42.2</v>
      </c>
      <c r="D432" s="45">
        <f>1/(1/C432+1/Calc!K432)</f>
        <v>41.528542342206471</v>
      </c>
      <c r="E432" s="45">
        <f>ABS(Show!$A$4-D432)/(Show!$A$4/100)</f>
        <v>3.8213558555161775</v>
      </c>
      <c r="F432" s="46">
        <f>Show!$A$4-Calc!L432</f>
        <v>-2699.9999999999995</v>
      </c>
      <c r="G432" s="46" t="e">
        <f>MATCH(F432*Calc!$R$12,Calc!$K$1:$K$774,1)</f>
        <v>#N/A</v>
      </c>
      <c r="H432" s="46" t="e">
        <f>INDEX(Calc!$K$1:$K$774,G432)</f>
        <v>#N/A</v>
      </c>
      <c r="I432" s="46" t="e">
        <f>H432+Calc!K432</f>
        <v>#N/A</v>
      </c>
      <c r="J432" s="46" t="e">
        <f>ABS(Show!$A$4-I432)/(Show!$A$4/100)</f>
        <v>#N/A</v>
      </c>
      <c r="K432" s="45">
        <f>INDEX(Calc!L432:P432,Show!$B$4)</f>
        <v>2610</v>
      </c>
      <c r="L432" s="46">
        <f t="shared" si="308"/>
        <v>2739.9999999999995</v>
      </c>
      <c r="M432" s="46">
        <f>L432</f>
        <v>2739.9999999999995</v>
      </c>
      <c r="N432" s="46">
        <f>L430</f>
        <v>2610</v>
      </c>
      <c r="O432" s="46">
        <f t="shared" si="304"/>
        <v>2700</v>
      </c>
      <c r="P432" s="46">
        <f t="shared" ref="P432" si="347">O434</f>
        <v>3300</v>
      </c>
    </row>
    <row r="433" spans="1:16" x14ac:dyDescent="0.25">
      <c r="A433" s="45">
        <f>1/((1/Show!$A$4)-(1/Calc!K433))</f>
        <v>40.565371024734979</v>
      </c>
      <c r="B433" s="45">
        <f>MATCH(A433*Calc!$R$12,Calc!$K$1:$K$774,1)</f>
        <v>260</v>
      </c>
      <c r="C433" s="45">
        <f>INDEX(Calc!$K$1:$K$774,B433)</f>
        <v>42.2</v>
      </c>
      <c r="D433" s="45">
        <f>1/(1/C433+1/Calc!K433)</f>
        <v>41.588489801524624</v>
      </c>
      <c r="E433" s="45">
        <f>ABS(Show!$A$4-D433)/(Show!$A$4/100)</f>
        <v>3.971224503811559</v>
      </c>
      <c r="F433" s="46">
        <f>Show!$A$4-Calc!L433</f>
        <v>-2760.0000000000005</v>
      </c>
      <c r="G433" s="46" t="e">
        <f>MATCH(F433*Calc!$R$12,Calc!$K$1:$K$774,1)</f>
        <v>#N/A</v>
      </c>
      <c r="H433" s="46" t="e">
        <f>INDEX(Calc!$K$1:$K$774,G433)</f>
        <v>#N/A</v>
      </c>
      <c r="I433" s="46" t="e">
        <f>H433+Calc!K433</f>
        <v>#N/A</v>
      </c>
      <c r="J433" s="46" t="e">
        <f>ABS(Show!$A$4-I433)/(Show!$A$4/100)</f>
        <v>#N/A</v>
      </c>
      <c r="K433" s="45">
        <f>INDEX(Calc!L433:P433,Show!$B$4)</f>
        <v>2870</v>
      </c>
      <c r="L433" s="46">
        <f t="shared" si="308"/>
        <v>2800.0000000000005</v>
      </c>
      <c r="M433" s="46">
        <f>L432</f>
        <v>2739.9999999999995</v>
      </c>
      <c r="N433" s="46">
        <f>L434</f>
        <v>2870</v>
      </c>
      <c r="O433" s="46">
        <f t="shared" si="304"/>
        <v>2700</v>
      </c>
      <c r="P433" s="46">
        <f t="shared" ref="P433" si="348">O434</f>
        <v>3300</v>
      </c>
    </row>
    <row r="434" spans="1:16" x14ac:dyDescent="0.25">
      <c r="A434" s="45">
        <f>1/((1/Show!$A$4)-(1/Calc!K434))</f>
        <v>40.565371024734979</v>
      </c>
      <c r="B434" s="45">
        <f>MATCH(A434*Calc!$R$12,Calc!$K$1:$K$774,1)</f>
        <v>260</v>
      </c>
      <c r="C434" s="45">
        <f>INDEX(Calc!$K$1:$K$774,B434)</f>
        <v>42.2</v>
      </c>
      <c r="D434" s="45">
        <f>1/(1/C434+1/Calc!K434)</f>
        <v>41.588489801524624</v>
      </c>
      <c r="E434" s="45">
        <f>ABS(Show!$A$4-D434)/(Show!$A$4/100)</f>
        <v>3.971224503811559</v>
      </c>
      <c r="F434" s="46">
        <f>Show!$A$4-Calc!L434</f>
        <v>-2830</v>
      </c>
      <c r="G434" s="46" t="e">
        <f>MATCH(F434*Calc!$R$12,Calc!$K$1:$K$774,1)</f>
        <v>#N/A</v>
      </c>
      <c r="H434" s="46" t="e">
        <f>INDEX(Calc!$K$1:$K$774,G434)</f>
        <v>#N/A</v>
      </c>
      <c r="I434" s="46" t="e">
        <f>H434+Calc!K434</f>
        <v>#N/A</v>
      </c>
      <c r="J434" s="46" t="e">
        <f>ABS(Show!$A$4-I434)/(Show!$A$4/100)</f>
        <v>#N/A</v>
      </c>
      <c r="K434" s="45">
        <f>INDEX(Calc!L434:P434,Show!$B$4)</f>
        <v>2870</v>
      </c>
      <c r="L434" s="46">
        <f t="shared" si="308"/>
        <v>2870</v>
      </c>
      <c r="M434" s="46">
        <f>L434</f>
        <v>2870</v>
      </c>
      <c r="N434" s="46">
        <f>L434</f>
        <v>2870</v>
      </c>
      <c r="O434" s="46">
        <f t="shared" si="304"/>
        <v>3300</v>
      </c>
      <c r="P434" s="46">
        <f t="shared" ref="P434" si="349">O434</f>
        <v>3300</v>
      </c>
    </row>
    <row r="435" spans="1:16" x14ac:dyDescent="0.25">
      <c r="A435" s="45">
        <f>1/((1/Show!$A$4)-(1/Calc!K435))</f>
        <v>40.565371024734979</v>
      </c>
      <c r="B435" s="45">
        <f>MATCH(A435*Calc!$R$12,Calc!$K$1:$K$774,1)</f>
        <v>260</v>
      </c>
      <c r="C435" s="45">
        <f>INDEX(Calc!$K$1:$K$774,B435)</f>
        <v>42.2</v>
      </c>
      <c r="D435" s="45">
        <f>1/(1/C435+1/Calc!K435)</f>
        <v>41.588489801524624</v>
      </c>
      <c r="E435" s="45">
        <f>ABS(Show!$A$4-D435)/(Show!$A$4/100)</f>
        <v>3.971224503811559</v>
      </c>
      <c r="F435" s="46">
        <f>Show!$A$4-Calc!L435</f>
        <v>-2900</v>
      </c>
      <c r="G435" s="46" t="e">
        <f>MATCH(F435*Calc!$R$12,Calc!$K$1:$K$774,1)</f>
        <v>#N/A</v>
      </c>
      <c r="H435" s="46" t="e">
        <f>INDEX(Calc!$K$1:$K$774,G435)</f>
        <v>#N/A</v>
      </c>
      <c r="I435" s="46" t="e">
        <f>H435+Calc!K435</f>
        <v>#N/A</v>
      </c>
      <c r="J435" s="46" t="e">
        <f>ABS(Show!$A$4-I435)/(Show!$A$4/100)</f>
        <v>#N/A</v>
      </c>
      <c r="K435" s="45">
        <f>INDEX(Calc!L435:P435,Show!$B$4)</f>
        <v>2870</v>
      </c>
      <c r="L435" s="46">
        <f t="shared" si="308"/>
        <v>2940</v>
      </c>
      <c r="M435" s="46">
        <f>L434</f>
        <v>2870</v>
      </c>
      <c r="N435" s="46">
        <f>L434</f>
        <v>2870</v>
      </c>
      <c r="O435" s="46">
        <f t="shared" si="304"/>
        <v>3300</v>
      </c>
      <c r="P435" s="46">
        <f t="shared" ref="P435" si="350">O434</f>
        <v>3300</v>
      </c>
    </row>
    <row r="436" spans="1:16" x14ac:dyDescent="0.25">
      <c r="A436" s="45">
        <f>1/((1/Show!$A$4)-(1/Calc!K436))</f>
        <v>40.565371024734979</v>
      </c>
      <c r="B436" s="45">
        <f>MATCH(A436*Calc!$R$12,Calc!$K$1:$K$774,1)</f>
        <v>260</v>
      </c>
      <c r="C436" s="45">
        <f>INDEX(Calc!$K$1:$K$774,B436)</f>
        <v>42.2</v>
      </c>
      <c r="D436" s="45">
        <f>1/(1/C436+1/Calc!K436)</f>
        <v>41.588489801524624</v>
      </c>
      <c r="E436" s="45">
        <f>ABS(Show!$A$4-D436)/(Show!$A$4/100)</f>
        <v>3.971224503811559</v>
      </c>
      <c r="F436" s="46">
        <f>Show!$A$4-Calc!L436</f>
        <v>-2970</v>
      </c>
      <c r="G436" s="46" t="e">
        <f>MATCH(F436*Calc!$R$12,Calc!$K$1:$K$774,1)</f>
        <v>#N/A</v>
      </c>
      <c r="H436" s="46" t="e">
        <f>INDEX(Calc!$K$1:$K$774,G436)</f>
        <v>#N/A</v>
      </c>
      <c r="I436" s="46" t="e">
        <f>H436+Calc!K436</f>
        <v>#N/A</v>
      </c>
      <c r="J436" s="46" t="e">
        <f>ABS(Show!$A$4-I436)/(Show!$A$4/100)</f>
        <v>#N/A</v>
      </c>
      <c r="K436" s="45">
        <f>INDEX(Calc!L436:P436,Show!$B$4)</f>
        <v>2870</v>
      </c>
      <c r="L436" s="46">
        <f t="shared" si="308"/>
        <v>3010</v>
      </c>
      <c r="M436" s="46">
        <f>L436</f>
        <v>3010</v>
      </c>
      <c r="N436" s="46">
        <f>L434</f>
        <v>2870</v>
      </c>
      <c r="O436" s="46">
        <f t="shared" si="304"/>
        <v>3300</v>
      </c>
      <c r="P436" s="46">
        <f t="shared" ref="P436" si="351">O434</f>
        <v>3300</v>
      </c>
    </row>
    <row r="437" spans="1:16" x14ac:dyDescent="0.25">
      <c r="A437" s="45">
        <f>1/((1/Show!$A$4)-(1/Calc!K437))</f>
        <v>40.512820512820511</v>
      </c>
      <c r="B437" s="45">
        <f>MATCH(A437*Calc!$R$12,Calc!$K$1:$K$774,1)</f>
        <v>260</v>
      </c>
      <c r="C437" s="45">
        <f>INDEX(Calc!$K$1:$K$774,B437)</f>
        <v>42.2</v>
      </c>
      <c r="D437" s="45">
        <f>1/(1/C437+1/Calc!K437)</f>
        <v>41.643869839485355</v>
      </c>
      <c r="E437" s="45">
        <f>ABS(Show!$A$4-D437)/(Show!$A$4/100)</f>
        <v>4.1096745987133865</v>
      </c>
      <c r="F437" s="46">
        <f>Show!$A$4-Calc!L437</f>
        <v>-3050</v>
      </c>
      <c r="G437" s="46" t="e">
        <f>MATCH(F437*Calc!$R$12,Calc!$K$1:$K$774,1)</f>
        <v>#N/A</v>
      </c>
      <c r="H437" s="46" t="e">
        <f>INDEX(Calc!$K$1:$K$774,G437)</f>
        <v>#N/A</v>
      </c>
      <c r="I437" s="46" t="e">
        <f>H437+Calc!K437</f>
        <v>#N/A</v>
      </c>
      <c r="J437" s="46" t="e">
        <f>ABS(Show!$A$4-I437)/(Show!$A$4/100)</f>
        <v>#N/A</v>
      </c>
      <c r="K437" s="45">
        <f>INDEX(Calc!L437:P437,Show!$B$4)</f>
        <v>3160</v>
      </c>
      <c r="L437" s="46">
        <f t="shared" si="308"/>
        <v>3090</v>
      </c>
      <c r="M437" s="46">
        <f>L436</f>
        <v>3010</v>
      </c>
      <c r="N437" s="46">
        <f>L438</f>
        <v>3160</v>
      </c>
      <c r="O437" s="46">
        <f t="shared" si="304"/>
        <v>3300</v>
      </c>
      <c r="P437" s="46">
        <f t="shared" ref="P437" si="352">O434</f>
        <v>3300</v>
      </c>
    </row>
    <row r="438" spans="1:16" x14ac:dyDescent="0.25">
      <c r="A438" s="45">
        <f>1/((1/Show!$A$4)-(1/Calc!K438))</f>
        <v>40.512820512820511</v>
      </c>
      <c r="B438" s="45">
        <f>MATCH(A438*Calc!$R$12,Calc!$K$1:$K$774,1)</f>
        <v>260</v>
      </c>
      <c r="C438" s="45">
        <f>INDEX(Calc!$K$1:$K$774,B438)</f>
        <v>42.2</v>
      </c>
      <c r="D438" s="45">
        <f>1/(1/C438+1/Calc!K438)</f>
        <v>41.643869839485355</v>
      </c>
      <c r="E438" s="45">
        <f>ABS(Show!$A$4-D438)/(Show!$A$4/100)</f>
        <v>4.1096745987133865</v>
      </c>
      <c r="F438" s="46">
        <f>Show!$A$4-Calc!L438</f>
        <v>-3120</v>
      </c>
      <c r="G438" s="46" t="e">
        <f>MATCH(F438*Calc!$R$12,Calc!$K$1:$K$774,1)</f>
        <v>#N/A</v>
      </c>
      <c r="H438" s="46" t="e">
        <f>INDEX(Calc!$K$1:$K$774,G438)</f>
        <v>#N/A</v>
      </c>
      <c r="I438" s="46" t="e">
        <f>H438+Calc!K438</f>
        <v>#N/A</v>
      </c>
      <c r="J438" s="46" t="e">
        <f>ABS(Show!$A$4-I438)/(Show!$A$4/100)</f>
        <v>#N/A</v>
      </c>
      <c r="K438" s="45">
        <f>INDEX(Calc!L438:P438,Show!$B$4)</f>
        <v>3160</v>
      </c>
      <c r="L438" s="46">
        <f t="shared" si="308"/>
        <v>3160</v>
      </c>
      <c r="M438" s="46">
        <f>L438</f>
        <v>3160</v>
      </c>
      <c r="N438" s="46">
        <f>L438</f>
        <v>3160</v>
      </c>
      <c r="O438" s="46">
        <f t="shared" si="304"/>
        <v>3300</v>
      </c>
      <c r="P438" s="46">
        <f t="shared" ref="P438" si="353">O434</f>
        <v>3300</v>
      </c>
    </row>
    <row r="439" spans="1:16" x14ac:dyDescent="0.25">
      <c r="A439" s="45">
        <f>1/((1/Show!$A$4)-(1/Calc!K439))</f>
        <v>40.512820512820511</v>
      </c>
      <c r="B439" s="45">
        <f>MATCH(A439*Calc!$R$12,Calc!$K$1:$K$774,1)</f>
        <v>260</v>
      </c>
      <c r="C439" s="45">
        <f>INDEX(Calc!$K$1:$K$774,B439)</f>
        <v>42.2</v>
      </c>
      <c r="D439" s="45">
        <f>1/(1/C439+1/Calc!K439)</f>
        <v>41.643869839485355</v>
      </c>
      <c r="E439" s="45">
        <f>ABS(Show!$A$4-D439)/(Show!$A$4/100)</f>
        <v>4.1096745987133865</v>
      </c>
      <c r="F439" s="46">
        <f>Show!$A$4-Calc!L439</f>
        <v>-3200</v>
      </c>
      <c r="G439" s="46" t="e">
        <f>MATCH(F439*Calc!$R$12,Calc!$K$1:$K$774,1)</f>
        <v>#N/A</v>
      </c>
      <c r="H439" s="46" t="e">
        <f>INDEX(Calc!$K$1:$K$774,G439)</f>
        <v>#N/A</v>
      </c>
      <c r="I439" s="46" t="e">
        <f>H439+Calc!K439</f>
        <v>#N/A</v>
      </c>
      <c r="J439" s="46" t="e">
        <f>ABS(Show!$A$4-I439)/(Show!$A$4/100)</f>
        <v>#N/A</v>
      </c>
      <c r="K439" s="45">
        <f>INDEX(Calc!L439:P439,Show!$B$4)</f>
        <v>3160</v>
      </c>
      <c r="L439" s="46">
        <f t="shared" si="308"/>
        <v>3240</v>
      </c>
      <c r="M439" s="46">
        <f>L438</f>
        <v>3160</v>
      </c>
      <c r="N439" s="46">
        <f>L438</f>
        <v>3160</v>
      </c>
      <c r="O439" s="46">
        <f t="shared" si="304"/>
        <v>3300</v>
      </c>
      <c r="P439" s="46">
        <f t="shared" ref="P439" si="354">O434</f>
        <v>3300</v>
      </c>
    </row>
    <row r="440" spans="1:16" x14ac:dyDescent="0.25">
      <c r="A440" s="45">
        <f>1/((1/Show!$A$4)-(1/Calc!K440))</f>
        <v>40.512820512820511</v>
      </c>
      <c r="B440" s="45">
        <f>MATCH(A440*Calc!$R$12,Calc!$K$1:$K$774,1)</f>
        <v>260</v>
      </c>
      <c r="C440" s="45">
        <f>INDEX(Calc!$K$1:$K$774,B440)</f>
        <v>42.2</v>
      </c>
      <c r="D440" s="45">
        <f>1/(1/C440+1/Calc!K440)</f>
        <v>41.643869839485355</v>
      </c>
      <c r="E440" s="45">
        <f>ABS(Show!$A$4-D440)/(Show!$A$4/100)</f>
        <v>4.1096745987133865</v>
      </c>
      <c r="F440" s="46">
        <f>Show!$A$4-Calc!L440</f>
        <v>-3280</v>
      </c>
      <c r="G440" s="46" t="e">
        <f>MATCH(F440*Calc!$R$12,Calc!$K$1:$K$774,1)</f>
        <v>#N/A</v>
      </c>
      <c r="H440" s="46" t="e">
        <f>INDEX(Calc!$K$1:$K$774,G440)</f>
        <v>#N/A</v>
      </c>
      <c r="I440" s="46" t="e">
        <f>H440+Calc!K440</f>
        <v>#N/A</v>
      </c>
      <c r="J440" s="46" t="e">
        <f>ABS(Show!$A$4-I440)/(Show!$A$4/100)</f>
        <v>#N/A</v>
      </c>
      <c r="K440" s="45">
        <f>INDEX(Calc!L440:P440,Show!$B$4)</f>
        <v>3160</v>
      </c>
      <c r="L440" s="46">
        <f t="shared" si="308"/>
        <v>3320</v>
      </c>
      <c r="M440" s="46">
        <f>L440</f>
        <v>3320</v>
      </c>
      <c r="N440" s="46">
        <f>L438</f>
        <v>3160</v>
      </c>
      <c r="O440" s="46">
        <f t="shared" si="304"/>
        <v>3300</v>
      </c>
      <c r="P440" s="46">
        <f t="shared" ref="P440" si="355">O434</f>
        <v>3300</v>
      </c>
    </row>
    <row r="441" spans="1:16" x14ac:dyDescent="0.25">
      <c r="A441" s="45">
        <f>1/((1/Show!$A$4)-(1/Calc!K441))</f>
        <v>40.465116279069768</v>
      </c>
      <c r="B441" s="45">
        <f>MATCH(A441*Calc!$R$12,Calc!$K$1:$K$774,1)</f>
        <v>260</v>
      </c>
      <c r="C441" s="45">
        <f>INDEX(Calc!$K$1:$K$774,B441)</f>
        <v>42.2</v>
      </c>
      <c r="D441" s="45">
        <f>1/(1/C441+1/Calc!K441)</f>
        <v>41.694395548236898</v>
      </c>
      <c r="E441" s="45">
        <f>ABS(Show!$A$4-D441)/(Show!$A$4/100)</f>
        <v>4.2359888705922444</v>
      </c>
      <c r="F441" s="46">
        <f>Show!$A$4-Calc!L441</f>
        <v>-3360.0000000000005</v>
      </c>
      <c r="G441" s="46" t="e">
        <f>MATCH(F441*Calc!$R$12,Calc!$K$1:$K$774,1)</f>
        <v>#N/A</v>
      </c>
      <c r="H441" s="46" t="e">
        <f>INDEX(Calc!$K$1:$K$774,G441)</f>
        <v>#N/A</v>
      </c>
      <c r="I441" s="46" t="e">
        <f>H441+Calc!K441</f>
        <v>#N/A</v>
      </c>
      <c r="J441" s="46" t="e">
        <f>ABS(Show!$A$4-I441)/(Show!$A$4/100)</f>
        <v>#N/A</v>
      </c>
      <c r="K441" s="45">
        <f>INDEX(Calc!L441:P441,Show!$B$4)</f>
        <v>3479.9999999999995</v>
      </c>
      <c r="L441" s="46">
        <f t="shared" si="308"/>
        <v>3400.0000000000005</v>
      </c>
      <c r="M441" s="46">
        <f>L440</f>
        <v>3320</v>
      </c>
      <c r="N441" s="46">
        <f>L442</f>
        <v>3479.9999999999995</v>
      </c>
      <c r="O441" s="46">
        <f t="shared" si="304"/>
        <v>3300</v>
      </c>
      <c r="P441" s="46">
        <f t="shared" ref="P441" si="356">O434</f>
        <v>3300</v>
      </c>
    </row>
    <row r="442" spans="1:16" x14ac:dyDescent="0.25">
      <c r="A442" s="45">
        <f>1/((1/Show!$A$4)-(1/Calc!K442))</f>
        <v>40.465116279069768</v>
      </c>
      <c r="B442" s="45">
        <f>MATCH(A442*Calc!$R$12,Calc!$K$1:$K$774,1)</f>
        <v>260</v>
      </c>
      <c r="C442" s="45">
        <f>INDEX(Calc!$K$1:$K$774,B442)</f>
        <v>42.2</v>
      </c>
      <c r="D442" s="45">
        <f>1/(1/C442+1/Calc!K442)</f>
        <v>41.694395548236898</v>
      </c>
      <c r="E442" s="45">
        <f>ABS(Show!$A$4-D442)/(Show!$A$4/100)</f>
        <v>4.2359888705922444</v>
      </c>
      <c r="F442" s="46">
        <f>Show!$A$4-Calc!L442</f>
        <v>-3439.9999999999995</v>
      </c>
      <c r="G442" s="46" t="e">
        <f>MATCH(F442*Calc!$R$12,Calc!$K$1:$K$774,1)</f>
        <v>#N/A</v>
      </c>
      <c r="H442" s="46" t="e">
        <f>INDEX(Calc!$K$1:$K$774,G442)</f>
        <v>#N/A</v>
      </c>
      <c r="I442" s="46" t="e">
        <f>H442+Calc!K442</f>
        <v>#N/A</v>
      </c>
      <c r="J442" s="46" t="e">
        <f>ABS(Show!$A$4-I442)/(Show!$A$4/100)</f>
        <v>#N/A</v>
      </c>
      <c r="K442" s="45">
        <f>INDEX(Calc!L442:P442,Show!$B$4)</f>
        <v>3479.9999999999995</v>
      </c>
      <c r="L442" s="46">
        <f t="shared" si="308"/>
        <v>3479.9999999999995</v>
      </c>
      <c r="M442" s="46">
        <f>L442</f>
        <v>3479.9999999999995</v>
      </c>
      <c r="N442" s="46">
        <f>L442</f>
        <v>3479.9999999999995</v>
      </c>
      <c r="O442" s="46">
        <f t="shared" si="304"/>
        <v>3900</v>
      </c>
      <c r="P442" s="46">
        <f t="shared" ref="P442" si="357">O434</f>
        <v>3300</v>
      </c>
    </row>
    <row r="443" spans="1:16" x14ac:dyDescent="0.25">
      <c r="A443" s="45">
        <f>1/((1/Show!$A$4)-(1/Calc!K443))</f>
        <v>40.465116279069768</v>
      </c>
      <c r="B443" s="45">
        <f>MATCH(A443*Calc!$R$12,Calc!$K$1:$K$774,1)</f>
        <v>260</v>
      </c>
      <c r="C443" s="45">
        <f>INDEX(Calc!$K$1:$K$774,B443)</f>
        <v>42.2</v>
      </c>
      <c r="D443" s="45">
        <f>1/(1/C443+1/Calc!K443)</f>
        <v>41.694395548236898</v>
      </c>
      <c r="E443" s="45">
        <f>ABS(Show!$A$4-D443)/(Show!$A$4/100)</f>
        <v>4.2359888705922444</v>
      </c>
      <c r="F443" s="46">
        <f>Show!$A$4-Calc!L443</f>
        <v>-3530.0000000000005</v>
      </c>
      <c r="G443" s="46" t="e">
        <f>MATCH(F443*Calc!$R$12,Calc!$K$1:$K$774,1)</f>
        <v>#N/A</v>
      </c>
      <c r="H443" s="46" t="e">
        <f>INDEX(Calc!$K$1:$K$774,G443)</f>
        <v>#N/A</v>
      </c>
      <c r="I443" s="46" t="e">
        <f>H443+Calc!K443</f>
        <v>#N/A</v>
      </c>
      <c r="J443" s="46" t="e">
        <f>ABS(Show!$A$4-I443)/(Show!$A$4/100)</f>
        <v>#N/A</v>
      </c>
      <c r="K443" s="45">
        <f>INDEX(Calc!L443:P443,Show!$B$4)</f>
        <v>3479.9999999999995</v>
      </c>
      <c r="L443" s="46">
        <f t="shared" si="308"/>
        <v>3570.0000000000005</v>
      </c>
      <c r="M443" s="46">
        <f>L442</f>
        <v>3479.9999999999995</v>
      </c>
      <c r="N443" s="46">
        <f>L442</f>
        <v>3479.9999999999995</v>
      </c>
      <c r="O443" s="46">
        <f t="shared" si="304"/>
        <v>3900</v>
      </c>
      <c r="P443" s="46">
        <f t="shared" ref="P443" si="358">O434</f>
        <v>3300</v>
      </c>
    </row>
    <row r="444" spans="1:16" x14ac:dyDescent="0.25">
      <c r="A444" s="45">
        <f>1/((1/Show!$A$4)-(1/Calc!K444))</f>
        <v>40.465116279069768</v>
      </c>
      <c r="B444" s="45">
        <f>MATCH(A444*Calc!$R$12,Calc!$K$1:$K$774,1)</f>
        <v>260</v>
      </c>
      <c r="C444" s="45">
        <f>INDEX(Calc!$K$1:$K$774,B444)</f>
        <v>42.2</v>
      </c>
      <c r="D444" s="45">
        <f>1/(1/C444+1/Calc!K444)</f>
        <v>41.694395548236898</v>
      </c>
      <c r="E444" s="45">
        <f>ABS(Show!$A$4-D444)/(Show!$A$4/100)</f>
        <v>4.2359888705922444</v>
      </c>
      <c r="F444" s="46">
        <f>Show!$A$4-Calc!L444</f>
        <v>-3610</v>
      </c>
      <c r="G444" s="46" t="e">
        <f>MATCH(F444*Calc!$R$12,Calc!$K$1:$K$774,1)</f>
        <v>#N/A</v>
      </c>
      <c r="H444" s="46" t="e">
        <f>INDEX(Calc!$K$1:$K$774,G444)</f>
        <v>#N/A</v>
      </c>
      <c r="I444" s="46" t="e">
        <f>H444+Calc!K444</f>
        <v>#N/A</v>
      </c>
      <c r="J444" s="46" t="e">
        <f>ABS(Show!$A$4-I444)/(Show!$A$4/100)</f>
        <v>#N/A</v>
      </c>
      <c r="K444" s="45">
        <f>INDEX(Calc!L444:P444,Show!$B$4)</f>
        <v>3479.9999999999995</v>
      </c>
      <c r="L444" s="46">
        <f t="shared" si="308"/>
        <v>3650</v>
      </c>
      <c r="M444" s="46">
        <f>L444</f>
        <v>3650</v>
      </c>
      <c r="N444" s="46">
        <f>L442</f>
        <v>3479.9999999999995</v>
      </c>
      <c r="O444" s="46">
        <f t="shared" si="304"/>
        <v>3900</v>
      </c>
      <c r="P444" s="46">
        <f t="shared" ref="P444" si="359">O434</f>
        <v>3300</v>
      </c>
    </row>
    <row r="445" spans="1:16" x14ac:dyDescent="0.25">
      <c r="A445" s="45">
        <f>1/((1/Show!$A$4)-(1/Calc!K445))</f>
        <v>40.422163588390497</v>
      </c>
      <c r="B445" s="45">
        <f>MATCH(A445*Calc!$R$12,Calc!$K$1:$K$774,1)</f>
        <v>260</v>
      </c>
      <c r="C445" s="45">
        <f>INDEX(Calc!$K$1:$K$774,B445)</f>
        <v>42.2</v>
      </c>
      <c r="D445" s="45">
        <f>1/(1/C445+1/Calc!K445)</f>
        <v>41.740096069417909</v>
      </c>
      <c r="E445" s="45">
        <f>ABS(Show!$A$4-D445)/(Show!$A$4/100)</f>
        <v>4.3502401735447727</v>
      </c>
      <c r="F445" s="46">
        <f>Show!$A$4-Calc!L445</f>
        <v>-3700</v>
      </c>
      <c r="G445" s="46" t="e">
        <f>MATCH(F445*Calc!$R$12,Calc!$K$1:$K$774,1)</f>
        <v>#N/A</v>
      </c>
      <c r="H445" s="46" t="e">
        <f>INDEX(Calc!$K$1:$K$774,G445)</f>
        <v>#N/A</v>
      </c>
      <c r="I445" s="46" t="e">
        <f>H445+Calc!K445</f>
        <v>#N/A</v>
      </c>
      <c r="J445" s="46" t="e">
        <f>ABS(Show!$A$4-I445)/(Show!$A$4/100)</f>
        <v>#N/A</v>
      </c>
      <c r="K445" s="45">
        <f>INDEX(Calc!L445:P445,Show!$B$4)</f>
        <v>3829.9999999999995</v>
      </c>
      <c r="L445" s="46">
        <f t="shared" si="308"/>
        <v>3740</v>
      </c>
      <c r="M445" s="46">
        <f>L444</f>
        <v>3650</v>
      </c>
      <c r="N445" s="46">
        <f>L446</f>
        <v>3829.9999999999995</v>
      </c>
      <c r="O445" s="46">
        <f t="shared" si="304"/>
        <v>3900</v>
      </c>
      <c r="P445" s="46">
        <f t="shared" ref="P445" si="360">O434</f>
        <v>3300</v>
      </c>
    </row>
    <row r="446" spans="1:16" x14ac:dyDescent="0.25">
      <c r="A446" s="45">
        <f>1/((1/Show!$A$4)-(1/Calc!K446))</f>
        <v>40.422163588390497</v>
      </c>
      <c r="B446" s="45">
        <f>MATCH(A446*Calc!$R$12,Calc!$K$1:$K$774,1)</f>
        <v>260</v>
      </c>
      <c r="C446" s="45">
        <f>INDEX(Calc!$K$1:$K$774,B446)</f>
        <v>42.2</v>
      </c>
      <c r="D446" s="45">
        <f>1/(1/C446+1/Calc!K446)</f>
        <v>41.740096069417909</v>
      </c>
      <c r="E446" s="45">
        <f>ABS(Show!$A$4-D446)/(Show!$A$4/100)</f>
        <v>4.3502401735447727</v>
      </c>
      <c r="F446" s="46">
        <f>Show!$A$4-Calc!L446</f>
        <v>-3789.9999999999995</v>
      </c>
      <c r="G446" s="46" t="e">
        <f>MATCH(F446*Calc!$R$12,Calc!$K$1:$K$774,1)</f>
        <v>#N/A</v>
      </c>
      <c r="H446" s="46" t="e">
        <f>INDEX(Calc!$K$1:$K$774,G446)</f>
        <v>#N/A</v>
      </c>
      <c r="I446" s="46" t="e">
        <f>H446+Calc!K446</f>
        <v>#N/A</v>
      </c>
      <c r="J446" s="46" t="e">
        <f>ABS(Show!$A$4-I446)/(Show!$A$4/100)</f>
        <v>#N/A</v>
      </c>
      <c r="K446" s="45">
        <f>INDEX(Calc!L446:P446,Show!$B$4)</f>
        <v>3829.9999999999995</v>
      </c>
      <c r="L446" s="46">
        <f t="shared" si="308"/>
        <v>3829.9999999999995</v>
      </c>
      <c r="M446" s="46">
        <f>L446</f>
        <v>3829.9999999999995</v>
      </c>
      <c r="N446" s="46">
        <f>L446</f>
        <v>3829.9999999999995</v>
      </c>
      <c r="O446" s="46">
        <f t="shared" si="304"/>
        <v>3900</v>
      </c>
      <c r="P446" s="46">
        <f t="shared" ref="P446" si="361">O450</f>
        <v>4700</v>
      </c>
    </row>
    <row r="447" spans="1:16" x14ac:dyDescent="0.25">
      <c r="A447" s="45">
        <f>1/((1/Show!$A$4)-(1/Calc!K447))</f>
        <v>40.422163588390497</v>
      </c>
      <c r="B447" s="45">
        <f>MATCH(A447*Calc!$R$12,Calc!$K$1:$K$774,1)</f>
        <v>260</v>
      </c>
      <c r="C447" s="45">
        <f>INDEX(Calc!$K$1:$K$774,B447)</f>
        <v>42.2</v>
      </c>
      <c r="D447" s="45">
        <f>1/(1/C447+1/Calc!K447)</f>
        <v>41.740096069417909</v>
      </c>
      <c r="E447" s="45">
        <f>ABS(Show!$A$4-D447)/(Show!$A$4/100)</f>
        <v>4.3502401735447727</v>
      </c>
      <c r="F447" s="46">
        <f>Show!$A$4-Calc!L447</f>
        <v>-3880</v>
      </c>
      <c r="G447" s="46" t="e">
        <f>MATCH(F447*Calc!$R$12,Calc!$K$1:$K$774,1)</f>
        <v>#N/A</v>
      </c>
      <c r="H447" s="46" t="e">
        <f>INDEX(Calc!$K$1:$K$774,G447)</f>
        <v>#N/A</v>
      </c>
      <c r="I447" s="46" t="e">
        <f>H447+Calc!K447</f>
        <v>#N/A</v>
      </c>
      <c r="J447" s="46" t="e">
        <f>ABS(Show!$A$4-I447)/(Show!$A$4/100)</f>
        <v>#N/A</v>
      </c>
      <c r="K447" s="45">
        <f>INDEX(Calc!L447:P447,Show!$B$4)</f>
        <v>3829.9999999999995</v>
      </c>
      <c r="L447" s="46">
        <f t="shared" si="308"/>
        <v>3920</v>
      </c>
      <c r="M447" s="46">
        <f>L446</f>
        <v>3829.9999999999995</v>
      </c>
      <c r="N447" s="46">
        <f>L446</f>
        <v>3829.9999999999995</v>
      </c>
      <c r="O447" s="46">
        <f t="shared" si="304"/>
        <v>3900</v>
      </c>
      <c r="P447" s="46">
        <f t="shared" ref="P447" si="362">O450</f>
        <v>4700</v>
      </c>
    </row>
    <row r="448" spans="1:16" x14ac:dyDescent="0.25">
      <c r="A448" s="45">
        <f>1/((1/Show!$A$4)-(1/Calc!K448))</f>
        <v>40.422163588390497</v>
      </c>
      <c r="B448" s="45">
        <f>MATCH(A448*Calc!$R$12,Calc!$K$1:$K$774,1)</f>
        <v>260</v>
      </c>
      <c r="C448" s="45">
        <f>INDEX(Calc!$K$1:$K$774,B448)</f>
        <v>42.2</v>
      </c>
      <c r="D448" s="45">
        <f>1/(1/C448+1/Calc!K448)</f>
        <v>41.740096069417909</v>
      </c>
      <c r="E448" s="45">
        <f>ABS(Show!$A$4-D448)/(Show!$A$4/100)</f>
        <v>4.3502401735447727</v>
      </c>
      <c r="F448" s="46">
        <f>Show!$A$4-Calc!L448</f>
        <v>-3980.0000000000005</v>
      </c>
      <c r="G448" s="46" t="e">
        <f>MATCH(F448*Calc!$R$12,Calc!$K$1:$K$774,1)</f>
        <v>#N/A</v>
      </c>
      <c r="H448" s="46" t="e">
        <f>INDEX(Calc!$K$1:$K$774,G448)</f>
        <v>#N/A</v>
      </c>
      <c r="I448" s="46" t="e">
        <f>H448+Calc!K448</f>
        <v>#N/A</v>
      </c>
      <c r="J448" s="46" t="e">
        <f>ABS(Show!$A$4-I448)/(Show!$A$4/100)</f>
        <v>#N/A</v>
      </c>
      <c r="K448" s="45">
        <f>INDEX(Calc!L448:P448,Show!$B$4)</f>
        <v>3829.9999999999995</v>
      </c>
      <c r="L448" s="46">
        <f t="shared" si="308"/>
        <v>4020.0000000000005</v>
      </c>
      <c r="M448" s="46">
        <f>L448</f>
        <v>4020.0000000000005</v>
      </c>
      <c r="N448" s="46">
        <f>L446</f>
        <v>3829.9999999999995</v>
      </c>
      <c r="O448" s="46">
        <f t="shared" si="304"/>
        <v>3900</v>
      </c>
      <c r="P448" s="46">
        <f t="shared" ref="P448" si="363">O450</f>
        <v>4700</v>
      </c>
    </row>
    <row r="449" spans="1:16" x14ac:dyDescent="0.25">
      <c r="A449" s="45">
        <f>1/((1/Show!$A$4)-(1/Calc!K449))</f>
        <v>40.382775119617222</v>
      </c>
      <c r="B449" s="45">
        <f>MATCH(A449*Calc!$R$12,Calc!$K$1:$K$774,1)</f>
        <v>260</v>
      </c>
      <c r="C449" s="45">
        <f>INDEX(Calc!$K$1:$K$774,B449)</f>
        <v>42.2</v>
      </c>
      <c r="D449" s="45">
        <f>1/(1/C449+1/Calc!K449)</f>
        <v>41.782178217821787</v>
      </c>
      <c r="E449" s="45">
        <f>ABS(Show!$A$4-D449)/(Show!$A$4/100)</f>
        <v>4.4554455445544683</v>
      </c>
      <c r="F449" s="46">
        <f>Show!$A$4-Calc!L449</f>
        <v>-4080</v>
      </c>
      <c r="G449" s="46" t="e">
        <f>MATCH(F449*Calc!$R$12,Calc!$K$1:$K$774,1)</f>
        <v>#N/A</v>
      </c>
      <c r="H449" s="46" t="e">
        <f>INDEX(Calc!$K$1:$K$774,G449)</f>
        <v>#N/A</v>
      </c>
      <c r="I449" s="46" t="e">
        <f>H449+Calc!K449</f>
        <v>#N/A</v>
      </c>
      <c r="J449" s="46" t="e">
        <f>ABS(Show!$A$4-I449)/(Show!$A$4/100)</f>
        <v>#N/A</v>
      </c>
      <c r="K449" s="45">
        <f>INDEX(Calc!L449:P449,Show!$B$4)</f>
        <v>4220</v>
      </c>
      <c r="L449" s="46">
        <f t="shared" si="308"/>
        <v>4120</v>
      </c>
      <c r="M449" s="46">
        <f>L448</f>
        <v>4020.0000000000005</v>
      </c>
      <c r="N449" s="46">
        <f>L450</f>
        <v>4220</v>
      </c>
      <c r="O449" s="46">
        <f t="shared" si="304"/>
        <v>3900</v>
      </c>
      <c r="P449" s="46">
        <f t="shared" ref="P449" si="364">O450</f>
        <v>4700</v>
      </c>
    </row>
    <row r="450" spans="1:16" x14ac:dyDescent="0.25">
      <c r="A450" s="45">
        <f>1/((1/Show!$A$4)-(1/Calc!K450))</f>
        <v>40.382775119617222</v>
      </c>
      <c r="B450" s="45">
        <f>MATCH(A450*Calc!$R$12,Calc!$K$1:$K$774,1)</f>
        <v>260</v>
      </c>
      <c r="C450" s="45">
        <f>INDEX(Calc!$K$1:$K$774,B450)</f>
        <v>42.2</v>
      </c>
      <c r="D450" s="45">
        <f>1/(1/C450+1/Calc!K450)</f>
        <v>41.782178217821787</v>
      </c>
      <c r="E450" s="45">
        <f>ABS(Show!$A$4-D450)/(Show!$A$4/100)</f>
        <v>4.4554455445544683</v>
      </c>
      <c r="F450" s="46">
        <f>Show!$A$4-Calc!L450</f>
        <v>-4180</v>
      </c>
      <c r="G450" s="46" t="e">
        <f>MATCH(F450*Calc!$R$12,Calc!$K$1:$K$774,1)</f>
        <v>#N/A</v>
      </c>
      <c r="H450" s="46" t="e">
        <f>INDEX(Calc!$K$1:$K$774,G450)</f>
        <v>#N/A</v>
      </c>
      <c r="I450" s="46" t="e">
        <f>H450+Calc!K450</f>
        <v>#N/A</v>
      </c>
      <c r="J450" s="46" t="e">
        <f>ABS(Show!$A$4-I450)/(Show!$A$4/100)</f>
        <v>#N/A</v>
      </c>
      <c r="K450" s="45">
        <f>INDEX(Calc!L450:P450,Show!$B$4)</f>
        <v>4220</v>
      </c>
      <c r="L450" s="46">
        <f t="shared" si="308"/>
        <v>4220</v>
      </c>
      <c r="M450" s="46">
        <f>L450</f>
        <v>4220</v>
      </c>
      <c r="N450" s="46">
        <f>L450</f>
        <v>4220</v>
      </c>
      <c r="O450" s="46">
        <f t="shared" si="304"/>
        <v>4700</v>
      </c>
      <c r="P450" s="46">
        <f t="shared" ref="P450" si="365">O450</f>
        <v>4700</v>
      </c>
    </row>
    <row r="451" spans="1:16" x14ac:dyDescent="0.25">
      <c r="A451" s="45">
        <f>1/((1/Show!$A$4)-(1/Calc!K451))</f>
        <v>40.382775119617222</v>
      </c>
      <c r="B451" s="45">
        <f>MATCH(A451*Calc!$R$12,Calc!$K$1:$K$774,1)</f>
        <v>260</v>
      </c>
      <c r="C451" s="45">
        <f>INDEX(Calc!$K$1:$K$774,B451)</f>
        <v>42.2</v>
      </c>
      <c r="D451" s="45">
        <f>1/(1/C451+1/Calc!K451)</f>
        <v>41.782178217821787</v>
      </c>
      <c r="E451" s="45">
        <f>ABS(Show!$A$4-D451)/(Show!$A$4/100)</f>
        <v>4.4554455445544683</v>
      </c>
      <c r="F451" s="46">
        <f>Show!$A$4-Calc!L451</f>
        <v>-4280.0000000000009</v>
      </c>
      <c r="G451" s="46" t="e">
        <f>MATCH(F451*Calc!$R$12,Calc!$K$1:$K$774,1)</f>
        <v>#N/A</v>
      </c>
      <c r="H451" s="46" t="e">
        <f>INDEX(Calc!$K$1:$K$774,G451)</f>
        <v>#N/A</v>
      </c>
      <c r="I451" s="46" t="e">
        <f>H451+Calc!K451</f>
        <v>#N/A</v>
      </c>
      <c r="J451" s="46" t="e">
        <f>ABS(Show!$A$4-I451)/(Show!$A$4/100)</f>
        <v>#N/A</v>
      </c>
      <c r="K451" s="45">
        <f>INDEX(Calc!L451:P451,Show!$B$4)</f>
        <v>4220</v>
      </c>
      <c r="L451" s="46">
        <f t="shared" si="308"/>
        <v>4320.0000000000009</v>
      </c>
      <c r="M451" s="46">
        <f>L450</f>
        <v>4220</v>
      </c>
      <c r="N451" s="46">
        <f>L450</f>
        <v>4220</v>
      </c>
      <c r="O451" s="46">
        <f t="shared" si="304"/>
        <v>4700</v>
      </c>
      <c r="P451" s="46">
        <f t="shared" ref="P451" si="366">O450</f>
        <v>4700</v>
      </c>
    </row>
    <row r="452" spans="1:16" x14ac:dyDescent="0.25">
      <c r="A452" s="45">
        <f>1/((1/Show!$A$4)-(1/Calc!K452))</f>
        <v>40.382775119617222</v>
      </c>
      <c r="B452" s="45">
        <f>MATCH(A452*Calc!$R$12,Calc!$K$1:$K$774,1)</f>
        <v>260</v>
      </c>
      <c r="C452" s="45">
        <f>INDEX(Calc!$K$1:$K$774,B452)</f>
        <v>42.2</v>
      </c>
      <c r="D452" s="45">
        <f>1/(1/C452+1/Calc!K452)</f>
        <v>41.782178217821787</v>
      </c>
      <c r="E452" s="45">
        <f>ABS(Show!$A$4-D452)/(Show!$A$4/100)</f>
        <v>4.4554455445544683</v>
      </c>
      <c r="F452" s="46">
        <f>Show!$A$4-Calc!L452</f>
        <v>-4380</v>
      </c>
      <c r="G452" s="46" t="e">
        <f>MATCH(F452*Calc!$R$12,Calc!$K$1:$K$774,1)</f>
        <v>#N/A</v>
      </c>
      <c r="H452" s="46" t="e">
        <f>INDEX(Calc!$K$1:$K$774,G452)</f>
        <v>#N/A</v>
      </c>
      <c r="I452" s="46" t="e">
        <f>H452+Calc!K452</f>
        <v>#N/A</v>
      </c>
      <c r="J452" s="46" t="e">
        <f>ABS(Show!$A$4-I452)/(Show!$A$4/100)</f>
        <v>#N/A</v>
      </c>
      <c r="K452" s="45">
        <f>INDEX(Calc!L452:P452,Show!$B$4)</f>
        <v>4220</v>
      </c>
      <c r="L452" s="46">
        <f t="shared" si="308"/>
        <v>4420</v>
      </c>
      <c r="M452" s="46">
        <f>L452</f>
        <v>4420</v>
      </c>
      <c r="N452" s="46">
        <f>L450</f>
        <v>4220</v>
      </c>
      <c r="O452" s="46">
        <f t="shared" si="304"/>
        <v>4700</v>
      </c>
      <c r="P452" s="46">
        <f t="shared" ref="P452" si="367">O450</f>
        <v>4700</v>
      </c>
    </row>
    <row r="453" spans="1:16" x14ac:dyDescent="0.25">
      <c r="A453" s="45">
        <f>1/((1/Show!$A$4)-(1/Calc!K453))</f>
        <v>40.347826086956523</v>
      </c>
      <c r="B453" s="45">
        <f>MATCH(A453*Calc!$R$12,Calc!$K$1:$K$774,1)</f>
        <v>260</v>
      </c>
      <c r="C453" s="45">
        <f>INDEX(Calc!$K$1:$K$774,B453)</f>
        <v>42.2</v>
      </c>
      <c r="D453" s="45">
        <f>1/(1/C453+1/Calc!K453)</f>
        <v>41.819657425996326</v>
      </c>
      <c r="E453" s="45">
        <f>ABS(Show!$A$4-D453)/(Show!$A$4/100)</f>
        <v>4.5491435649908141</v>
      </c>
      <c r="F453" s="46">
        <f>Show!$A$4-Calc!L453</f>
        <v>-4490</v>
      </c>
      <c r="G453" s="46" t="e">
        <f>MATCH(F453*Calc!$R$12,Calc!$K$1:$K$774,1)</f>
        <v>#N/A</v>
      </c>
      <c r="H453" s="46" t="e">
        <f>INDEX(Calc!$K$1:$K$774,G453)</f>
        <v>#N/A</v>
      </c>
      <c r="I453" s="46" t="e">
        <f>H453+Calc!K453</f>
        <v>#N/A</v>
      </c>
      <c r="J453" s="46" t="e">
        <f>ABS(Show!$A$4-I453)/(Show!$A$4/100)</f>
        <v>#N/A</v>
      </c>
      <c r="K453" s="45">
        <f>INDEX(Calc!L453:P453,Show!$B$4)</f>
        <v>4640</v>
      </c>
      <c r="L453" s="46">
        <f t="shared" si="308"/>
        <v>4530</v>
      </c>
      <c r="M453" s="46">
        <f>L452</f>
        <v>4420</v>
      </c>
      <c r="N453" s="46">
        <f>L454</f>
        <v>4640</v>
      </c>
      <c r="O453" s="46">
        <f t="shared" si="304"/>
        <v>4700</v>
      </c>
      <c r="P453" s="46">
        <f t="shared" ref="P453" si="368">O450</f>
        <v>4700</v>
      </c>
    </row>
    <row r="454" spans="1:16" x14ac:dyDescent="0.25">
      <c r="A454" s="45">
        <f>1/((1/Show!$A$4)-(1/Calc!K454))</f>
        <v>40.347826086956523</v>
      </c>
      <c r="B454" s="45">
        <f>MATCH(A454*Calc!$R$12,Calc!$K$1:$K$774,1)</f>
        <v>260</v>
      </c>
      <c r="C454" s="45">
        <f>INDEX(Calc!$K$1:$K$774,B454)</f>
        <v>42.2</v>
      </c>
      <c r="D454" s="45">
        <f>1/(1/C454+1/Calc!K454)</f>
        <v>41.819657425996326</v>
      </c>
      <c r="E454" s="45">
        <f>ABS(Show!$A$4-D454)/(Show!$A$4/100)</f>
        <v>4.5491435649908141</v>
      </c>
      <c r="F454" s="46">
        <f>Show!$A$4-Calc!L454</f>
        <v>-4600</v>
      </c>
      <c r="G454" s="46" t="e">
        <f>MATCH(F454*Calc!$R$12,Calc!$K$1:$K$774,1)</f>
        <v>#N/A</v>
      </c>
      <c r="H454" s="46" t="e">
        <f>INDEX(Calc!$K$1:$K$774,G454)</f>
        <v>#N/A</v>
      </c>
      <c r="I454" s="46" t="e">
        <f>H454+Calc!K454</f>
        <v>#N/A</v>
      </c>
      <c r="J454" s="46" t="e">
        <f>ABS(Show!$A$4-I454)/(Show!$A$4/100)</f>
        <v>#N/A</v>
      </c>
      <c r="K454" s="45">
        <f>INDEX(Calc!L454:P454,Show!$B$4)</f>
        <v>4640</v>
      </c>
      <c r="L454" s="46">
        <f t="shared" si="308"/>
        <v>4640</v>
      </c>
      <c r="M454" s="46">
        <f>L454</f>
        <v>4640</v>
      </c>
      <c r="N454" s="46">
        <f>L454</f>
        <v>4640</v>
      </c>
      <c r="O454" s="46">
        <f t="shared" si="304"/>
        <v>4700</v>
      </c>
      <c r="P454" s="46">
        <f t="shared" ref="P454" si="369">O450</f>
        <v>4700</v>
      </c>
    </row>
    <row r="455" spans="1:16" x14ac:dyDescent="0.25">
      <c r="A455" s="45">
        <f>1/((1/Show!$A$4)-(1/Calc!K455))</f>
        <v>40.347826086956523</v>
      </c>
      <c r="B455" s="45">
        <f>MATCH(A455*Calc!$R$12,Calc!$K$1:$K$774,1)</f>
        <v>260</v>
      </c>
      <c r="C455" s="45">
        <f>INDEX(Calc!$K$1:$K$774,B455)</f>
        <v>42.2</v>
      </c>
      <c r="D455" s="45">
        <f>1/(1/C455+1/Calc!K455)</f>
        <v>41.819657425996326</v>
      </c>
      <c r="E455" s="45">
        <f>ABS(Show!$A$4-D455)/(Show!$A$4/100)</f>
        <v>4.5491435649908141</v>
      </c>
      <c r="F455" s="46">
        <f>Show!$A$4-Calc!L455</f>
        <v>-4710</v>
      </c>
      <c r="G455" s="46" t="e">
        <f>MATCH(F455*Calc!$R$12,Calc!$K$1:$K$774,1)</f>
        <v>#N/A</v>
      </c>
      <c r="H455" s="46" t="e">
        <f>INDEX(Calc!$K$1:$K$774,G455)</f>
        <v>#N/A</v>
      </c>
      <c r="I455" s="46" t="e">
        <f>H455+Calc!K455</f>
        <v>#N/A</v>
      </c>
      <c r="J455" s="46" t="e">
        <f>ABS(Show!$A$4-I455)/(Show!$A$4/100)</f>
        <v>#N/A</v>
      </c>
      <c r="K455" s="45">
        <f>INDEX(Calc!L455:P455,Show!$B$4)</f>
        <v>4640</v>
      </c>
      <c r="L455" s="46">
        <f t="shared" si="308"/>
        <v>4750</v>
      </c>
      <c r="M455" s="46">
        <f>L454</f>
        <v>4640</v>
      </c>
      <c r="N455" s="46">
        <f>L454</f>
        <v>4640</v>
      </c>
      <c r="O455" s="46">
        <f t="shared" ref="O455:O485" si="370">O71*10000</f>
        <v>4700</v>
      </c>
      <c r="P455" s="46">
        <f t="shared" ref="P455" si="371">O450</f>
        <v>4700</v>
      </c>
    </row>
    <row r="456" spans="1:16" x14ac:dyDescent="0.25">
      <c r="A456" s="45">
        <f>1/((1/Show!$A$4)-(1/Calc!K456))</f>
        <v>40.347826086956523</v>
      </c>
      <c r="B456" s="45">
        <f>MATCH(A456*Calc!$R$12,Calc!$K$1:$K$774,1)</f>
        <v>260</v>
      </c>
      <c r="C456" s="45">
        <f>INDEX(Calc!$K$1:$K$774,B456)</f>
        <v>42.2</v>
      </c>
      <c r="D456" s="45">
        <f>1/(1/C456+1/Calc!K456)</f>
        <v>41.819657425996326</v>
      </c>
      <c r="E456" s="45">
        <f>ABS(Show!$A$4-D456)/(Show!$A$4/100)</f>
        <v>4.5491435649908141</v>
      </c>
      <c r="F456" s="46">
        <f>Show!$A$4-Calc!L456</f>
        <v>-4830</v>
      </c>
      <c r="G456" s="46" t="e">
        <f>MATCH(F456*Calc!$R$12,Calc!$K$1:$K$774,1)</f>
        <v>#N/A</v>
      </c>
      <c r="H456" s="46" t="e">
        <f>INDEX(Calc!$K$1:$K$774,G456)</f>
        <v>#N/A</v>
      </c>
      <c r="I456" s="46" t="e">
        <f>H456+Calc!K456</f>
        <v>#N/A</v>
      </c>
      <c r="J456" s="46" t="e">
        <f>ABS(Show!$A$4-I456)/(Show!$A$4/100)</f>
        <v>#N/A</v>
      </c>
      <c r="K456" s="45">
        <f>INDEX(Calc!L456:P456,Show!$B$4)</f>
        <v>4640</v>
      </c>
      <c r="L456" s="46">
        <f t="shared" si="308"/>
        <v>4870</v>
      </c>
      <c r="M456" s="46">
        <f>L456</f>
        <v>4870</v>
      </c>
      <c r="N456" s="46">
        <f>L454</f>
        <v>4640</v>
      </c>
      <c r="O456" s="46">
        <f t="shared" si="370"/>
        <v>4700</v>
      </c>
      <c r="P456" s="46">
        <f t="shared" ref="P456" si="372">O450</f>
        <v>4700</v>
      </c>
    </row>
    <row r="457" spans="1:16" x14ac:dyDescent="0.25">
      <c r="A457" s="45">
        <f>1/((1/Show!$A$4)-(1/Calc!K457))</f>
        <v>40.315581854043394</v>
      </c>
      <c r="B457" s="45">
        <f>MATCH(A457*Calc!$R$12,Calc!$K$1:$K$774,1)</f>
        <v>260</v>
      </c>
      <c r="C457" s="45">
        <f>INDEX(Calc!$K$1:$K$774,B457)</f>
        <v>42.2</v>
      </c>
      <c r="D457" s="45">
        <f>1/(1/C457+1/Calc!K457)</f>
        <v>41.85435348006677</v>
      </c>
      <c r="E457" s="45">
        <f>ABS(Show!$A$4-D457)/(Show!$A$4/100)</f>
        <v>4.6358837001669251</v>
      </c>
      <c r="F457" s="46">
        <f>Show!$A$4-Calc!L457</f>
        <v>-4950</v>
      </c>
      <c r="G457" s="46" t="e">
        <f>MATCH(F457*Calc!$R$12,Calc!$K$1:$K$774,1)</f>
        <v>#N/A</v>
      </c>
      <c r="H457" s="46" t="e">
        <f>INDEX(Calc!$K$1:$K$774,G457)</f>
        <v>#N/A</v>
      </c>
      <c r="I457" s="46" t="e">
        <f>H457+Calc!K457</f>
        <v>#N/A</v>
      </c>
      <c r="J457" s="46" t="e">
        <f>ABS(Show!$A$4-I457)/(Show!$A$4/100)</f>
        <v>#N/A</v>
      </c>
      <c r="K457" s="45">
        <f>INDEX(Calc!L457:P457,Show!$B$4)</f>
        <v>5110</v>
      </c>
      <c r="L457" s="46">
        <f t="shared" si="308"/>
        <v>4990</v>
      </c>
      <c r="M457" s="46">
        <f>L456</f>
        <v>4870</v>
      </c>
      <c r="N457" s="46">
        <f>L458</f>
        <v>5110</v>
      </c>
      <c r="O457" s="46">
        <f t="shared" si="370"/>
        <v>4700</v>
      </c>
      <c r="P457" s="46">
        <f t="shared" ref="P457" si="373">O450</f>
        <v>4700</v>
      </c>
    </row>
    <row r="458" spans="1:16" x14ac:dyDescent="0.25">
      <c r="A458" s="45">
        <f>1/((1/Show!$A$4)-(1/Calc!K458))</f>
        <v>40.315581854043394</v>
      </c>
      <c r="B458" s="45">
        <f>MATCH(A458*Calc!$R$12,Calc!$K$1:$K$774,1)</f>
        <v>260</v>
      </c>
      <c r="C458" s="45">
        <f>INDEX(Calc!$K$1:$K$774,B458)</f>
        <v>42.2</v>
      </c>
      <c r="D458" s="45">
        <f>1/(1/C458+1/Calc!K458)</f>
        <v>41.85435348006677</v>
      </c>
      <c r="E458" s="45">
        <f>ABS(Show!$A$4-D458)/(Show!$A$4/100)</f>
        <v>4.6358837001669251</v>
      </c>
      <c r="F458" s="46">
        <f>Show!$A$4-Calc!L458</f>
        <v>-5070</v>
      </c>
      <c r="G458" s="46" t="e">
        <f>MATCH(F458*Calc!$R$12,Calc!$K$1:$K$774,1)</f>
        <v>#N/A</v>
      </c>
      <c r="H458" s="46" t="e">
        <f>INDEX(Calc!$K$1:$K$774,G458)</f>
        <v>#N/A</v>
      </c>
      <c r="I458" s="46" t="e">
        <f>H458+Calc!K458</f>
        <v>#N/A</v>
      </c>
      <c r="J458" s="46" t="e">
        <f>ABS(Show!$A$4-I458)/(Show!$A$4/100)</f>
        <v>#N/A</v>
      </c>
      <c r="K458" s="45">
        <f>INDEX(Calc!L458:P458,Show!$B$4)</f>
        <v>5110</v>
      </c>
      <c r="L458" s="46">
        <f t="shared" ref="L458:L485" si="374">L74*10000</f>
        <v>5110</v>
      </c>
      <c r="M458" s="46">
        <f>L458</f>
        <v>5110</v>
      </c>
      <c r="N458" s="46">
        <f>L458</f>
        <v>5110</v>
      </c>
      <c r="O458" s="46">
        <f t="shared" si="370"/>
        <v>5600.0000000000009</v>
      </c>
      <c r="P458" s="46">
        <f t="shared" ref="P458" si="375">O450</f>
        <v>4700</v>
      </c>
    </row>
    <row r="459" spans="1:16" x14ac:dyDescent="0.25">
      <c r="A459" s="45">
        <f>1/((1/Show!$A$4)-(1/Calc!K459))</f>
        <v>40.315581854043394</v>
      </c>
      <c r="B459" s="45">
        <f>MATCH(A459*Calc!$R$12,Calc!$K$1:$K$774,1)</f>
        <v>260</v>
      </c>
      <c r="C459" s="45">
        <f>INDEX(Calc!$K$1:$K$774,B459)</f>
        <v>42.2</v>
      </c>
      <c r="D459" s="45">
        <f>1/(1/C459+1/Calc!K459)</f>
        <v>41.85435348006677</v>
      </c>
      <c r="E459" s="45">
        <f>ABS(Show!$A$4-D459)/(Show!$A$4/100)</f>
        <v>4.6358837001669251</v>
      </c>
      <c r="F459" s="46">
        <f>Show!$A$4-Calc!L459</f>
        <v>-5190</v>
      </c>
      <c r="G459" s="46" t="e">
        <f>MATCH(F459*Calc!$R$12,Calc!$K$1:$K$774,1)</f>
        <v>#N/A</v>
      </c>
      <c r="H459" s="46" t="e">
        <f>INDEX(Calc!$K$1:$K$774,G459)</f>
        <v>#N/A</v>
      </c>
      <c r="I459" s="46" t="e">
        <f>H459+Calc!K459</f>
        <v>#N/A</v>
      </c>
      <c r="J459" s="46" t="e">
        <f>ABS(Show!$A$4-I459)/(Show!$A$4/100)</f>
        <v>#N/A</v>
      </c>
      <c r="K459" s="45">
        <f>INDEX(Calc!L459:P459,Show!$B$4)</f>
        <v>5110</v>
      </c>
      <c r="L459" s="46">
        <f t="shared" si="374"/>
        <v>5230</v>
      </c>
      <c r="M459" s="46">
        <f>L458</f>
        <v>5110</v>
      </c>
      <c r="N459" s="46">
        <f>L458</f>
        <v>5110</v>
      </c>
      <c r="O459" s="46">
        <f t="shared" si="370"/>
        <v>5600.0000000000009</v>
      </c>
      <c r="P459" s="46">
        <f t="shared" ref="P459" si="376">O450</f>
        <v>4700</v>
      </c>
    </row>
    <row r="460" spans="1:16" x14ac:dyDescent="0.25">
      <c r="A460" s="45">
        <f>1/((1/Show!$A$4)-(1/Calc!K460))</f>
        <v>40.315581854043394</v>
      </c>
      <c r="B460" s="45">
        <f>MATCH(A460*Calc!$R$12,Calc!$K$1:$K$774,1)</f>
        <v>260</v>
      </c>
      <c r="C460" s="45">
        <f>INDEX(Calc!$K$1:$K$774,B460)</f>
        <v>42.2</v>
      </c>
      <c r="D460" s="45">
        <f>1/(1/C460+1/Calc!K460)</f>
        <v>41.85435348006677</v>
      </c>
      <c r="E460" s="45">
        <f>ABS(Show!$A$4-D460)/(Show!$A$4/100)</f>
        <v>4.6358837001669251</v>
      </c>
      <c r="F460" s="46">
        <f>Show!$A$4-Calc!L460</f>
        <v>-5320</v>
      </c>
      <c r="G460" s="46" t="e">
        <f>MATCH(F460*Calc!$R$12,Calc!$K$1:$K$774,1)</f>
        <v>#N/A</v>
      </c>
      <c r="H460" s="46" t="e">
        <f>INDEX(Calc!$K$1:$K$774,G460)</f>
        <v>#N/A</v>
      </c>
      <c r="I460" s="46" t="e">
        <f>H460+Calc!K460</f>
        <v>#N/A</v>
      </c>
      <c r="J460" s="46" t="e">
        <f>ABS(Show!$A$4-I460)/(Show!$A$4/100)</f>
        <v>#N/A</v>
      </c>
      <c r="K460" s="45">
        <f>INDEX(Calc!L460:P460,Show!$B$4)</f>
        <v>5110</v>
      </c>
      <c r="L460" s="46">
        <f t="shared" si="374"/>
        <v>5360</v>
      </c>
      <c r="M460" s="46">
        <f>L460</f>
        <v>5360</v>
      </c>
      <c r="N460" s="46">
        <f>L458</f>
        <v>5110</v>
      </c>
      <c r="O460" s="46">
        <f t="shared" si="370"/>
        <v>5600.0000000000009</v>
      </c>
      <c r="P460" s="46">
        <f t="shared" ref="P460" si="377">O450</f>
        <v>4700</v>
      </c>
    </row>
    <row r="461" spans="1:16" x14ac:dyDescent="0.25">
      <c r="A461" s="45">
        <f>1/((1/Show!$A$4)-(1/Calc!K461))</f>
        <v>40.286738351254478</v>
      </c>
      <c r="B461" s="45">
        <f>MATCH(A461*Calc!$R$12,Calc!$K$1:$K$774,1)</f>
        <v>260</v>
      </c>
      <c r="C461" s="45">
        <f>INDEX(Calc!$K$1:$K$774,B461)</f>
        <v>42.2</v>
      </c>
      <c r="D461" s="45">
        <f>1/(1/C461+1/Calc!K461)</f>
        <v>41.885486206774758</v>
      </c>
      <c r="E461" s="45">
        <f>ABS(Show!$A$4-D461)/(Show!$A$4/100)</f>
        <v>4.7137155169368938</v>
      </c>
      <c r="F461" s="46">
        <f>Show!$A$4-Calc!L461</f>
        <v>-5449.9999999999991</v>
      </c>
      <c r="G461" s="46" t="e">
        <f>MATCH(F461*Calc!$R$12,Calc!$K$1:$K$774,1)</f>
        <v>#N/A</v>
      </c>
      <c r="H461" s="46" t="e">
        <f>INDEX(Calc!$K$1:$K$774,G461)</f>
        <v>#N/A</v>
      </c>
      <c r="I461" s="46" t="e">
        <f>H461+Calc!K461</f>
        <v>#N/A</v>
      </c>
      <c r="J461" s="46" t="e">
        <f>ABS(Show!$A$4-I461)/(Show!$A$4/100)</f>
        <v>#N/A</v>
      </c>
      <c r="K461" s="45">
        <f>INDEX(Calc!L461:P461,Show!$B$4)</f>
        <v>5620.0000000000009</v>
      </c>
      <c r="L461" s="46">
        <f t="shared" si="374"/>
        <v>5489.9999999999991</v>
      </c>
      <c r="M461" s="46">
        <f>L460</f>
        <v>5360</v>
      </c>
      <c r="N461" s="46">
        <f>L462</f>
        <v>5620.0000000000009</v>
      </c>
      <c r="O461" s="46">
        <f t="shared" si="370"/>
        <v>5600.0000000000009</v>
      </c>
      <c r="P461" s="46">
        <f t="shared" ref="P461" si="378">O450</f>
        <v>4700</v>
      </c>
    </row>
    <row r="462" spans="1:16" x14ac:dyDescent="0.25">
      <c r="A462" s="45">
        <f>1/((1/Show!$A$4)-(1/Calc!K462))</f>
        <v>40.286738351254478</v>
      </c>
      <c r="B462" s="45">
        <f>MATCH(A462*Calc!$R$12,Calc!$K$1:$K$774,1)</f>
        <v>260</v>
      </c>
      <c r="C462" s="45">
        <f>INDEX(Calc!$K$1:$K$774,B462)</f>
        <v>42.2</v>
      </c>
      <c r="D462" s="45">
        <f>1/(1/C462+1/Calc!K462)</f>
        <v>41.885486206774758</v>
      </c>
      <c r="E462" s="45">
        <f>ABS(Show!$A$4-D462)/(Show!$A$4/100)</f>
        <v>4.7137155169368938</v>
      </c>
      <c r="F462" s="46">
        <f>Show!$A$4-Calc!L462</f>
        <v>-5580.0000000000009</v>
      </c>
      <c r="G462" s="46" t="e">
        <f>MATCH(F462*Calc!$R$12,Calc!$K$1:$K$774,1)</f>
        <v>#N/A</v>
      </c>
      <c r="H462" s="46" t="e">
        <f>INDEX(Calc!$K$1:$K$774,G462)</f>
        <v>#N/A</v>
      </c>
      <c r="I462" s="46" t="e">
        <f>H462+Calc!K462</f>
        <v>#N/A</v>
      </c>
      <c r="J462" s="46" t="e">
        <f>ABS(Show!$A$4-I462)/(Show!$A$4/100)</f>
        <v>#N/A</v>
      </c>
      <c r="K462" s="45">
        <f>INDEX(Calc!L462:P462,Show!$B$4)</f>
        <v>5620.0000000000009</v>
      </c>
      <c r="L462" s="46">
        <f t="shared" si="374"/>
        <v>5620.0000000000009</v>
      </c>
      <c r="M462" s="46">
        <f>L462</f>
        <v>5620.0000000000009</v>
      </c>
      <c r="N462" s="46">
        <f>L462</f>
        <v>5620.0000000000009</v>
      </c>
      <c r="O462" s="46">
        <f t="shared" si="370"/>
        <v>5600.0000000000009</v>
      </c>
      <c r="P462" s="46">
        <f t="shared" ref="P462" si="379">O466</f>
        <v>6800.0000000000009</v>
      </c>
    </row>
    <row r="463" spans="1:16" x14ac:dyDescent="0.25">
      <c r="A463" s="45">
        <f>1/((1/Show!$A$4)-(1/Calc!K463))</f>
        <v>40.286738351254478</v>
      </c>
      <c r="B463" s="45">
        <f>MATCH(A463*Calc!$R$12,Calc!$K$1:$K$774,1)</f>
        <v>260</v>
      </c>
      <c r="C463" s="45">
        <f>INDEX(Calc!$K$1:$K$774,B463)</f>
        <v>42.2</v>
      </c>
      <c r="D463" s="45">
        <f>1/(1/C463+1/Calc!K463)</f>
        <v>41.885486206774758</v>
      </c>
      <c r="E463" s="45">
        <f>ABS(Show!$A$4-D463)/(Show!$A$4/100)</f>
        <v>4.7137155169368938</v>
      </c>
      <c r="F463" s="46">
        <f>Show!$A$4-Calc!L463</f>
        <v>-5720.0000000000009</v>
      </c>
      <c r="G463" s="46" t="e">
        <f>MATCH(F463*Calc!$R$12,Calc!$K$1:$K$774,1)</f>
        <v>#N/A</v>
      </c>
      <c r="H463" s="46" t="e">
        <f>INDEX(Calc!$K$1:$K$774,G463)</f>
        <v>#N/A</v>
      </c>
      <c r="I463" s="46" t="e">
        <f>H463+Calc!K463</f>
        <v>#N/A</v>
      </c>
      <c r="J463" s="46" t="e">
        <f>ABS(Show!$A$4-I463)/(Show!$A$4/100)</f>
        <v>#N/A</v>
      </c>
      <c r="K463" s="45">
        <f>INDEX(Calc!L463:P463,Show!$B$4)</f>
        <v>5620.0000000000009</v>
      </c>
      <c r="L463" s="46">
        <f t="shared" si="374"/>
        <v>5760.0000000000009</v>
      </c>
      <c r="M463" s="46">
        <f>L462</f>
        <v>5620.0000000000009</v>
      </c>
      <c r="N463" s="46">
        <f>L462</f>
        <v>5620.0000000000009</v>
      </c>
      <c r="O463" s="46">
        <f t="shared" si="370"/>
        <v>5600.0000000000009</v>
      </c>
      <c r="P463" s="46">
        <f t="shared" ref="P463" si="380">O466</f>
        <v>6800.0000000000009</v>
      </c>
    </row>
    <row r="464" spans="1:16" x14ac:dyDescent="0.25">
      <c r="A464" s="45">
        <f>1/((1/Show!$A$4)-(1/Calc!K464))</f>
        <v>40.286738351254478</v>
      </c>
      <c r="B464" s="45">
        <f>MATCH(A464*Calc!$R$12,Calc!$K$1:$K$774,1)</f>
        <v>260</v>
      </c>
      <c r="C464" s="45">
        <f>INDEX(Calc!$K$1:$K$774,B464)</f>
        <v>42.2</v>
      </c>
      <c r="D464" s="45">
        <f>1/(1/C464+1/Calc!K464)</f>
        <v>41.885486206774758</v>
      </c>
      <c r="E464" s="45">
        <f>ABS(Show!$A$4-D464)/(Show!$A$4/100)</f>
        <v>4.7137155169368938</v>
      </c>
      <c r="F464" s="46">
        <f>Show!$A$4-Calc!L464</f>
        <v>-5860</v>
      </c>
      <c r="G464" s="46" t="e">
        <f>MATCH(F464*Calc!$R$12,Calc!$K$1:$K$774,1)</f>
        <v>#N/A</v>
      </c>
      <c r="H464" s="46" t="e">
        <f>INDEX(Calc!$K$1:$K$774,G464)</f>
        <v>#N/A</v>
      </c>
      <c r="I464" s="46" t="e">
        <f>H464+Calc!K464</f>
        <v>#N/A</v>
      </c>
      <c r="J464" s="46" t="e">
        <f>ABS(Show!$A$4-I464)/(Show!$A$4/100)</f>
        <v>#N/A</v>
      </c>
      <c r="K464" s="45">
        <f>INDEX(Calc!L464:P464,Show!$B$4)</f>
        <v>5620.0000000000009</v>
      </c>
      <c r="L464" s="46">
        <f t="shared" si="374"/>
        <v>5900</v>
      </c>
      <c r="M464" s="46">
        <f>L464</f>
        <v>5900</v>
      </c>
      <c r="N464" s="46">
        <f>L462</f>
        <v>5620.0000000000009</v>
      </c>
      <c r="O464" s="46">
        <f t="shared" si="370"/>
        <v>5600.0000000000009</v>
      </c>
      <c r="P464" s="46">
        <f t="shared" ref="P464" si="381">O466</f>
        <v>6800.0000000000009</v>
      </c>
    </row>
    <row r="465" spans="1:16" x14ac:dyDescent="0.25">
      <c r="A465" s="45">
        <f>1/((1/Show!$A$4)-(1/Calc!K465))</f>
        <v>40.260162601626014</v>
      </c>
      <c r="B465" s="45">
        <f>MATCH(A465*Calc!$R$12,Calc!$K$1:$K$774,1)</f>
        <v>260</v>
      </c>
      <c r="C465" s="45">
        <f>INDEX(Calc!$K$1:$K$774,B465)</f>
        <v>42.2</v>
      </c>
      <c r="D465" s="45">
        <f>1/(1/C465+1/Calc!K465)</f>
        <v>41.914251789095346</v>
      </c>
      <c r="E465" s="45">
        <f>ABS(Show!$A$4-D465)/(Show!$A$4/100)</f>
        <v>4.7856294727383641</v>
      </c>
      <c r="F465" s="46">
        <f>Show!$A$4-Calc!L465</f>
        <v>-6000</v>
      </c>
      <c r="G465" s="46" t="e">
        <f>MATCH(F465*Calc!$R$12,Calc!$K$1:$K$774,1)</f>
        <v>#N/A</v>
      </c>
      <c r="H465" s="46" t="e">
        <f>INDEX(Calc!$K$1:$K$774,G465)</f>
        <v>#N/A</v>
      </c>
      <c r="I465" s="46" t="e">
        <f>H465+Calc!K465</f>
        <v>#N/A</v>
      </c>
      <c r="J465" s="46" t="e">
        <f>ABS(Show!$A$4-I465)/(Show!$A$4/100)</f>
        <v>#N/A</v>
      </c>
      <c r="K465" s="45">
        <f>INDEX(Calc!L465:P465,Show!$B$4)</f>
        <v>6190</v>
      </c>
      <c r="L465" s="46">
        <f t="shared" si="374"/>
        <v>6040</v>
      </c>
      <c r="M465" s="46">
        <f>L464</f>
        <v>5900</v>
      </c>
      <c r="N465" s="46">
        <f>L466</f>
        <v>6190</v>
      </c>
      <c r="O465" s="46">
        <f t="shared" si="370"/>
        <v>5600.0000000000009</v>
      </c>
      <c r="P465" s="46">
        <f t="shared" ref="P465" si="382">O466</f>
        <v>6800.0000000000009</v>
      </c>
    </row>
    <row r="466" spans="1:16" x14ac:dyDescent="0.25">
      <c r="A466" s="45">
        <f>1/((1/Show!$A$4)-(1/Calc!K466))</f>
        <v>40.260162601626014</v>
      </c>
      <c r="B466" s="45">
        <f>MATCH(A466*Calc!$R$12,Calc!$K$1:$K$774,1)</f>
        <v>260</v>
      </c>
      <c r="C466" s="45">
        <f>INDEX(Calc!$K$1:$K$774,B466)</f>
        <v>42.2</v>
      </c>
      <c r="D466" s="45">
        <f>1/(1/C466+1/Calc!K466)</f>
        <v>41.914251789095346</v>
      </c>
      <c r="E466" s="45">
        <f>ABS(Show!$A$4-D466)/(Show!$A$4/100)</f>
        <v>4.7856294727383641</v>
      </c>
      <c r="F466" s="46">
        <f>Show!$A$4-Calc!L466</f>
        <v>-6150</v>
      </c>
      <c r="G466" s="46" t="e">
        <f>MATCH(F466*Calc!$R$12,Calc!$K$1:$K$774,1)</f>
        <v>#N/A</v>
      </c>
      <c r="H466" s="46" t="e">
        <f>INDEX(Calc!$K$1:$K$774,G466)</f>
        <v>#N/A</v>
      </c>
      <c r="I466" s="46" t="e">
        <f>H466+Calc!K466</f>
        <v>#N/A</v>
      </c>
      <c r="J466" s="46" t="e">
        <f>ABS(Show!$A$4-I466)/(Show!$A$4/100)</f>
        <v>#N/A</v>
      </c>
      <c r="K466" s="45">
        <f>INDEX(Calc!L466:P466,Show!$B$4)</f>
        <v>6190</v>
      </c>
      <c r="L466" s="46">
        <f t="shared" si="374"/>
        <v>6190</v>
      </c>
      <c r="M466" s="46">
        <f>L466</f>
        <v>6190</v>
      </c>
      <c r="N466" s="46">
        <f>L466</f>
        <v>6190</v>
      </c>
      <c r="O466" s="46">
        <f t="shared" si="370"/>
        <v>6800.0000000000009</v>
      </c>
      <c r="P466" s="46">
        <f t="shared" ref="P466" si="383">O466</f>
        <v>6800.0000000000009</v>
      </c>
    </row>
    <row r="467" spans="1:16" x14ac:dyDescent="0.25">
      <c r="A467" s="45">
        <f>1/((1/Show!$A$4)-(1/Calc!K467))</f>
        <v>40.260162601626014</v>
      </c>
      <c r="B467" s="45">
        <f>MATCH(A467*Calc!$R$12,Calc!$K$1:$K$774,1)</f>
        <v>260</v>
      </c>
      <c r="C467" s="45">
        <f>INDEX(Calc!$K$1:$K$774,B467)</f>
        <v>42.2</v>
      </c>
      <c r="D467" s="45">
        <f>1/(1/C467+1/Calc!K467)</f>
        <v>41.914251789095346</v>
      </c>
      <c r="E467" s="45">
        <f>ABS(Show!$A$4-D467)/(Show!$A$4/100)</f>
        <v>4.7856294727383641</v>
      </c>
      <c r="F467" s="46">
        <f>Show!$A$4-Calc!L467</f>
        <v>-6300</v>
      </c>
      <c r="G467" s="46" t="e">
        <f>MATCH(F467*Calc!$R$12,Calc!$K$1:$K$774,1)</f>
        <v>#N/A</v>
      </c>
      <c r="H467" s="46" t="e">
        <f>INDEX(Calc!$K$1:$K$774,G467)</f>
        <v>#N/A</v>
      </c>
      <c r="I467" s="46" t="e">
        <f>H467+Calc!K467</f>
        <v>#N/A</v>
      </c>
      <c r="J467" s="46" t="e">
        <f>ABS(Show!$A$4-I467)/(Show!$A$4/100)</f>
        <v>#N/A</v>
      </c>
      <c r="K467" s="45">
        <f>INDEX(Calc!L467:P467,Show!$B$4)</f>
        <v>6190</v>
      </c>
      <c r="L467" s="46">
        <f t="shared" si="374"/>
        <v>6340</v>
      </c>
      <c r="M467" s="46">
        <f>L466</f>
        <v>6190</v>
      </c>
      <c r="N467" s="46">
        <f>L466</f>
        <v>6190</v>
      </c>
      <c r="O467" s="46">
        <f t="shared" si="370"/>
        <v>6800.0000000000009</v>
      </c>
      <c r="P467" s="46">
        <f t="shared" ref="P467" si="384">O466</f>
        <v>6800.0000000000009</v>
      </c>
    </row>
    <row r="468" spans="1:16" x14ac:dyDescent="0.25">
      <c r="A468" s="45">
        <f>1/((1/Show!$A$4)-(1/Calc!K468))</f>
        <v>40.260162601626014</v>
      </c>
      <c r="B468" s="45">
        <f>MATCH(A468*Calc!$R$12,Calc!$K$1:$K$774,1)</f>
        <v>260</v>
      </c>
      <c r="C468" s="45">
        <f>INDEX(Calc!$K$1:$K$774,B468)</f>
        <v>42.2</v>
      </c>
      <c r="D468" s="45">
        <f>1/(1/C468+1/Calc!K468)</f>
        <v>41.914251789095346</v>
      </c>
      <c r="E468" s="45">
        <f>ABS(Show!$A$4-D468)/(Show!$A$4/100)</f>
        <v>4.7856294727383641</v>
      </c>
      <c r="F468" s="46">
        <f>Show!$A$4-Calc!L468</f>
        <v>-6450</v>
      </c>
      <c r="G468" s="46" t="e">
        <f>MATCH(F468*Calc!$R$12,Calc!$K$1:$K$774,1)</f>
        <v>#N/A</v>
      </c>
      <c r="H468" s="46" t="e">
        <f>INDEX(Calc!$K$1:$K$774,G468)</f>
        <v>#N/A</v>
      </c>
      <c r="I468" s="46" t="e">
        <f>H468+Calc!K468</f>
        <v>#N/A</v>
      </c>
      <c r="J468" s="46" t="e">
        <f>ABS(Show!$A$4-I468)/(Show!$A$4/100)</f>
        <v>#N/A</v>
      </c>
      <c r="K468" s="45">
        <f>INDEX(Calc!L468:P468,Show!$B$4)</f>
        <v>6190</v>
      </c>
      <c r="L468" s="46">
        <f t="shared" si="374"/>
        <v>6490</v>
      </c>
      <c r="M468" s="46">
        <f>L468</f>
        <v>6490</v>
      </c>
      <c r="N468" s="46">
        <f>L466</f>
        <v>6190</v>
      </c>
      <c r="O468" s="46">
        <f t="shared" si="370"/>
        <v>6800.0000000000009</v>
      </c>
      <c r="P468" s="46">
        <f t="shared" ref="P468" si="385">O466</f>
        <v>6800.0000000000009</v>
      </c>
    </row>
    <row r="469" spans="1:16" x14ac:dyDescent="0.25">
      <c r="A469" s="45">
        <f>1/((1/Show!$A$4)-(1/Calc!K469))</f>
        <v>40.236336779911369</v>
      </c>
      <c r="B469" s="45">
        <f>MATCH(A469*Calc!$R$12,Calc!$K$1:$K$774,1)</f>
        <v>260</v>
      </c>
      <c r="C469" s="45">
        <f>INDEX(Calc!$K$1:$K$774,B469)</f>
        <v>42.2</v>
      </c>
      <c r="D469" s="45">
        <f>1/(1/C469+1/Calc!K469)</f>
        <v>41.94010682700447</v>
      </c>
      <c r="E469" s="45">
        <f>ABS(Show!$A$4-D469)/(Show!$A$4/100)</f>
        <v>4.8502670675111759</v>
      </c>
      <c r="F469" s="46">
        <f>Show!$A$4-Calc!L469</f>
        <v>-6610</v>
      </c>
      <c r="G469" s="46" t="e">
        <f>MATCH(F469*Calc!$R$12,Calc!$K$1:$K$774,1)</f>
        <v>#N/A</v>
      </c>
      <c r="H469" s="46" t="e">
        <f>INDEX(Calc!$K$1:$K$774,G469)</f>
        <v>#N/A</v>
      </c>
      <c r="I469" s="46" t="e">
        <f>H469+Calc!K469</f>
        <v>#N/A</v>
      </c>
      <c r="J469" s="46" t="e">
        <f>ABS(Show!$A$4-I469)/(Show!$A$4/100)</f>
        <v>#N/A</v>
      </c>
      <c r="K469" s="45">
        <f>INDEX(Calc!L469:P469,Show!$B$4)</f>
        <v>6809.9999999999991</v>
      </c>
      <c r="L469" s="46">
        <f t="shared" si="374"/>
        <v>6650</v>
      </c>
      <c r="M469" s="46">
        <f>L468</f>
        <v>6490</v>
      </c>
      <c r="N469" s="46">
        <f>L470</f>
        <v>6809.9999999999991</v>
      </c>
      <c r="O469" s="46">
        <f t="shared" si="370"/>
        <v>6800.0000000000009</v>
      </c>
      <c r="P469" s="46">
        <f t="shared" ref="P469" si="386">O466</f>
        <v>6800.0000000000009</v>
      </c>
    </row>
    <row r="470" spans="1:16" x14ac:dyDescent="0.25">
      <c r="A470" s="45">
        <f>1/((1/Show!$A$4)-(1/Calc!K470))</f>
        <v>40.236336779911369</v>
      </c>
      <c r="B470" s="45">
        <f>MATCH(A470*Calc!$R$12,Calc!$K$1:$K$774,1)</f>
        <v>260</v>
      </c>
      <c r="C470" s="45">
        <f>INDEX(Calc!$K$1:$K$774,B470)</f>
        <v>42.2</v>
      </c>
      <c r="D470" s="45">
        <f>1/(1/C470+1/Calc!K470)</f>
        <v>41.94010682700447</v>
      </c>
      <c r="E470" s="45">
        <f>ABS(Show!$A$4-D470)/(Show!$A$4/100)</f>
        <v>4.8502670675111759</v>
      </c>
      <c r="F470" s="46">
        <f>Show!$A$4-Calc!L470</f>
        <v>-6769.9999999999991</v>
      </c>
      <c r="G470" s="46" t="e">
        <f>MATCH(F470*Calc!$R$12,Calc!$K$1:$K$774,1)</f>
        <v>#N/A</v>
      </c>
      <c r="H470" s="46" t="e">
        <f>INDEX(Calc!$K$1:$K$774,G470)</f>
        <v>#N/A</v>
      </c>
      <c r="I470" s="46" t="e">
        <f>H470+Calc!K470</f>
        <v>#N/A</v>
      </c>
      <c r="J470" s="46" t="e">
        <f>ABS(Show!$A$4-I470)/(Show!$A$4/100)</f>
        <v>#N/A</v>
      </c>
      <c r="K470" s="45">
        <f>INDEX(Calc!L470:P470,Show!$B$4)</f>
        <v>6809.9999999999991</v>
      </c>
      <c r="L470" s="46">
        <f t="shared" si="374"/>
        <v>6809.9999999999991</v>
      </c>
      <c r="M470" s="46">
        <f>L470</f>
        <v>6809.9999999999991</v>
      </c>
      <c r="N470" s="46">
        <f>L470</f>
        <v>6809.9999999999991</v>
      </c>
      <c r="O470" s="46">
        <f t="shared" si="370"/>
        <v>6800.0000000000009</v>
      </c>
      <c r="P470" s="46">
        <f t="shared" ref="P470" si="387">O466</f>
        <v>6800.0000000000009</v>
      </c>
    </row>
    <row r="471" spans="1:16" x14ac:dyDescent="0.25">
      <c r="A471" s="45">
        <f>1/((1/Show!$A$4)-(1/Calc!K471))</f>
        <v>40.236336779911369</v>
      </c>
      <c r="B471" s="45">
        <f>MATCH(A471*Calc!$R$12,Calc!$K$1:$K$774,1)</f>
        <v>260</v>
      </c>
      <c r="C471" s="45">
        <f>INDEX(Calc!$K$1:$K$774,B471)</f>
        <v>42.2</v>
      </c>
      <c r="D471" s="45">
        <f>1/(1/C471+1/Calc!K471)</f>
        <v>41.94010682700447</v>
      </c>
      <c r="E471" s="45">
        <f>ABS(Show!$A$4-D471)/(Show!$A$4/100)</f>
        <v>4.8502670675111759</v>
      </c>
      <c r="F471" s="46">
        <f>Show!$A$4-Calc!L471</f>
        <v>-6939.9999999999991</v>
      </c>
      <c r="G471" s="46" t="e">
        <f>MATCH(F471*Calc!$R$12,Calc!$K$1:$K$774,1)</f>
        <v>#N/A</v>
      </c>
      <c r="H471" s="46" t="e">
        <f>INDEX(Calc!$K$1:$K$774,G471)</f>
        <v>#N/A</v>
      </c>
      <c r="I471" s="46" t="e">
        <f>H471+Calc!K471</f>
        <v>#N/A</v>
      </c>
      <c r="J471" s="46" t="e">
        <f>ABS(Show!$A$4-I471)/(Show!$A$4/100)</f>
        <v>#N/A</v>
      </c>
      <c r="K471" s="45">
        <f>INDEX(Calc!L471:P471,Show!$B$4)</f>
        <v>6809.9999999999991</v>
      </c>
      <c r="L471" s="46">
        <f t="shared" si="374"/>
        <v>6979.9999999999991</v>
      </c>
      <c r="M471" s="46">
        <f>L470</f>
        <v>6809.9999999999991</v>
      </c>
      <c r="N471" s="46">
        <f>L470</f>
        <v>6809.9999999999991</v>
      </c>
      <c r="O471" s="46">
        <f t="shared" si="370"/>
        <v>6800.0000000000009</v>
      </c>
      <c r="P471" s="46">
        <f t="shared" ref="P471" si="388">O466</f>
        <v>6800.0000000000009</v>
      </c>
    </row>
    <row r="472" spans="1:16" x14ac:dyDescent="0.25">
      <c r="A472" s="45">
        <f>1/((1/Show!$A$4)-(1/Calc!K472))</f>
        <v>40.236336779911369</v>
      </c>
      <c r="B472" s="45">
        <f>MATCH(A472*Calc!$R$12,Calc!$K$1:$K$774,1)</f>
        <v>260</v>
      </c>
      <c r="C472" s="45">
        <f>INDEX(Calc!$K$1:$K$774,B472)</f>
        <v>42.2</v>
      </c>
      <c r="D472" s="45">
        <f>1/(1/C472+1/Calc!K472)</f>
        <v>41.94010682700447</v>
      </c>
      <c r="E472" s="45">
        <f>ABS(Show!$A$4-D472)/(Show!$A$4/100)</f>
        <v>4.8502670675111759</v>
      </c>
      <c r="F472" s="46">
        <f>Show!$A$4-Calc!L472</f>
        <v>-7110</v>
      </c>
      <c r="G472" s="46" t="e">
        <f>MATCH(F472*Calc!$R$12,Calc!$K$1:$K$774,1)</f>
        <v>#N/A</v>
      </c>
      <c r="H472" s="46" t="e">
        <f>INDEX(Calc!$K$1:$K$774,G472)</f>
        <v>#N/A</v>
      </c>
      <c r="I472" s="46" t="e">
        <f>H472+Calc!K472</f>
        <v>#N/A</v>
      </c>
      <c r="J472" s="46" t="e">
        <f>ABS(Show!$A$4-I472)/(Show!$A$4/100)</f>
        <v>#N/A</v>
      </c>
      <c r="K472" s="45">
        <f>INDEX(Calc!L472:P472,Show!$B$4)</f>
        <v>6809.9999999999991</v>
      </c>
      <c r="L472" s="46">
        <f t="shared" si="374"/>
        <v>7150</v>
      </c>
      <c r="M472" s="46">
        <f>L472</f>
        <v>7150</v>
      </c>
      <c r="N472" s="46">
        <f>L470</f>
        <v>6809.9999999999991</v>
      </c>
      <c r="O472" s="46">
        <f t="shared" si="370"/>
        <v>6800.0000000000009</v>
      </c>
      <c r="P472" s="46">
        <f t="shared" ref="P472" si="389">O466</f>
        <v>6800.0000000000009</v>
      </c>
    </row>
    <row r="473" spans="1:16" x14ac:dyDescent="0.25">
      <c r="A473" s="45">
        <f>1/((1/Show!$A$4)-(1/Calc!K473))</f>
        <v>40.214477211796243</v>
      </c>
      <c r="B473" s="45">
        <f>MATCH(A473*Calc!$R$12,Calc!$K$1:$K$774,1)</f>
        <v>256</v>
      </c>
      <c r="C473" s="45">
        <f>INDEX(Calc!$K$1:$K$774,B473)</f>
        <v>38.299999999999997</v>
      </c>
      <c r="D473" s="45">
        <f>1/(1/C473+1/Calc!K473)</f>
        <v>38.1054083812</v>
      </c>
      <c r="E473" s="45">
        <f>ABS(Show!$A$4-D473)/(Show!$A$4/100)</f>
        <v>4.7364790469999996</v>
      </c>
      <c r="F473" s="46">
        <f>Show!$A$4-Calc!L473</f>
        <v>-7280</v>
      </c>
      <c r="G473" s="46" t="e">
        <f>MATCH(F473*Calc!$R$12,Calc!$K$1:$K$774,1)</f>
        <v>#N/A</v>
      </c>
      <c r="H473" s="46" t="e">
        <f>INDEX(Calc!$K$1:$K$774,G473)</f>
        <v>#N/A</v>
      </c>
      <c r="I473" s="46" t="e">
        <f>H473+Calc!K473</f>
        <v>#N/A</v>
      </c>
      <c r="J473" s="46" t="e">
        <f>ABS(Show!$A$4-I473)/(Show!$A$4/100)</f>
        <v>#N/A</v>
      </c>
      <c r="K473" s="45">
        <f>INDEX(Calc!L473:P473,Show!$B$4)</f>
        <v>7500</v>
      </c>
      <c r="L473" s="46">
        <f t="shared" si="374"/>
        <v>7320</v>
      </c>
      <c r="M473" s="46">
        <f>L472</f>
        <v>7150</v>
      </c>
      <c r="N473" s="46">
        <f>L474</f>
        <v>7500</v>
      </c>
      <c r="O473" s="46">
        <f t="shared" si="370"/>
        <v>6800.0000000000009</v>
      </c>
      <c r="P473" s="46">
        <f t="shared" ref="P473" si="390">O466</f>
        <v>6800.0000000000009</v>
      </c>
    </row>
    <row r="474" spans="1:16" x14ac:dyDescent="0.25">
      <c r="A474" s="45">
        <f>1/((1/Show!$A$4)-(1/Calc!K474))</f>
        <v>40.214477211796243</v>
      </c>
      <c r="B474" s="45">
        <f>MATCH(A474*Calc!$R$12,Calc!$K$1:$K$774,1)</f>
        <v>256</v>
      </c>
      <c r="C474" s="45">
        <f>INDEX(Calc!$K$1:$K$774,B474)</f>
        <v>38.299999999999997</v>
      </c>
      <c r="D474" s="45">
        <f>1/(1/C474+1/Calc!K474)</f>
        <v>38.1054083812</v>
      </c>
      <c r="E474" s="45">
        <f>ABS(Show!$A$4-D474)/(Show!$A$4/100)</f>
        <v>4.7364790469999996</v>
      </c>
      <c r="F474" s="46">
        <f>Show!$A$4-Calc!L474</f>
        <v>-7460</v>
      </c>
      <c r="G474" s="46" t="e">
        <f>MATCH(F474*Calc!$R$12,Calc!$K$1:$K$774,1)</f>
        <v>#N/A</v>
      </c>
      <c r="H474" s="46" t="e">
        <f>INDEX(Calc!$K$1:$K$774,G474)</f>
        <v>#N/A</v>
      </c>
      <c r="I474" s="46" t="e">
        <f>H474+Calc!K474</f>
        <v>#N/A</v>
      </c>
      <c r="J474" s="46" t="e">
        <f>ABS(Show!$A$4-I474)/(Show!$A$4/100)</f>
        <v>#N/A</v>
      </c>
      <c r="K474" s="45">
        <f>INDEX(Calc!L474:P474,Show!$B$4)</f>
        <v>7500</v>
      </c>
      <c r="L474" s="46">
        <f t="shared" si="374"/>
        <v>7500</v>
      </c>
      <c r="M474" s="46">
        <f>L474</f>
        <v>7500</v>
      </c>
      <c r="N474" s="46">
        <f>L474</f>
        <v>7500</v>
      </c>
      <c r="O474" s="46">
        <f t="shared" si="370"/>
        <v>8200</v>
      </c>
      <c r="P474" s="46">
        <f t="shared" ref="P474" si="391">O466</f>
        <v>6800.0000000000009</v>
      </c>
    </row>
    <row r="475" spans="1:16" x14ac:dyDescent="0.25">
      <c r="A475" s="45">
        <f>1/((1/Show!$A$4)-(1/Calc!K475))</f>
        <v>40.214477211796243</v>
      </c>
      <c r="B475" s="45">
        <f>MATCH(A475*Calc!$R$12,Calc!$K$1:$K$774,1)</f>
        <v>256</v>
      </c>
      <c r="C475" s="45">
        <f>INDEX(Calc!$K$1:$K$774,B475)</f>
        <v>38.299999999999997</v>
      </c>
      <c r="D475" s="45">
        <f>1/(1/C475+1/Calc!K475)</f>
        <v>38.1054083812</v>
      </c>
      <c r="E475" s="45">
        <f>ABS(Show!$A$4-D475)/(Show!$A$4/100)</f>
        <v>4.7364790469999996</v>
      </c>
      <c r="F475" s="46">
        <f>Show!$A$4-Calc!L475</f>
        <v>-7640</v>
      </c>
      <c r="G475" s="46" t="e">
        <f>MATCH(F475*Calc!$R$12,Calc!$K$1:$K$774,1)</f>
        <v>#N/A</v>
      </c>
      <c r="H475" s="46" t="e">
        <f>INDEX(Calc!$K$1:$K$774,G475)</f>
        <v>#N/A</v>
      </c>
      <c r="I475" s="46" t="e">
        <f>H475+Calc!K475</f>
        <v>#N/A</v>
      </c>
      <c r="J475" s="46" t="e">
        <f>ABS(Show!$A$4-I475)/(Show!$A$4/100)</f>
        <v>#N/A</v>
      </c>
      <c r="K475" s="45">
        <f>INDEX(Calc!L475:P475,Show!$B$4)</f>
        <v>7500</v>
      </c>
      <c r="L475" s="46">
        <f t="shared" si="374"/>
        <v>7680</v>
      </c>
      <c r="M475" s="46">
        <f>L474</f>
        <v>7500</v>
      </c>
      <c r="N475" s="46">
        <f>L474</f>
        <v>7500</v>
      </c>
      <c r="O475" s="46">
        <f t="shared" si="370"/>
        <v>8200</v>
      </c>
      <c r="P475" s="46">
        <f t="shared" ref="P475" si="392">O466</f>
        <v>6800.0000000000009</v>
      </c>
    </row>
    <row r="476" spans="1:16" x14ac:dyDescent="0.25">
      <c r="A476" s="45">
        <f>1/((1/Show!$A$4)-(1/Calc!K476))</f>
        <v>40.214477211796243</v>
      </c>
      <c r="B476" s="45">
        <f>MATCH(A476*Calc!$R$12,Calc!$K$1:$K$774,1)</f>
        <v>256</v>
      </c>
      <c r="C476" s="45">
        <f>INDEX(Calc!$K$1:$K$774,B476)</f>
        <v>38.299999999999997</v>
      </c>
      <c r="D476" s="45">
        <f>1/(1/C476+1/Calc!K476)</f>
        <v>38.1054083812</v>
      </c>
      <c r="E476" s="45">
        <f>ABS(Show!$A$4-D476)/(Show!$A$4/100)</f>
        <v>4.7364790469999996</v>
      </c>
      <c r="F476" s="46">
        <f>Show!$A$4-Calc!L476</f>
        <v>-7830</v>
      </c>
      <c r="G476" s="46" t="e">
        <f>MATCH(F476*Calc!$R$12,Calc!$K$1:$K$774,1)</f>
        <v>#N/A</v>
      </c>
      <c r="H476" s="46" t="e">
        <f>INDEX(Calc!$K$1:$K$774,G476)</f>
        <v>#N/A</v>
      </c>
      <c r="I476" s="46" t="e">
        <f>H476+Calc!K476</f>
        <v>#N/A</v>
      </c>
      <c r="J476" s="46" t="e">
        <f>ABS(Show!$A$4-I476)/(Show!$A$4/100)</f>
        <v>#N/A</v>
      </c>
      <c r="K476" s="45">
        <f>INDEX(Calc!L476:P476,Show!$B$4)</f>
        <v>7500</v>
      </c>
      <c r="L476" s="46">
        <f t="shared" si="374"/>
        <v>7870</v>
      </c>
      <c r="M476" s="46">
        <f>L476</f>
        <v>7870</v>
      </c>
      <c r="N476" s="46">
        <f>L474</f>
        <v>7500</v>
      </c>
      <c r="O476" s="46">
        <f t="shared" si="370"/>
        <v>8200</v>
      </c>
      <c r="P476" s="46">
        <f t="shared" ref="P476" si="393">O466</f>
        <v>6800.0000000000009</v>
      </c>
    </row>
    <row r="477" spans="1:16" x14ac:dyDescent="0.25">
      <c r="A477" s="45">
        <f>1/((1/Show!$A$4)-(1/Calc!K477))</f>
        <v>40.194884287454322</v>
      </c>
      <c r="B477" s="45">
        <f>MATCH(A477*Calc!$R$12,Calc!$K$1:$K$774,1)</f>
        <v>256</v>
      </c>
      <c r="C477" s="45">
        <f>INDEX(Calc!$K$1:$K$774,B477)</f>
        <v>38.299999999999997</v>
      </c>
      <c r="D477" s="45">
        <f>1/(1/C477+1/Calc!K477)</f>
        <v>38.123016782693675</v>
      </c>
      <c r="E477" s="45">
        <f>ABS(Show!$A$4-D477)/(Show!$A$4/100)</f>
        <v>4.6924580432658125</v>
      </c>
      <c r="F477" s="46">
        <f>Show!$A$4-Calc!L477</f>
        <v>-8019.9999999999991</v>
      </c>
      <c r="G477" s="46" t="e">
        <f>MATCH(F477*Calc!$R$12,Calc!$K$1:$K$774,1)</f>
        <v>#N/A</v>
      </c>
      <c r="H477" s="46" t="e">
        <f>INDEX(Calc!$K$1:$K$774,G477)</f>
        <v>#N/A</v>
      </c>
      <c r="I477" s="46" t="e">
        <f>H477+Calc!K477</f>
        <v>#N/A</v>
      </c>
      <c r="J477" s="46" t="e">
        <f>ABS(Show!$A$4-I477)/(Show!$A$4/100)</f>
        <v>#N/A</v>
      </c>
      <c r="K477" s="45">
        <f>INDEX(Calc!L477:P477,Show!$B$4)</f>
        <v>8250</v>
      </c>
      <c r="L477" s="46">
        <f t="shared" si="374"/>
        <v>8059.9999999999991</v>
      </c>
      <c r="M477" s="46">
        <f>L476</f>
        <v>7870</v>
      </c>
      <c r="N477" s="46">
        <f>L478</f>
        <v>8250</v>
      </c>
      <c r="O477" s="46">
        <f t="shared" si="370"/>
        <v>8200</v>
      </c>
      <c r="P477" s="46">
        <f t="shared" ref="P477" si="394">O466</f>
        <v>6800.0000000000009</v>
      </c>
    </row>
    <row r="478" spans="1:16" x14ac:dyDescent="0.25">
      <c r="A478" s="45">
        <f>1/((1/Show!$A$4)-(1/Calc!K478))</f>
        <v>40.194884287454322</v>
      </c>
      <c r="B478" s="45">
        <f>MATCH(A478*Calc!$R$12,Calc!$K$1:$K$774,1)</f>
        <v>256</v>
      </c>
      <c r="C478" s="45">
        <f>INDEX(Calc!$K$1:$K$774,B478)</f>
        <v>38.299999999999997</v>
      </c>
      <c r="D478" s="45">
        <f>1/(1/C478+1/Calc!K478)</f>
        <v>38.123016782693675</v>
      </c>
      <c r="E478" s="45">
        <f>ABS(Show!$A$4-D478)/(Show!$A$4/100)</f>
        <v>4.6924580432658125</v>
      </c>
      <c r="F478" s="46">
        <f>Show!$A$4-Calc!L478</f>
        <v>-8210</v>
      </c>
      <c r="G478" s="46" t="e">
        <f>MATCH(F478*Calc!$R$12,Calc!$K$1:$K$774,1)</f>
        <v>#N/A</v>
      </c>
      <c r="H478" s="46" t="e">
        <f>INDEX(Calc!$K$1:$K$774,G478)</f>
        <v>#N/A</v>
      </c>
      <c r="I478" s="46" t="e">
        <f>H478+Calc!K478</f>
        <v>#N/A</v>
      </c>
      <c r="J478" s="46" t="e">
        <f>ABS(Show!$A$4-I478)/(Show!$A$4/100)</f>
        <v>#N/A</v>
      </c>
      <c r="K478" s="45">
        <f>INDEX(Calc!L478:P478,Show!$B$4)</f>
        <v>8250</v>
      </c>
      <c r="L478" s="46">
        <f t="shared" si="374"/>
        <v>8250</v>
      </c>
      <c r="M478" s="46">
        <f>L478</f>
        <v>8250</v>
      </c>
      <c r="N478" s="46">
        <f>L478</f>
        <v>8250</v>
      </c>
      <c r="O478" s="46">
        <f t="shared" si="370"/>
        <v>8200</v>
      </c>
      <c r="P478" s="46">
        <f t="shared" ref="P478" si="395">O482</f>
        <v>10000</v>
      </c>
    </row>
    <row r="479" spans="1:16" x14ac:dyDescent="0.25">
      <c r="A479" s="45">
        <f>1/((1/Show!$A$4)-(1/Calc!K479))</f>
        <v>40.194884287454322</v>
      </c>
      <c r="B479" s="45">
        <f>MATCH(A479*Calc!$R$12,Calc!$K$1:$K$774,1)</f>
        <v>256</v>
      </c>
      <c r="C479" s="45">
        <f>INDEX(Calc!$K$1:$K$774,B479)</f>
        <v>38.299999999999997</v>
      </c>
      <c r="D479" s="45">
        <f>1/(1/C479+1/Calc!K479)</f>
        <v>38.123016782693675</v>
      </c>
      <c r="E479" s="45">
        <f>ABS(Show!$A$4-D479)/(Show!$A$4/100)</f>
        <v>4.6924580432658125</v>
      </c>
      <c r="F479" s="46">
        <f>Show!$A$4-Calc!L479</f>
        <v>-8410</v>
      </c>
      <c r="G479" s="46" t="e">
        <f>MATCH(F479*Calc!$R$12,Calc!$K$1:$K$774,1)</f>
        <v>#N/A</v>
      </c>
      <c r="H479" s="46" t="e">
        <f>INDEX(Calc!$K$1:$K$774,G479)</f>
        <v>#N/A</v>
      </c>
      <c r="I479" s="46" t="e">
        <f>H479+Calc!K479</f>
        <v>#N/A</v>
      </c>
      <c r="J479" s="46" t="e">
        <f>ABS(Show!$A$4-I479)/(Show!$A$4/100)</f>
        <v>#N/A</v>
      </c>
      <c r="K479" s="45">
        <f>INDEX(Calc!L479:P479,Show!$B$4)</f>
        <v>8250</v>
      </c>
      <c r="L479" s="46">
        <f t="shared" si="374"/>
        <v>8450</v>
      </c>
      <c r="M479" s="46">
        <f>L478</f>
        <v>8250</v>
      </c>
      <c r="N479" s="46">
        <f>L478</f>
        <v>8250</v>
      </c>
      <c r="O479" s="46">
        <f t="shared" si="370"/>
        <v>8200</v>
      </c>
      <c r="P479" s="46">
        <f t="shared" ref="P479" si="396">O482</f>
        <v>10000</v>
      </c>
    </row>
    <row r="480" spans="1:16" x14ac:dyDescent="0.25">
      <c r="A480" s="45">
        <f>1/((1/Show!$A$4)-(1/Calc!K480))</f>
        <v>40.194884287454322</v>
      </c>
      <c r="B480" s="45">
        <f>MATCH(A480*Calc!$R$12,Calc!$K$1:$K$774,1)</f>
        <v>256</v>
      </c>
      <c r="C480" s="45">
        <f>INDEX(Calc!$K$1:$K$774,B480)</f>
        <v>38.299999999999997</v>
      </c>
      <c r="D480" s="45">
        <f>1/(1/C480+1/Calc!K480)</f>
        <v>38.123016782693675</v>
      </c>
      <c r="E480" s="45">
        <f>ABS(Show!$A$4-D480)/(Show!$A$4/100)</f>
        <v>4.6924580432658125</v>
      </c>
      <c r="F480" s="46">
        <f>Show!$A$4-Calc!L480</f>
        <v>-8620</v>
      </c>
      <c r="G480" s="46" t="e">
        <f>MATCH(F480*Calc!$R$12,Calc!$K$1:$K$774,1)</f>
        <v>#N/A</v>
      </c>
      <c r="H480" s="46" t="e">
        <f>INDEX(Calc!$K$1:$K$774,G480)</f>
        <v>#N/A</v>
      </c>
      <c r="I480" s="46" t="e">
        <f>H480+Calc!K480</f>
        <v>#N/A</v>
      </c>
      <c r="J480" s="46" t="e">
        <f>ABS(Show!$A$4-I480)/(Show!$A$4/100)</f>
        <v>#N/A</v>
      </c>
      <c r="K480" s="45">
        <f>INDEX(Calc!L480:P480,Show!$B$4)</f>
        <v>8250</v>
      </c>
      <c r="L480" s="46">
        <f t="shared" si="374"/>
        <v>8660</v>
      </c>
      <c r="M480" s="46">
        <f>L480</f>
        <v>8660</v>
      </c>
      <c r="N480" s="46">
        <f>L478</f>
        <v>8250</v>
      </c>
      <c r="O480" s="46">
        <f t="shared" si="370"/>
        <v>8200</v>
      </c>
      <c r="P480" s="46">
        <f t="shared" ref="P480" si="397">O482</f>
        <v>10000</v>
      </c>
    </row>
    <row r="481" spans="1:18" x14ac:dyDescent="0.25">
      <c r="A481" s="45">
        <f>1/((1/Show!$A$4)-(1/Calc!K481))</f>
        <v>40.176795580110493</v>
      </c>
      <c r="B481" s="45">
        <f>MATCH(A481*Calc!$R$12,Calc!$K$1:$K$774,1)</f>
        <v>256</v>
      </c>
      <c r="C481" s="45">
        <f>INDEX(Calc!$K$1:$K$774,B481)</f>
        <v>38.299999999999997</v>
      </c>
      <c r="D481" s="45">
        <f>1/(1/C481+1/Calc!K481)</f>
        <v>38.139303046569459</v>
      </c>
      <c r="E481" s="45">
        <f>ABS(Show!$A$4-D481)/(Show!$A$4/100)</f>
        <v>4.6517423835763516</v>
      </c>
      <c r="F481" s="46">
        <f>Show!$A$4-Calc!L481</f>
        <v>-8830</v>
      </c>
      <c r="G481" s="46" t="e">
        <f>MATCH(F481*Calc!$R$12,Calc!$K$1:$K$774,1)</f>
        <v>#N/A</v>
      </c>
      <c r="H481" s="46" t="e">
        <f>INDEX(Calc!$K$1:$K$774,G481)</f>
        <v>#N/A</v>
      </c>
      <c r="I481" s="46" t="e">
        <f>H481+Calc!K481</f>
        <v>#N/A</v>
      </c>
      <c r="J481" s="46" t="e">
        <f>ABS(Show!$A$4-I481)/(Show!$A$4/100)</f>
        <v>#N/A</v>
      </c>
      <c r="K481" s="45">
        <f>INDEX(Calc!L481:P481,Show!$B$4)</f>
        <v>9090</v>
      </c>
      <c r="L481" s="46">
        <f t="shared" si="374"/>
        <v>8870</v>
      </c>
      <c r="M481" s="46">
        <f>L480</f>
        <v>8660</v>
      </c>
      <c r="N481" s="46">
        <f>L482</f>
        <v>9090</v>
      </c>
      <c r="O481" s="46">
        <f t="shared" si="370"/>
        <v>8200</v>
      </c>
      <c r="P481" s="46">
        <f t="shared" ref="P481" si="398">O482</f>
        <v>10000</v>
      </c>
    </row>
    <row r="482" spans="1:18" x14ac:dyDescent="0.25">
      <c r="A482" s="45">
        <f>1/((1/Show!$A$4)-(1/Calc!K482))</f>
        <v>40.176795580110493</v>
      </c>
      <c r="B482" s="45">
        <f>MATCH(A482*Calc!$R$12,Calc!$K$1:$K$774,1)</f>
        <v>256</v>
      </c>
      <c r="C482" s="45">
        <f>INDEX(Calc!$K$1:$K$774,B482)</f>
        <v>38.299999999999997</v>
      </c>
      <c r="D482" s="45">
        <f>1/(1/C482+1/Calc!K482)</f>
        <v>38.139303046569459</v>
      </c>
      <c r="E482" s="45">
        <f>ABS(Show!$A$4-D482)/(Show!$A$4/100)</f>
        <v>4.6517423835763516</v>
      </c>
      <c r="F482" s="46">
        <f>Show!$A$4-Calc!L482</f>
        <v>-9050</v>
      </c>
      <c r="G482" s="46" t="e">
        <f>MATCH(F482*Calc!$R$12,Calc!$K$1:$K$774,1)</f>
        <v>#N/A</v>
      </c>
      <c r="H482" s="46" t="e">
        <f>INDEX(Calc!$K$1:$K$774,G482)</f>
        <v>#N/A</v>
      </c>
      <c r="I482" s="46" t="e">
        <f>H482+Calc!K482</f>
        <v>#N/A</v>
      </c>
      <c r="J482" s="46" t="e">
        <f>ABS(Show!$A$4-I482)/(Show!$A$4/100)</f>
        <v>#N/A</v>
      </c>
      <c r="K482" s="45">
        <f>INDEX(Calc!L482:P482,Show!$B$4)</f>
        <v>9090</v>
      </c>
      <c r="L482" s="46">
        <f t="shared" si="374"/>
        <v>9090</v>
      </c>
      <c r="M482" s="46">
        <f>L482</f>
        <v>9090</v>
      </c>
      <c r="N482" s="46">
        <f>L482</f>
        <v>9090</v>
      </c>
      <c r="O482" s="46">
        <f t="shared" si="370"/>
        <v>10000</v>
      </c>
      <c r="P482" s="46">
        <f t="shared" ref="P482" si="399">O482</f>
        <v>10000</v>
      </c>
    </row>
    <row r="483" spans="1:18" x14ac:dyDescent="0.25">
      <c r="A483" s="45">
        <f>1/((1/Show!$A$4)-(1/Calc!K483))</f>
        <v>40.176795580110493</v>
      </c>
      <c r="B483" s="45">
        <f>MATCH(A483*Calc!$R$12,Calc!$K$1:$K$774,1)</f>
        <v>256</v>
      </c>
      <c r="C483" s="45">
        <f>INDEX(Calc!$K$1:$K$774,B483)</f>
        <v>38.299999999999997</v>
      </c>
      <c r="D483" s="45">
        <f>1/(1/C483+1/Calc!K483)</f>
        <v>38.139303046569459</v>
      </c>
      <c r="E483" s="45">
        <f>ABS(Show!$A$4-D483)/(Show!$A$4/100)</f>
        <v>4.6517423835763516</v>
      </c>
      <c r="F483" s="46">
        <f>Show!$A$4-Calc!L483</f>
        <v>-9270</v>
      </c>
      <c r="G483" s="46" t="e">
        <f>MATCH(F483*Calc!$R$12,Calc!$K$1:$K$774,1)</f>
        <v>#N/A</v>
      </c>
      <c r="H483" s="46" t="e">
        <f>INDEX(Calc!$K$1:$K$774,G483)</f>
        <v>#N/A</v>
      </c>
      <c r="I483" s="46" t="e">
        <f>H483+Calc!K483</f>
        <v>#N/A</v>
      </c>
      <c r="J483" s="46" t="e">
        <f>ABS(Show!$A$4-I483)/(Show!$A$4/100)</f>
        <v>#N/A</v>
      </c>
      <c r="K483" s="45">
        <f>INDEX(Calc!L483:P483,Show!$B$4)</f>
        <v>9090</v>
      </c>
      <c r="L483" s="46">
        <f t="shared" si="374"/>
        <v>9310</v>
      </c>
      <c r="M483" s="46">
        <f>L482</f>
        <v>9090</v>
      </c>
      <c r="N483" s="46">
        <f>L482</f>
        <v>9090</v>
      </c>
      <c r="O483" s="46">
        <f t="shared" si="370"/>
        <v>10000</v>
      </c>
      <c r="P483" s="46">
        <f t="shared" ref="P483" si="400">O482</f>
        <v>10000</v>
      </c>
    </row>
    <row r="484" spans="1:18" x14ac:dyDescent="0.25">
      <c r="A484" s="45">
        <f>1/((1/Show!$A$4)-(1/Calc!K484))</f>
        <v>40.176795580110493</v>
      </c>
      <c r="B484" s="45">
        <f>MATCH(A484*Calc!$R$12,Calc!$K$1:$K$774,1)</f>
        <v>256</v>
      </c>
      <c r="C484" s="45">
        <f>INDEX(Calc!$K$1:$K$774,B484)</f>
        <v>38.299999999999997</v>
      </c>
      <c r="D484" s="45">
        <f>1/(1/C484+1/Calc!K484)</f>
        <v>38.139303046569459</v>
      </c>
      <c r="E484" s="45">
        <f>ABS(Show!$A$4-D484)/(Show!$A$4/100)</f>
        <v>4.6517423835763516</v>
      </c>
      <c r="F484" s="46">
        <f>Show!$A$4-Calc!L484</f>
        <v>-9490</v>
      </c>
      <c r="G484" s="46" t="e">
        <f>MATCH(F484*Calc!$R$12,Calc!$K$1:$K$774,1)</f>
        <v>#N/A</v>
      </c>
      <c r="H484" s="46" t="e">
        <f>INDEX(Calc!$K$1:$K$774,G484)</f>
        <v>#N/A</v>
      </c>
      <c r="I484" s="46" t="e">
        <f>H484+Calc!K484</f>
        <v>#N/A</v>
      </c>
      <c r="J484" s="46" t="e">
        <f>ABS(Show!$A$4-I484)/(Show!$A$4/100)</f>
        <v>#N/A</v>
      </c>
      <c r="K484" s="45">
        <f>INDEX(Calc!L484:P484,Show!$B$4)</f>
        <v>9090</v>
      </c>
      <c r="L484" s="46">
        <f t="shared" si="374"/>
        <v>9530</v>
      </c>
      <c r="M484" s="46">
        <f>L484</f>
        <v>9530</v>
      </c>
      <c r="N484" s="46">
        <f>L482</f>
        <v>9090</v>
      </c>
      <c r="O484" s="46">
        <f t="shared" si="370"/>
        <v>10000</v>
      </c>
      <c r="P484" s="46">
        <f t="shared" ref="P484" si="401">O482</f>
        <v>10000</v>
      </c>
    </row>
    <row r="485" spans="1:18" s="43" customFormat="1" ht="15.75" thickBot="1" x14ac:dyDescent="0.3">
      <c r="A485" s="47">
        <f>1/((1/Show!$A$4)-(1/Calc!K485))</f>
        <v>40.160642570281119</v>
      </c>
      <c r="B485" s="47">
        <f>MATCH(A485*Calc!$R$12,Calc!$K$1:$K$774,1)</f>
        <v>256</v>
      </c>
      <c r="C485" s="47">
        <f>INDEX(Calc!$K$1:$K$774,B485)</f>
        <v>38.299999999999997</v>
      </c>
      <c r="D485" s="47">
        <f>1/(1/C485+1/Calc!K485)</f>
        <v>38.153870675313549</v>
      </c>
      <c r="E485" s="47">
        <f>ABS(Show!$A$4-D485)/(Show!$A$4/100)</f>
        <v>4.6153233117161285</v>
      </c>
      <c r="F485" s="48">
        <f>Show!$A$4-Calc!L485</f>
        <v>-9720</v>
      </c>
      <c r="G485" s="48" t="e">
        <f>MATCH(F485*Calc!$R$12,Calc!$K$1:$K$774,1)</f>
        <v>#N/A</v>
      </c>
      <c r="H485" s="48" t="e">
        <f>INDEX(Calc!$K$1:$K$774,G485)</f>
        <v>#N/A</v>
      </c>
      <c r="I485" s="48" t="e">
        <f>H485+Calc!K485</f>
        <v>#N/A</v>
      </c>
      <c r="J485" s="48" t="e">
        <f>ABS(Show!$A$4-I485)/(Show!$A$4/100)</f>
        <v>#N/A</v>
      </c>
      <c r="K485" s="47">
        <f>INDEX(Calc!L485:P485,Show!$B$4)</f>
        <v>10000</v>
      </c>
      <c r="L485" s="48">
        <f t="shared" si="374"/>
        <v>9760</v>
      </c>
      <c r="M485" s="48">
        <f>L484</f>
        <v>9530</v>
      </c>
      <c r="N485" s="48">
        <f>L486</f>
        <v>10000</v>
      </c>
      <c r="O485" s="48">
        <f t="shared" si="370"/>
        <v>10000</v>
      </c>
      <c r="P485" s="48">
        <f t="shared" ref="P485" si="402">O482</f>
        <v>10000</v>
      </c>
      <c r="Q485" s="47"/>
      <c r="R485" s="47"/>
    </row>
    <row r="486" spans="1:18" ht="15.75" thickTop="1" x14ac:dyDescent="0.25">
      <c r="A486" s="45">
        <f>1/((1/Show!$A$4)-(1/Calc!K486))</f>
        <v>40.160642570281119</v>
      </c>
      <c r="B486" s="45">
        <f>MATCH(A486*Calc!$R$12,Calc!$K$1:$K$774,1)</f>
        <v>256</v>
      </c>
      <c r="C486" s="45">
        <f>INDEX(Calc!$K$1:$K$774,B486)</f>
        <v>38.299999999999997</v>
      </c>
      <c r="D486" s="45">
        <f>1/(1/C486+1/Calc!K486)</f>
        <v>38.153870675313549</v>
      </c>
      <c r="E486" s="45">
        <f>ABS(Show!$A$4-D486)/(Show!$A$4/100)</f>
        <v>4.6153233117161285</v>
      </c>
      <c r="F486" s="46">
        <f>Show!$A$4-Calc!L486</f>
        <v>-9960</v>
      </c>
      <c r="G486" s="46" t="e">
        <f>MATCH(F486*Calc!$R$12,Calc!$K$1:$K$774,1)</f>
        <v>#N/A</v>
      </c>
      <c r="H486" s="46" t="e">
        <f>INDEX(Calc!$K$1:$K$774,G486)</f>
        <v>#N/A</v>
      </c>
      <c r="I486" s="46" t="e">
        <f>H486+Calc!K486</f>
        <v>#N/A</v>
      </c>
      <c r="J486" s="46" t="e">
        <f>ABS(Show!$A$4-I486)/(Show!$A$4/100)</f>
        <v>#N/A</v>
      </c>
      <c r="K486" s="45">
        <f>INDEX(Calc!L486:P486,Show!$B$4)</f>
        <v>10000</v>
      </c>
      <c r="L486" s="46">
        <f>L6*100000</f>
        <v>10000</v>
      </c>
      <c r="M486" s="46">
        <f>L486</f>
        <v>10000</v>
      </c>
      <c r="N486" s="46">
        <f>L486</f>
        <v>10000</v>
      </c>
      <c r="O486" s="46">
        <f>O6*100000</f>
        <v>10000</v>
      </c>
      <c r="P486" s="46">
        <f t="shared" ref="P486" si="403">O486</f>
        <v>10000</v>
      </c>
    </row>
    <row r="487" spans="1:18" x14ac:dyDescent="0.25">
      <c r="A487" s="45">
        <f>1/((1/Show!$A$4)-(1/Calc!K487))</f>
        <v>40.160642570281119</v>
      </c>
      <c r="B487" s="45">
        <f>MATCH(A487*Calc!$R$12,Calc!$K$1:$K$774,1)</f>
        <v>256</v>
      </c>
      <c r="C487" s="45">
        <f>INDEX(Calc!$K$1:$K$774,B487)</f>
        <v>38.299999999999997</v>
      </c>
      <c r="D487" s="45">
        <f>1/(1/C487+1/Calc!K487)</f>
        <v>38.153870675313549</v>
      </c>
      <c r="E487" s="45">
        <f>ABS(Show!$A$4-D487)/(Show!$A$4/100)</f>
        <v>4.6153233117161285</v>
      </c>
      <c r="F487" s="46">
        <f>Show!$A$4-Calc!L487</f>
        <v>-10160</v>
      </c>
      <c r="G487" s="46" t="e">
        <f>MATCH(F487*Calc!$R$12,Calc!$K$1:$K$774,1)</f>
        <v>#N/A</v>
      </c>
      <c r="H487" s="46" t="e">
        <f>INDEX(Calc!$K$1:$K$774,G487)</f>
        <v>#N/A</v>
      </c>
      <c r="I487" s="46" t="e">
        <f>H487+Calc!K487</f>
        <v>#N/A</v>
      </c>
      <c r="J487" s="46" t="e">
        <f>ABS(Show!$A$4-I487)/(Show!$A$4/100)</f>
        <v>#N/A</v>
      </c>
      <c r="K487" s="45">
        <f>INDEX(Calc!L487:P487,Show!$B$4)</f>
        <v>10000</v>
      </c>
      <c r="L487" s="46">
        <f t="shared" ref="L487:L550" si="404">L7*100000</f>
        <v>10200</v>
      </c>
      <c r="M487" s="46">
        <f>L486</f>
        <v>10000</v>
      </c>
      <c r="N487" s="46">
        <f>L486</f>
        <v>10000</v>
      </c>
      <c r="O487" s="46">
        <f t="shared" ref="O487:O550" si="405">O7*100000</f>
        <v>10000</v>
      </c>
      <c r="P487" s="46">
        <f t="shared" ref="P487" si="406">O486</f>
        <v>10000</v>
      </c>
    </row>
    <row r="488" spans="1:18" x14ac:dyDescent="0.25">
      <c r="A488" s="45">
        <f>1/((1/Show!$A$4)-(1/Calc!K488))</f>
        <v>40.160642570281119</v>
      </c>
      <c r="B488" s="45">
        <f>MATCH(A488*Calc!$R$12,Calc!$K$1:$K$774,1)</f>
        <v>256</v>
      </c>
      <c r="C488" s="45">
        <f>INDEX(Calc!$K$1:$K$774,B488)</f>
        <v>38.299999999999997</v>
      </c>
      <c r="D488" s="45">
        <f>1/(1/C488+1/Calc!K488)</f>
        <v>38.153870675313549</v>
      </c>
      <c r="E488" s="45">
        <f>ABS(Show!$A$4-D488)/(Show!$A$4/100)</f>
        <v>4.6153233117161285</v>
      </c>
      <c r="F488" s="46">
        <f>Show!$A$4-Calc!L488</f>
        <v>-10460</v>
      </c>
      <c r="G488" s="46" t="e">
        <f>MATCH(F488*Calc!$R$12,Calc!$K$1:$K$774,1)</f>
        <v>#N/A</v>
      </c>
      <c r="H488" s="46" t="e">
        <f>INDEX(Calc!$K$1:$K$774,G488)</f>
        <v>#N/A</v>
      </c>
      <c r="I488" s="46" t="e">
        <f>H488+Calc!K488</f>
        <v>#N/A</v>
      </c>
      <c r="J488" s="46" t="e">
        <f>ABS(Show!$A$4-I488)/(Show!$A$4/100)</f>
        <v>#N/A</v>
      </c>
      <c r="K488" s="45">
        <f>INDEX(Calc!L488:P488,Show!$B$4)</f>
        <v>10000</v>
      </c>
      <c r="L488" s="46">
        <f t="shared" si="404"/>
        <v>10500</v>
      </c>
      <c r="M488" s="46">
        <f>L488</f>
        <v>10500</v>
      </c>
      <c r="N488" s="46">
        <f>L486</f>
        <v>10000</v>
      </c>
      <c r="O488" s="46">
        <f t="shared" si="405"/>
        <v>10000</v>
      </c>
      <c r="P488" s="46">
        <f t="shared" ref="P488" si="407">O486</f>
        <v>10000</v>
      </c>
    </row>
    <row r="489" spans="1:18" x14ac:dyDescent="0.25">
      <c r="A489" s="45">
        <f>1/((1/Show!$A$4)-(1/Calc!K489))</f>
        <v>40.145985401459846</v>
      </c>
      <c r="B489" s="45">
        <f>MATCH(A489*Calc!$R$12,Calc!$K$1:$K$774,1)</f>
        <v>256</v>
      </c>
      <c r="C489" s="45">
        <f>INDEX(Calc!$K$1:$K$774,B489)</f>
        <v>38.299999999999997</v>
      </c>
      <c r="D489" s="45">
        <f>1/(1/C489+1/Calc!K489)</f>
        <v>38.167109065707578</v>
      </c>
      <c r="E489" s="45">
        <f>ABS(Show!$A$4-D489)/(Show!$A$4/100)</f>
        <v>4.582227335731055</v>
      </c>
      <c r="F489" s="46">
        <f>Show!$A$4-Calc!L489</f>
        <v>-10660</v>
      </c>
      <c r="G489" s="46" t="e">
        <f>MATCH(F489*Calc!$R$12,Calc!$K$1:$K$774,1)</f>
        <v>#N/A</v>
      </c>
      <c r="H489" s="46" t="e">
        <f>INDEX(Calc!$K$1:$K$774,G489)</f>
        <v>#N/A</v>
      </c>
      <c r="I489" s="46" t="e">
        <f>H489+Calc!K489</f>
        <v>#N/A</v>
      </c>
      <c r="J489" s="46" t="e">
        <f>ABS(Show!$A$4-I489)/(Show!$A$4/100)</f>
        <v>#N/A</v>
      </c>
      <c r="K489" s="45">
        <f>INDEX(Calc!L489:P489,Show!$B$4)</f>
        <v>11000</v>
      </c>
      <c r="L489" s="46">
        <f t="shared" si="404"/>
        <v>10700</v>
      </c>
      <c r="M489" s="46">
        <f>L488</f>
        <v>10500</v>
      </c>
      <c r="N489" s="46">
        <f>L490</f>
        <v>11000</v>
      </c>
      <c r="O489" s="46">
        <f t="shared" si="405"/>
        <v>10000</v>
      </c>
      <c r="P489" s="46">
        <f t="shared" ref="P489" si="408">O486</f>
        <v>10000</v>
      </c>
    </row>
    <row r="490" spans="1:18" x14ac:dyDescent="0.25">
      <c r="A490" s="45">
        <f>1/((1/Show!$A$4)-(1/Calc!K490))</f>
        <v>40.145985401459846</v>
      </c>
      <c r="B490" s="45">
        <f>MATCH(A490*Calc!$R$12,Calc!$K$1:$K$774,1)</f>
        <v>256</v>
      </c>
      <c r="C490" s="45">
        <f>INDEX(Calc!$K$1:$K$774,B490)</f>
        <v>38.299999999999997</v>
      </c>
      <c r="D490" s="45">
        <f>1/(1/C490+1/Calc!K490)</f>
        <v>38.167109065707578</v>
      </c>
      <c r="E490" s="45">
        <f>ABS(Show!$A$4-D490)/(Show!$A$4/100)</f>
        <v>4.582227335731055</v>
      </c>
      <c r="F490" s="46">
        <f>Show!$A$4-Calc!L490</f>
        <v>-10960</v>
      </c>
      <c r="G490" s="46" t="e">
        <f>MATCH(F490*Calc!$R$12,Calc!$K$1:$K$774,1)</f>
        <v>#N/A</v>
      </c>
      <c r="H490" s="46" t="e">
        <f>INDEX(Calc!$K$1:$K$774,G490)</f>
        <v>#N/A</v>
      </c>
      <c r="I490" s="46" t="e">
        <f>H490+Calc!K490</f>
        <v>#N/A</v>
      </c>
      <c r="J490" s="46" t="e">
        <f>ABS(Show!$A$4-I490)/(Show!$A$4/100)</f>
        <v>#N/A</v>
      </c>
      <c r="K490" s="45">
        <f>INDEX(Calc!L490:P490,Show!$B$4)</f>
        <v>11000</v>
      </c>
      <c r="L490" s="46">
        <f t="shared" si="404"/>
        <v>11000</v>
      </c>
      <c r="M490" s="46">
        <f>L490</f>
        <v>11000</v>
      </c>
      <c r="N490" s="46">
        <f>L490</f>
        <v>11000</v>
      </c>
      <c r="O490" s="46">
        <f t="shared" si="405"/>
        <v>12000</v>
      </c>
      <c r="P490" s="46">
        <f t="shared" ref="P490" si="409">O486</f>
        <v>10000</v>
      </c>
    </row>
    <row r="491" spans="1:18" x14ac:dyDescent="0.25">
      <c r="A491" s="45">
        <f>1/((1/Show!$A$4)-(1/Calc!K491))</f>
        <v>40.145985401459846</v>
      </c>
      <c r="B491" s="45">
        <f>MATCH(A491*Calc!$R$12,Calc!$K$1:$K$774,1)</f>
        <v>256</v>
      </c>
      <c r="C491" s="45">
        <f>INDEX(Calc!$K$1:$K$774,B491)</f>
        <v>38.299999999999997</v>
      </c>
      <c r="D491" s="45">
        <f>1/(1/C491+1/Calc!K491)</f>
        <v>38.167109065707578</v>
      </c>
      <c r="E491" s="45">
        <f>ABS(Show!$A$4-D491)/(Show!$A$4/100)</f>
        <v>4.582227335731055</v>
      </c>
      <c r="F491" s="46">
        <f>Show!$A$4-Calc!L491</f>
        <v>-11260</v>
      </c>
      <c r="G491" s="46" t="e">
        <f>MATCH(F491*Calc!$R$12,Calc!$K$1:$K$774,1)</f>
        <v>#N/A</v>
      </c>
      <c r="H491" s="46" t="e">
        <f>INDEX(Calc!$K$1:$K$774,G491)</f>
        <v>#N/A</v>
      </c>
      <c r="I491" s="46" t="e">
        <f>H491+Calc!K491</f>
        <v>#N/A</v>
      </c>
      <c r="J491" s="46" t="e">
        <f>ABS(Show!$A$4-I491)/(Show!$A$4/100)</f>
        <v>#N/A</v>
      </c>
      <c r="K491" s="45">
        <f>INDEX(Calc!L491:P491,Show!$B$4)</f>
        <v>11000</v>
      </c>
      <c r="L491" s="46">
        <f t="shared" si="404"/>
        <v>11300</v>
      </c>
      <c r="M491" s="46">
        <f>L490</f>
        <v>11000</v>
      </c>
      <c r="N491" s="46">
        <f>L490</f>
        <v>11000</v>
      </c>
      <c r="O491" s="46">
        <f t="shared" si="405"/>
        <v>12000</v>
      </c>
      <c r="P491" s="46">
        <f t="shared" ref="P491" si="410">O486</f>
        <v>10000</v>
      </c>
    </row>
    <row r="492" spans="1:18" x14ac:dyDescent="0.25">
      <c r="A492" s="45">
        <f>1/((1/Show!$A$4)-(1/Calc!K492))</f>
        <v>40.145985401459846</v>
      </c>
      <c r="B492" s="45">
        <f>MATCH(A492*Calc!$R$12,Calc!$K$1:$K$774,1)</f>
        <v>256</v>
      </c>
      <c r="C492" s="45">
        <f>INDEX(Calc!$K$1:$K$774,B492)</f>
        <v>38.299999999999997</v>
      </c>
      <c r="D492" s="45">
        <f>1/(1/C492+1/Calc!K492)</f>
        <v>38.167109065707578</v>
      </c>
      <c r="E492" s="45">
        <f>ABS(Show!$A$4-D492)/(Show!$A$4/100)</f>
        <v>4.582227335731055</v>
      </c>
      <c r="F492" s="46">
        <f>Show!$A$4-Calc!L492</f>
        <v>-11460</v>
      </c>
      <c r="G492" s="46" t="e">
        <f>MATCH(F492*Calc!$R$12,Calc!$K$1:$K$774,1)</f>
        <v>#N/A</v>
      </c>
      <c r="H492" s="46" t="e">
        <f>INDEX(Calc!$K$1:$K$774,G492)</f>
        <v>#N/A</v>
      </c>
      <c r="I492" s="46" t="e">
        <f>H492+Calc!K492</f>
        <v>#N/A</v>
      </c>
      <c r="J492" s="46" t="e">
        <f>ABS(Show!$A$4-I492)/(Show!$A$4/100)</f>
        <v>#N/A</v>
      </c>
      <c r="K492" s="45">
        <f>INDEX(Calc!L492:P492,Show!$B$4)</f>
        <v>11000</v>
      </c>
      <c r="L492" s="46">
        <f t="shared" si="404"/>
        <v>11500</v>
      </c>
      <c r="M492" s="46">
        <f>L492</f>
        <v>11500</v>
      </c>
      <c r="N492" s="46">
        <f>L490</f>
        <v>11000</v>
      </c>
      <c r="O492" s="46">
        <f t="shared" si="405"/>
        <v>12000</v>
      </c>
      <c r="P492" s="46">
        <f t="shared" ref="P492" si="411">O486</f>
        <v>10000</v>
      </c>
    </row>
    <row r="493" spans="1:18" x14ac:dyDescent="0.25">
      <c r="A493" s="45">
        <f>1/((1/Show!$A$4)-(1/Calc!K493))</f>
        <v>40.13266998341625</v>
      </c>
      <c r="B493" s="45">
        <f>MATCH(A493*Calc!$R$12,Calc!$K$1:$K$774,1)</f>
        <v>256</v>
      </c>
      <c r="C493" s="45">
        <f>INDEX(Calc!$K$1:$K$774,B493)</f>
        <v>38.299999999999997</v>
      </c>
      <c r="D493" s="45">
        <f>1/(1/C493+1/Calc!K493)</f>
        <v>38.179151940551805</v>
      </c>
      <c r="E493" s="45">
        <f>ABS(Show!$A$4-D493)/(Show!$A$4/100)</f>
        <v>4.5521201486204887</v>
      </c>
      <c r="F493" s="46">
        <f>Show!$A$4-Calc!L493</f>
        <v>-11760</v>
      </c>
      <c r="G493" s="46" t="e">
        <f>MATCH(F493*Calc!$R$12,Calc!$K$1:$K$774,1)</f>
        <v>#N/A</v>
      </c>
      <c r="H493" s="46" t="e">
        <f>INDEX(Calc!$K$1:$K$774,G493)</f>
        <v>#N/A</v>
      </c>
      <c r="I493" s="46" t="e">
        <f>H493+Calc!K493</f>
        <v>#N/A</v>
      </c>
      <c r="J493" s="46" t="e">
        <f>ABS(Show!$A$4-I493)/(Show!$A$4/100)</f>
        <v>#N/A</v>
      </c>
      <c r="K493" s="45">
        <f>INDEX(Calc!L493:P493,Show!$B$4)</f>
        <v>12100</v>
      </c>
      <c r="L493" s="46">
        <f t="shared" si="404"/>
        <v>11800</v>
      </c>
      <c r="M493" s="46">
        <f>L492</f>
        <v>11500</v>
      </c>
      <c r="N493" s="46">
        <f>L494</f>
        <v>12100</v>
      </c>
      <c r="O493" s="46">
        <f t="shared" si="405"/>
        <v>12000</v>
      </c>
      <c r="P493" s="46">
        <f t="shared" ref="P493" si="412">O486</f>
        <v>10000</v>
      </c>
    </row>
    <row r="494" spans="1:18" x14ac:dyDescent="0.25">
      <c r="A494" s="45">
        <f>1/((1/Show!$A$4)-(1/Calc!K494))</f>
        <v>40.13266998341625</v>
      </c>
      <c r="B494" s="45">
        <f>MATCH(A494*Calc!$R$12,Calc!$K$1:$K$774,1)</f>
        <v>256</v>
      </c>
      <c r="C494" s="45">
        <f>INDEX(Calc!$K$1:$K$774,B494)</f>
        <v>38.299999999999997</v>
      </c>
      <c r="D494" s="45">
        <f>1/(1/C494+1/Calc!K494)</f>
        <v>38.179151940551805</v>
      </c>
      <c r="E494" s="45">
        <f>ABS(Show!$A$4-D494)/(Show!$A$4/100)</f>
        <v>4.5521201486204887</v>
      </c>
      <c r="F494" s="46">
        <f>Show!$A$4-Calc!L494</f>
        <v>-12060</v>
      </c>
      <c r="G494" s="46" t="e">
        <f>MATCH(F494*Calc!$R$12,Calc!$K$1:$K$774,1)</f>
        <v>#N/A</v>
      </c>
      <c r="H494" s="46" t="e">
        <f>INDEX(Calc!$K$1:$K$774,G494)</f>
        <v>#N/A</v>
      </c>
      <c r="I494" s="46" t="e">
        <f>H494+Calc!K494</f>
        <v>#N/A</v>
      </c>
      <c r="J494" s="46" t="e">
        <f>ABS(Show!$A$4-I494)/(Show!$A$4/100)</f>
        <v>#N/A</v>
      </c>
      <c r="K494" s="45">
        <f>INDEX(Calc!L494:P494,Show!$B$4)</f>
        <v>12100</v>
      </c>
      <c r="L494" s="46">
        <f t="shared" si="404"/>
        <v>12100</v>
      </c>
      <c r="M494" s="46">
        <f>L494</f>
        <v>12100</v>
      </c>
      <c r="N494" s="46">
        <f>L494</f>
        <v>12100</v>
      </c>
      <c r="O494" s="46">
        <f t="shared" si="405"/>
        <v>12000</v>
      </c>
      <c r="P494" s="46">
        <f t="shared" ref="P494" si="413">O498</f>
        <v>15000</v>
      </c>
    </row>
    <row r="495" spans="1:18" x14ac:dyDescent="0.25">
      <c r="A495" s="45">
        <f>1/((1/Show!$A$4)-(1/Calc!K495))</f>
        <v>40.13266998341625</v>
      </c>
      <c r="B495" s="45">
        <f>MATCH(A495*Calc!$R$12,Calc!$K$1:$K$774,1)</f>
        <v>256</v>
      </c>
      <c r="C495" s="45">
        <f>INDEX(Calc!$K$1:$K$774,B495)</f>
        <v>38.299999999999997</v>
      </c>
      <c r="D495" s="45">
        <f>1/(1/C495+1/Calc!K495)</f>
        <v>38.179151940551805</v>
      </c>
      <c r="E495" s="45">
        <f>ABS(Show!$A$4-D495)/(Show!$A$4/100)</f>
        <v>4.5521201486204887</v>
      </c>
      <c r="F495" s="46">
        <f>Show!$A$4-Calc!L495</f>
        <v>-12360</v>
      </c>
      <c r="G495" s="46" t="e">
        <f>MATCH(F495*Calc!$R$12,Calc!$K$1:$K$774,1)</f>
        <v>#N/A</v>
      </c>
      <c r="H495" s="46" t="e">
        <f>INDEX(Calc!$K$1:$K$774,G495)</f>
        <v>#N/A</v>
      </c>
      <c r="I495" s="46" t="e">
        <f>H495+Calc!K495</f>
        <v>#N/A</v>
      </c>
      <c r="J495" s="46" t="e">
        <f>ABS(Show!$A$4-I495)/(Show!$A$4/100)</f>
        <v>#N/A</v>
      </c>
      <c r="K495" s="45">
        <f>INDEX(Calc!L495:P495,Show!$B$4)</f>
        <v>12100</v>
      </c>
      <c r="L495" s="46">
        <f t="shared" si="404"/>
        <v>12400</v>
      </c>
      <c r="M495" s="46">
        <f>L494</f>
        <v>12100</v>
      </c>
      <c r="N495" s="46">
        <f>L494</f>
        <v>12100</v>
      </c>
      <c r="O495" s="46">
        <f t="shared" si="405"/>
        <v>12000</v>
      </c>
      <c r="P495" s="46">
        <f t="shared" ref="P495" si="414">O498</f>
        <v>15000</v>
      </c>
    </row>
    <row r="496" spans="1:18" x14ac:dyDescent="0.25">
      <c r="A496" s="45">
        <f>1/((1/Show!$A$4)-(1/Calc!K496))</f>
        <v>40.13266998341625</v>
      </c>
      <c r="B496" s="45">
        <f>MATCH(A496*Calc!$R$12,Calc!$K$1:$K$774,1)</f>
        <v>256</v>
      </c>
      <c r="C496" s="45">
        <f>INDEX(Calc!$K$1:$K$774,B496)</f>
        <v>38.299999999999997</v>
      </c>
      <c r="D496" s="45">
        <f>1/(1/C496+1/Calc!K496)</f>
        <v>38.179151940551805</v>
      </c>
      <c r="E496" s="45">
        <f>ABS(Show!$A$4-D496)/(Show!$A$4/100)</f>
        <v>4.5521201486204887</v>
      </c>
      <c r="F496" s="46">
        <f>Show!$A$4-Calc!L496</f>
        <v>-12660</v>
      </c>
      <c r="G496" s="46" t="e">
        <f>MATCH(F496*Calc!$R$12,Calc!$K$1:$K$774,1)</f>
        <v>#N/A</v>
      </c>
      <c r="H496" s="46" t="e">
        <f>INDEX(Calc!$K$1:$K$774,G496)</f>
        <v>#N/A</v>
      </c>
      <c r="I496" s="46" t="e">
        <f>H496+Calc!K496</f>
        <v>#N/A</v>
      </c>
      <c r="J496" s="46" t="e">
        <f>ABS(Show!$A$4-I496)/(Show!$A$4/100)</f>
        <v>#N/A</v>
      </c>
      <c r="K496" s="45">
        <f>INDEX(Calc!L496:P496,Show!$B$4)</f>
        <v>12100</v>
      </c>
      <c r="L496" s="46">
        <f t="shared" si="404"/>
        <v>12700</v>
      </c>
      <c r="M496" s="46">
        <f>L496</f>
        <v>12700</v>
      </c>
      <c r="N496" s="46">
        <f>L494</f>
        <v>12100</v>
      </c>
      <c r="O496" s="46">
        <f t="shared" si="405"/>
        <v>12000</v>
      </c>
      <c r="P496" s="46">
        <f t="shared" ref="P496" si="415">O498</f>
        <v>15000</v>
      </c>
    </row>
    <row r="497" spans="1:16" x14ac:dyDescent="0.25">
      <c r="A497" s="45">
        <f>1/((1/Show!$A$4)-(1/Calc!K497))</f>
        <v>40.120663650075414</v>
      </c>
      <c r="B497" s="45">
        <f>MATCH(A497*Calc!$R$12,Calc!$K$1:$K$774,1)</f>
        <v>256</v>
      </c>
      <c r="C497" s="45">
        <f>INDEX(Calc!$K$1:$K$774,B497)</f>
        <v>38.299999999999997</v>
      </c>
      <c r="D497" s="45">
        <f>1/(1/C497+1/Calc!K497)</f>
        <v>38.190024215979548</v>
      </c>
      <c r="E497" s="45">
        <f>ABS(Show!$A$4-D497)/(Show!$A$4/100)</f>
        <v>4.5249394600511295</v>
      </c>
      <c r="F497" s="46">
        <f>Show!$A$4-Calc!L497</f>
        <v>-12960</v>
      </c>
      <c r="G497" s="46" t="e">
        <f>MATCH(F497*Calc!$R$12,Calc!$K$1:$K$774,1)</f>
        <v>#N/A</v>
      </c>
      <c r="H497" s="46" t="e">
        <f>INDEX(Calc!$K$1:$K$774,G497)</f>
        <v>#N/A</v>
      </c>
      <c r="I497" s="46" t="e">
        <f>H497+Calc!K497</f>
        <v>#N/A</v>
      </c>
      <c r="J497" s="46" t="e">
        <f>ABS(Show!$A$4-I497)/(Show!$A$4/100)</f>
        <v>#N/A</v>
      </c>
      <c r="K497" s="45">
        <f>INDEX(Calc!L497:P497,Show!$B$4)</f>
        <v>13300</v>
      </c>
      <c r="L497" s="46">
        <f t="shared" si="404"/>
        <v>13000</v>
      </c>
      <c r="M497" s="46">
        <f>L496</f>
        <v>12700</v>
      </c>
      <c r="N497" s="46">
        <f>L498</f>
        <v>13300</v>
      </c>
      <c r="O497" s="46">
        <f t="shared" si="405"/>
        <v>12000</v>
      </c>
      <c r="P497" s="46">
        <f t="shared" ref="P497" si="416">O498</f>
        <v>15000</v>
      </c>
    </row>
    <row r="498" spans="1:16" x14ac:dyDescent="0.25">
      <c r="A498" s="45">
        <f>1/((1/Show!$A$4)-(1/Calc!K498))</f>
        <v>40.120663650075414</v>
      </c>
      <c r="B498" s="45">
        <f>MATCH(A498*Calc!$R$12,Calc!$K$1:$K$774,1)</f>
        <v>256</v>
      </c>
      <c r="C498" s="45">
        <f>INDEX(Calc!$K$1:$K$774,B498)</f>
        <v>38.299999999999997</v>
      </c>
      <c r="D498" s="45">
        <f>1/(1/C498+1/Calc!K498)</f>
        <v>38.190024215979548</v>
      </c>
      <c r="E498" s="45">
        <f>ABS(Show!$A$4-D498)/(Show!$A$4/100)</f>
        <v>4.5249394600511295</v>
      </c>
      <c r="F498" s="46">
        <f>Show!$A$4-Calc!L498</f>
        <v>-13260</v>
      </c>
      <c r="G498" s="46" t="e">
        <f>MATCH(F498*Calc!$R$12,Calc!$K$1:$K$774,1)</f>
        <v>#N/A</v>
      </c>
      <c r="H498" s="46" t="e">
        <f>INDEX(Calc!$K$1:$K$774,G498)</f>
        <v>#N/A</v>
      </c>
      <c r="I498" s="46" t="e">
        <f>H498+Calc!K498</f>
        <v>#N/A</v>
      </c>
      <c r="J498" s="46" t="e">
        <f>ABS(Show!$A$4-I498)/(Show!$A$4/100)</f>
        <v>#N/A</v>
      </c>
      <c r="K498" s="45">
        <f>INDEX(Calc!L498:P498,Show!$B$4)</f>
        <v>13300</v>
      </c>
      <c r="L498" s="46">
        <f t="shared" si="404"/>
        <v>13300</v>
      </c>
      <c r="M498" s="46">
        <f>L498</f>
        <v>13300</v>
      </c>
      <c r="N498" s="46">
        <f>L498</f>
        <v>13300</v>
      </c>
      <c r="O498" s="46">
        <f t="shared" si="405"/>
        <v>15000</v>
      </c>
      <c r="P498" s="46">
        <f t="shared" ref="P498" si="417">O498</f>
        <v>15000</v>
      </c>
    </row>
    <row r="499" spans="1:16" x14ac:dyDescent="0.25">
      <c r="A499" s="45">
        <f>1/((1/Show!$A$4)-(1/Calc!K499))</f>
        <v>40.120663650075414</v>
      </c>
      <c r="B499" s="45">
        <f>MATCH(A499*Calc!$R$12,Calc!$K$1:$K$774,1)</f>
        <v>256</v>
      </c>
      <c r="C499" s="45">
        <f>INDEX(Calc!$K$1:$K$774,B499)</f>
        <v>38.299999999999997</v>
      </c>
      <c r="D499" s="45">
        <f>1/(1/C499+1/Calc!K499)</f>
        <v>38.190024215979548</v>
      </c>
      <c r="E499" s="45">
        <f>ABS(Show!$A$4-D499)/(Show!$A$4/100)</f>
        <v>4.5249394600511295</v>
      </c>
      <c r="F499" s="46">
        <f>Show!$A$4-Calc!L499</f>
        <v>-13659.999999999998</v>
      </c>
      <c r="G499" s="46" t="e">
        <f>MATCH(F499*Calc!$R$12,Calc!$K$1:$K$774,1)</f>
        <v>#N/A</v>
      </c>
      <c r="H499" s="46" t="e">
        <f>INDEX(Calc!$K$1:$K$774,G499)</f>
        <v>#N/A</v>
      </c>
      <c r="I499" s="46" t="e">
        <f>H499+Calc!K499</f>
        <v>#N/A</v>
      </c>
      <c r="J499" s="46" t="e">
        <f>ABS(Show!$A$4-I499)/(Show!$A$4/100)</f>
        <v>#N/A</v>
      </c>
      <c r="K499" s="45">
        <f>INDEX(Calc!L499:P499,Show!$B$4)</f>
        <v>13300</v>
      </c>
      <c r="L499" s="46">
        <f t="shared" si="404"/>
        <v>13699.999999999998</v>
      </c>
      <c r="M499" s="46">
        <f>L498</f>
        <v>13300</v>
      </c>
      <c r="N499" s="46">
        <f>L498</f>
        <v>13300</v>
      </c>
      <c r="O499" s="46">
        <f t="shared" si="405"/>
        <v>15000</v>
      </c>
      <c r="P499" s="46">
        <f t="shared" ref="P499" si="418">O498</f>
        <v>15000</v>
      </c>
    </row>
    <row r="500" spans="1:16" x14ac:dyDescent="0.25">
      <c r="A500" s="45">
        <f>1/((1/Show!$A$4)-(1/Calc!K500))</f>
        <v>40.120663650075414</v>
      </c>
      <c r="B500" s="45">
        <f>MATCH(A500*Calc!$R$12,Calc!$K$1:$K$774,1)</f>
        <v>256</v>
      </c>
      <c r="C500" s="45">
        <f>INDEX(Calc!$K$1:$K$774,B500)</f>
        <v>38.299999999999997</v>
      </c>
      <c r="D500" s="45">
        <f>1/(1/C500+1/Calc!K500)</f>
        <v>38.190024215979548</v>
      </c>
      <c r="E500" s="45">
        <f>ABS(Show!$A$4-D500)/(Show!$A$4/100)</f>
        <v>4.5249394600511295</v>
      </c>
      <c r="F500" s="46">
        <f>Show!$A$4-Calc!L500</f>
        <v>-13960.000000000002</v>
      </c>
      <c r="G500" s="46" t="e">
        <f>MATCH(F500*Calc!$R$12,Calc!$K$1:$K$774,1)</f>
        <v>#N/A</v>
      </c>
      <c r="H500" s="46" t="e">
        <f>INDEX(Calc!$K$1:$K$774,G500)</f>
        <v>#N/A</v>
      </c>
      <c r="I500" s="46" t="e">
        <f>H500+Calc!K500</f>
        <v>#N/A</v>
      </c>
      <c r="J500" s="46" t="e">
        <f>ABS(Show!$A$4-I500)/(Show!$A$4/100)</f>
        <v>#N/A</v>
      </c>
      <c r="K500" s="45">
        <f>INDEX(Calc!L500:P500,Show!$B$4)</f>
        <v>13300</v>
      </c>
      <c r="L500" s="46">
        <f t="shared" si="404"/>
        <v>14000.000000000002</v>
      </c>
      <c r="M500" s="46">
        <f>L500</f>
        <v>14000.000000000002</v>
      </c>
      <c r="N500" s="46">
        <f>L498</f>
        <v>13300</v>
      </c>
      <c r="O500" s="46">
        <f t="shared" si="405"/>
        <v>15000</v>
      </c>
      <c r="P500" s="46">
        <f t="shared" ref="P500" si="419">O498</f>
        <v>15000</v>
      </c>
    </row>
    <row r="501" spans="1:16" x14ac:dyDescent="0.25">
      <c r="A501" s="45">
        <f>1/((1/Show!$A$4)-(1/Calc!K501))</f>
        <v>40.109140518417462</v>
      </c>
      <c r="B501" s="45">
        <f>MATCH(A501*Calc!$R$12,Calc!$K$1:$K$774,1)</f>
        <v>256</v>
      </c>
      <c r="C501" s="45">
        <f>INDEX(Calc!$K$1:$K$774,B501)</f>
        <v>38.299999999999997</v>
      </c>
      <c r="D501" s="45">
        <f>1/(1/C501+1/Calc!K501)</f>
        <v>38.200470881987741</v>
      </c>
      <c r="E501" s="45">
        <f>ABS(Show!$A$4-D501)/(Show!$A$4/100)</f>
        <v>4.4988227950306481</v>
      </c>
      <c r="F501" s="46">
        <f>Show!$A$4-Calc!L501</f>
        <v>-14260.000000000002</v>
      </c>
      <c r="G501" s="46" t="e">
        <f>MATCH(F501*Calc!$R$12,Calc!$K$1:$K$774,1)</f>
        <v>#N/A</v>
      </c>
      <c r="H501" s="46" t="e">
        <f>INDEX(Calc!$K$1:$K$774,G501)</f>
        <v>#N/A</v>
      </c>
      <c r="I501" s="46" t="e">
        <f>H501+Calc!K501</f>
        <v>#N/A</v>
      </c>
      <c r="J501" s="46" t="e">
        <f>ABS(Show!$A$4-I501)/(Show!$A$4/100)</f>
        <v>#N/A</v>
      </c>
      <c r="K501" s="45">
        <f>INDEX(Calc!L501:P501,Show!$B$4)</f>
        <v>14700</v>
      </c>
      <c r="L501" s="46">
        <f t="shared" si="404"/>
        <v>14300.000000000002</v>
      </c>
      <c r="M501" s="46">
        <f>L500</f>
        <v>14000.000000000002</v>
      </c>
      <c r="N501" s="46">
        <f>L502</f>
        <v>14700</v>
      </c>
      <c r="O501" s="46">
        <f t="shared" si="405"/>
        <v>15000</v>
      </c>
      <c r="P501" s="46">
        <f t="shared" ref="P501" si="420">O498</f>
        <v>15000</v>
      </c>
    </row>
    <row r="502" spans="1:16" x14ac:dyDescent="0.25">
      <c r="A502" s="45">
        <f>1/((1/Show!$A$4)-(1/Calc!K502))</f>
        <v>40.109140518417462</v>
      </c>
      <c r="B502" s="45">
        <f>MATCH(A502*Calc!$R$12,Calc!$K$1:$K$774,1)</f>
        <v>256</v>
      </c>
      <c r="C502" s="45">
        <f>INDEX(Calc!$K$1:$K$774,B502)</f>
        <v>38.299999999999997</v>
      </c>
      <c r="D502" s="45">
        <f>1/(1/C502+1/Calc!K502)</f>
        <v>38.200470881987741</v>
      </c>
      <c r="E502" s="45">
        <f>ABS(Show!$A$4-D502)/(Show!$A$4/100)</f>
        <v>4.4988227950306481</v>
      </c>
      <c r="F502" s="46">
        <f>Show!$A$4-Calc!L502</f>
        <v>-14660</v>
      </c>
      <c r="G502" s="46" t="e">
        <f>MATCH(F502*Calc!$R$12,Calc!$K$1:$K$774,1)</f>
        <v>#N/A</v>
      </c>
      <c r="H502" s="46" t="e">
        <f>INDEX(Calc!$K$1:$K$774,G502)</f>
        <v>#N/A</v>
      </c>
      <c r="I502" s="46" t="e">
        <f>H502+Calc!K502</f>
        <v>#N/A</v>
      </c>
      <c r="J502" s="46" t="e">
        <f>ABS(Show!$A$4-I502)/(Show!$A$4/100)</f>
        <v>#N/A</v>
      </c>
      <c r="K502" s="45">
        <f>INDEX(Calc!L502:P502,Show!$B$4)</f>
        <v>14700</v>
      </c>
      <c r="L502" s="46">
        <f t="shared" si="404"/>
        <v>14700</v>
      </c>
      <c r="M502" s="46">
        <f>L502</f>
        <v>14700</v>
      </c>
      <c r="N502" s="46">
        <f>L502</f>
        <v>14700</v>
      </c>
      <c r="O502" s="46">
        <f t="shared" si="405"/>
        <v>15000</v>
      </c>
      <c r="P502" s="46">
        <f t="shared" ref="P502" si="421">O498</f>
        <v>15000</v>
      </c>
    </row>
    <row r="503" spans="1:16" x14ac:dyDescent="0.25">
      <c r="A503" s="45">
        <f>1/((1/Show!$A$4)-(1/Calc!K503))</f>
        <v>40.109140518417462</v>
      </c>
      <c r="B503" s="45">
        <f>MATCH(A503*Calc!$R$12,Calc!$K$1:$K$774,1)</f>
        <v>256</v>
      </c>
      <c r="C503" s="45">
        <f>INDEX(Calc!$K$1:$K$774,B503)</f>
        <v>38.299999999999997</v>
      </c>
      <c r="D503" s="45">
        <f>1/(1/C503+1/Calc!K503)</f>
        <v>38.200470881987741</v>
      </c>
      <c r="E503" s="45">
        <f>ABS(Show!$A$4-D503)/(Show!$A$4/100)</f>
        <v>4.4988227950306481</v>
      </c>
      <c r="F503" s="46">
        <f>Show!$A$4-Calc!L503</f>
        <v>-14960</v>
      </c>
      <c r="G503" s="46" t="e">
        <f>MATCH(F503*Calc!$R$12,Calc!$K$1:$K$774,1)</f>
        <v>#N/A</v>
      </c>
      <c r="H503" s="46" t="e">
        <f>INDEX(Calc!$K$1:$K$774,G503)</f>
        <v>#N/A</v>
      </c>
      <c r="I503" s="46" t="e">
        <f>H503+Calc!K503</f>
        <v>#N/A</v>
      </c>
      <c r="J503" s="46" t="e">
        <f>ABS(Show!$A$4-I503)/(Show!$A$4/100)</f>
        <v>#N/A</v>
      </c>
      <c r="K503" s="45">
        <f>INDEX(Calc!L503:P503,Show!$B$4)</f>
        <v>14700</v>
      </c>
      <c r="L503" s="46">
        <f t="shared" si="404"/>
        <v>15000</v>
      </c>
      <c r="M503" s="46">
        <f>L502</f>
        <v>14700</v>
      </c>
      <c r="N503" s="46">
        <f>L502</f>
        <v>14700</v>
      </c>
      <c r="O503" s="46">
        <f t="shared" si="405"/>
        <v>15000</v>
      </c>
      <c r="P503" s="46">
        <f t="shared" ref="P503" si="422">O498</f>
        <v>15000</v>
      </c>
    </row>
    <row r="504" spans="1:16" x14ac:dyDescent="0.25">
      <c r="A504" s="45">
        <f>1/((1/Show!$A$4)-(1/Calc!K504))</f>
        <v>40.109140518417462</v>
      </c>
      <c r="B504" s="45">
        <f>MATCH(A504*Calc!$R$12,Calc!$K$1:$K$774,1)</f>
        <v>256</v>
      </c>
      <c r="C504" s="45">
        <f>INDEX(Calc!$K$1:$K$774,B504)</f>
        <v>38.299999999999997</v>
      </c>
      <c r="D504" s="45">
        <f>1/(1/C504+1/Calc!K504)</f>
        <v>38.200470881987741</v>
      </c>
      <c r="E504" s="45">
        <f>ABS(Show!$A$4-D504)/(Show!$A$4/100)</f>
        <v>4.4988227950306481</v>
      </c>
      <c r="F504" s="46">
        <f>Show!$A$4-Calc!L504</f>
        <v>-15360</v>
      </c>
      <c r="G504" s="46" t="e">
        <f>MATCH(F504*Calc!$R$12,Calc!$K$1:$K$774,1)</f>
        <v>#N/A</v>
      </c>
      <c r="H504" s="46" t="e">
        <f>INDEX(Calc!$K$1:$K$774,G504)</f>
        <v>#N/A</v>
      </c>
      <c r="I504" s="46" t="e">
        <f>H504+Calc!K504</f>
        <v>#N/A</v>
      </c>
      <c r="J504" s="46" t="e">
        <f>ABS(Show!$A$4-I504)/(Show!$A$4/100)</f>
        <v>#N/A</v>
      </c>
      <c r="K504" s="45">
        <f>INDEX(Calc!L504:P504,Show!$B$4)</f>
        <v>14700</v>
      </c>
      <c r="L504" s="46">
        <f t="shared" si="404"/>
        <v>15400</v>
      </c>
      <c r="M504" s="46">
        <f>L504</f>
        <v>15400</v>
      </c>
      <c r="N504" s="46">
        <f>L502</f>
        <v>14700</v>
      </c>
      <c r="O504" s="46">
        <f t="shared" si="405"/>
        <v>15000</v>
      </c>
      <c r="P504" s="46">
        <f t="shared" ref="P504" si="423">O498</f>
        <v>15000</v>
      </c>
    </row>
    <row r="505" spans="1:16" x14ac:dyDescent="0.25">
      <c r="A505" s="45">
        <f>1/((1/Show!$A$4)-(1/Calc!K505))</f>
        <v>40.099009900990097</v>
      </c>
      <c r="B505" s="45">
        <f>MATCH(A505*Calc!$R$12,Calc!$K$1:$K$774,1)</f>
        <v>256</v>
      </c>
      <c r="C505" s="45">
        <f>INDEX(Calc!$K$1:$K$774,B505)</f>
        <v>38.299999999999997</v>
      </c>
      <c r="D505" s="45">
        <f>1/(1/C505+1/Calc!K505)</f>
        <v>38.209664804813308</v>
      </c>
      <c r="E505" s="45">
        <f>ABS(Show!$A$4-D505)/(Show!$A$4/100)</f>
        <v>4.4758379879667309</v>
      </c>
      <c r="F505" s="46">
        <f>Show!$A$4-Calc!L505</f>
        <v>-15760</v>
      </c>
      <c r="G505" s="46" t="e">
        <f>MATCH(F505*Calc!$R$12,Calc!$K$1:$K$774,1)</f>
        <v>#N/A</v>
      </c>
      <c r="H505" s="46" t="e">
        <f>INDEX(Calc!$K$1:$K$774,G505)</f>
        <v>#N/A</v>
      </c>
      <c r="I505" s="46" t="e">
        <f>H505+Calc!K505</f>
        <v>#N/A</v>
      </c>
      <c r="J505" s="46" t="e">
        <f>ABS(Show!$A$4-I505)/(Show!$A$4/100)</f>
        <v>#N/A</v>
      </c>
      <c r="K505" s="45">
        <f>INDEX(Calc!L505:P505,Show!$B$4)</f>
        <v>16200</v>
      </c>
      <c r="L505" s="46">
        <f t="shared" si="404"/>
        <v>15800</v>
      </c>
      <c r="M505" s="46">
        <f>L504</f>
        <v>15400</v>
      </c>
      <c r="N505" s="46">
        <f>L506</f>
        <v>16200</v>
      </c>
      <c r="O505" s="46">
        <f t="shared" si="405"/>
        <v>15000</v>
      </c>
      <c r="P505" s="46">
        <f t="shared" ref="P505" si="424">O498</f>
        <v>15000</v>
      </c>
    </row>
    <row r="506" spans="1:16" x14ac:dyDescent="0.25">
      <c r="A506" s="45">
        <f>1/((1/Show!$A$4)-(1/Calc!K506))</f>
        <v>40.099009900990097</v>
      </c>
      <c r="B506" s="45">
        <f>MATCH(A506*Calc!$R$12,Calc!$K$1:$K$774,1)</f>
        <v>256</v>
      </c>
      <c r="C506" s="45">
        <f>INDEX(Calc!$K$1:$K$774,B506)</f>
        <v>38.299999999999997</v>
      </c>
      <c r="D506" s="45">
        <f>1/(1/C506+1/Calc!K506)</f>
        <v>38.209664804813308</v>
      </c>
      <c r="E506" s="45">
        <f>ABS(Show!$A$4-D506)/(Show!$A$4/100)</f>
        <v>4.4758379879667309</v>
      </c>
      <c r="F506" s="46">
        <f>Show!$A$4-Calc!L506</f>
        <v>-16160</v>
      </c>
      <c r="G506" s="46" t="e">
        <f>MATCH(F506*Calc!$R$12,Calc!$K$1:$K$774,1)</f>
        <v>#N/A</v>
      </c>
      <c r="H506" s="46" t="e">
        <f>INDEX(Calc!$K$1:$K$774,G506)</f>
        <v>#N/A</v>
      </c>
      <c r="I506" s="46" t="e">
        <f>H506+Calc!K506</f>
        <v>#N/A</v>
      </c>
      <c r="J506" s="46" t="e">
        <f>ABS(Show!$A$4-I506)/(Show!$A$4/100)</f>
        <v>#N/A</v>
      </c>
      <c r="K506" s="45">
        <f>INDEX(Calc!L506:P506,Show!$B$4)</f>
        <v>16200</v>
      </c>
      <c r="L506" s="46">
        <f t="shared" si="404"/>
        <v>16200</v>
      </c>
      <c r="M506" s="46">
        <f>L506</f>
        <v>16200</v>
      </c>
      <c r="N506" s="46">
        <f>L506</f>
        <v>16200</v>
      </c>
      <c r="O506" s="46">
        <f t="shared" si="405"/>
        <v>18000</v>
      </c>
      <c r="P506" s="46">
        <f t="shared" ref="P506" si="425">O498</f>
        <v>15000</v>
      </c>
    </row>
    <row r="507" spans="1:16" x14ac:dyDescent="0.25">
      <c r="A507" s="45">
        <f>1/((1/Show!$A$4)-(1/Calc!K507))</f>
        <v>40.099009900990097</v>
      </c>
      <c r="B507" s="45">
        <f>MATCH(A507*Calc!$R$12,Calc!$K$1:$K$774,1)</f>
        <v>256</v>
      </c>
      <c r="C507" s="45">
        <f>INDEX(Calc!$K$1:$K$774,B507)</f>
        <v>38.299999999999997</v>
      </c>
      <c r="D507" s="45">
        <f>1/(1/C507+1/Calc!K507)</f>
        <v>38.209664804813308</v>
      </c>
      <c r="E507" s="45">
        <f>ABS(Show!$A$4-D507)/(Show!$A$4/100)</f>
        <v>4.4758379879667309</v>
      </c>
      <c r="F507" s="46">
        <f>Show!$A$4-Calc!L507</f>
        <v>-16460</v>
      </c>
      <c r="G507" s="46" t="e">
        <f>MATCH(F507*Calc!$R$12,Calc!$K$1:$K$774,1)</f>
        <v>#N/A</v>
      </c>
      <c r="H507" s="46" t="e">
        <f>INDEX(Calc!$K$1:$K$774,G507)</f>
        <v>#N/A</v>
      </c>
      <c r="I507" s="46" t="e">
        <f>H507+Calc!K507</f>
        <v>#N/A</v>
      </c>
      <c r="J507" s="46" t="e">
        <f>ABS(Show!$A$4-I507)/(Show!$A$4/100)</f>
        <v>#N/A</v>
      </c>
      <c r="K507" s="45">
        <f>INDEX(Calc!L507:P507,Show!$B$4)</f>
        <v>16200</v>
      </c>
      <c r="L507" s="46">
        <f t="shared" si="404"/>
        <v>16500</v>
      </c>
      <c r="M507" s="46">
        <f>L506</f>
        <v>16200</v>
      </c>
      <c r="N507" s="46">
        <f>L506</f>
        <v>16200</v>
      </c>
      <c r="O507" s="46">
        <f t="shared" si="405"/>
        <v>18000</v>
      </c>
      <c r="P507" s="46">
        <f t="shared" ref="P507" si="426">O498</f>
        <v>15000</v>
      </c>
    </row>
    <row r="508" spans="1:16" x14ac:dyDescent="0.25">
      <c r="A508" s="45">
        <f>1/((1/Show!$A$4)-(1/Calc!K508))</f>
        <v>40.099009900990097</v>
      </c>
      <c r="B508" s="45">
        <f>MATCH(A508*Calc!$R$12,Calc!$K$1:$K$774,1)</f>
        <v>256</v>
      </c>
      <c r="C508" s="45">
        <f>INDEX(Calc!$K$1:$K$774,B508)</f>
        <v>38.299999999999997</v>
      </c>
      <c r="D508" s="45">
        <f>1/(1/C508+1/Calc!K508)</f>
        <v>38.209664804813308</v>
      </c>
      <c r="E508" s="45">
        <f>ABS(Show!$A$4-D508)/(Show!$A$4/100)</f>
        <v>4.4758379879667309</v>
      </c>
      <c r="F508" s="46">
        <f>Show!$A$4-Calc!L508</f>
        <v>-16860</v>
      </c>
      <c r="G508" s="46" t="e">
        <f>MATCH(F508*Calc!$R$12,Calc!$K$1:$K$774,1)</f>
        <v>#N/A</v>
      </c>
      <c r="H508" s="46" t="e">
        <f>INDEX(Calc!$K$1:$K$774,G508)</f>
        <v>#N/A</v>
      </c>
      <c r="I508" s="46" t="e">
        <f>H508+Calc!K508</f>
        <v>#N/A</v>
      </c>
      <c r="J508" s="46" t="e">
        <f>ABS(Show!$A$4-I508)/(Show!$A$4/100)</f>
        <v>#N/A</v>
      </c>
      <c r="K508" s="45">
        <f>INDEX(Calc!L508:P508,Show!$B$4)</f>
        <v>16200</v>
      </c>
      <c r="L508" s="46">
        <f t="shared" si="404"/>
        <v>16900</v>
      </c>
      <c r="M508" s="46">
        <f>L508</f>
        <v>16900</v>
      </c>
      <c r="N508" s="46">
        <f>L506</f>
        <v>16200</v>
      </c>
      <c r="O508" s="46">
        <f t="shared" si="405"/>
        <v>18000</v>
      </c>
      <c r="P508" s="46">
        <f t="shared" ref="P508" si="427">O498</f>
        <v>15000</v>
      </c>
    </row>
    <row r="509" spans="1:16" x14ac:dyDescent="0.25">
      <c r="A509" s="45">
        <f>1/((1/Show!$A$4)-(1/Calc!K509))</f>
        <v>40.090090090090087</v>
      </c>
      <c r="B509" s="45">
        <f>MATCH(A509*Calc!$R$12,Calc!$K$1:$K$774,1)</f>
        <v>256</v>
      </c>
      <c r="C509" s="45">
        <f>INDEX(Calc!$K$1:$K$774,B509)</f>
        <v>38.299999999999997</v>
      </c>
      <c r="D509" s="45">
        <f>1/(1/C509+1/Calc!K509)</f>
        <v>38.217767388147969</v>
      </c>
      <c r="E509" s="45">
        <f>ABS(Show!$A$4-D509)/(Show!$A$4/100)</f>
        <v>4.4555815296300771</v>
      </c>
      <c r="F509" s="46">
        <f>Show!$A$4-Calc!L509</f>
        <v>-17360</v>
      </c>
      <c r="G509" s="46" t="e">
        <f>MATCH(F509*Calc!$R$12,Calc!$K$1:$K$774,1)</f>
        <v>#N/A</v>
      </c>
      <c r="H509" s="46" t="e">
        <f>INDEX(Calc!$K$1:$K$774,G509)</f>
        <v>#N/A</v>
      </c>
      <c r="I509" s="46" t="e">
        <f>H509+Calc!K509</f>
        <v>#N/A</v>
      </c>
      <c r="J509" s="46" t="e">
        <f>ABS(Show!$A$4-I509)/(Show!$A$4/100)</f>
        <v>#N/A</v>
      </c>
      <c r="K509" s="45">
        <f>INDEX(Calc!L509:P509,Show!$B$4)</f>
        <v>17800.000000000004</v>
      </c>
      <c r="L509" s="46">
        <f t="shared" si="404"/>
        <v>17400</v>
      </c>
      <c r="M509" s="46">
        <f>L508</f>
        <v>16900</v>
      </c>
      <c r="N509" s="46">
        <f>L510</f>
        <v>17800.000000000004</v>
      </c>
      <c r="O509" s="46">
        <f t="shared" si="405"/>
        <v>18000</v>
      </c>
      <c r="P509" s="46">
        <f t="shared" ref="P509" si="428">O498</f>
        <v>15000</v>
      </c>
    </row>
    <row r="510" spans="1:16" x14ac:dyDescent="0.25">
      <c r="A510" s="45">
        <f>1/((1/Show!$A$4)-(1/Calc!K510))</f>
        <v>40.090090090090087</v>
      </c>
      <c r="B510" s="45">
        <f>MATCH(A510*Calc!$R$12,Calc!$K$1:$K$774,1)</f>
        <v>256</v>
      </c>
      <c r="C510" s="45">
        <f>INDEX(Calc!$K$1:$K$774,B510)</f>
        <v>38.299999999999997</v>
      </c>
      <c r="D510" s="45">
        <f>1/(1/C510+1/Calc!K510)</f>
        <v>38.217767388147969</v>
      </c>
      <c r="E510" s="45">
        <f>ABS(Show!$A$4-D510)/(Show!$A$4/100)</f>
        <v>4.4555815296300771</v>
      </c>
      <c r="F510" s="46">
        <f>Show!$A$4-Calc!L510</f>
        <v>-17760.000000000004</v>
      </c>
      <c r="G510" s="46" t="e">
        <f>MATCH(F510*Calc!$R$12,Calc!$K$1:$K$774,1)</f>
        <v>#N/A</v>
      </c>
      <c r="H510" s="46" t="e">
        <f>INDEX(Calc!$K$1:$K$774,G510)</f>
        <v>#N/A</v>
      </c>
      <c r="I510" s="46" t="e">
        <f>H510+Calc!K510</f>
        <v>#N/A</v>
      </c>
      <c r="J510" s="46" t="e">
        <f>ABS(Show!$A$4-I510)/(Show!$A$4/100)</f>
        <v>#N/A</v>
      </c>
      <c r="K510" s="45">
        <f>INDEX(Calc!L510:P510,Show!$B$4)</f>
        <v>17800.000000000004</v>
      </c>
      <c r="L510" s="46">
        <f t="shared" si="404"/>
        <v>17800.000000000004</v>
      </c>
      <c r="M510" s="46">
        <f>L510</f>
        <v>17800.000000000004</v>
      </c>
      <c r="N510" s="46">
        <f>L510</f>
        <v>17800.000000000004</v>
      </c>
      <c r="O510" s="46">
        <f t="shared" si="405"/>
        <v>18000</v>
      </c>
      <c r="P510" s="46">
        <f t="shared" ref="P510" si="429">O514</f>
        <v>22000</v>
      </c>
    </row>
    <row r="511" spans="1:16" x14ac:dyDescent="0.25">
      <c r="A511" s="45">
        <f>1/((1/Show!$A$4)-(1/Calc!K511))</f>
        <v>40.090090090090087</v>
      </c>
      <c r="B511" s="45">
        <f>MATCH(A511*Calc!$R$12,Calc!$K$1:$K$774,1)</f>
        <v>256</v>
      </c>
      <c r="C511" s="45">
        <f>INDEX(Calc!$K$1:$K$774,B511)</f>
        <v>38.299999999999997</v>
      </c>
      <c r="D511" s="45">
        <f>1/(1/C511+1/Calc!K511)</f>
        <v>38.217767388147969</v>
      </c>
      <c r="E511" s="45">
        <f>ABS(Show!$A$4-D511)/(Show!$A$4/100)</f>
        <v>4.4555815296300771</v>
      </c>
      <c r="F511" s="46">
        <f>Show!$A$4-Calc!L511</f>
        <v>-18160</v>
      </c>
      <c r="G511" s="46" t="e">
        <f>MATCH(F511*Calc!$R$12,Calc!$K$1:$K$774,1)</f>
        <v>#N/A</v>
      </c>
      <c r="H511" s="46" t="e">
        <f>INDEX(Calc!$K$1:$K$774,G511)</f>
        <v>#N/A</v>
      </c>
      <c r="I511" s="46" t="e">
        <f>H511+Calc!K511</f>
        <v>#N/A</v>
      </c>
      <c r="J511" s="46" t="e">
        <f>ABS(Show!$A$4-I511)/(Show!$A$4/100)</f>
        <v>#N/A</v>
      </c>
      <c r="K511" s="45">
        <f>INDEX(Calc!L511:P511,Show!$B$4)</f>
        <v>17800.000000000004</v>
      </c>
      <c r="L511" s="46">
        <f t="shared" si="404"/>
        <v>18200</v>
      </c>
      <c r="M511" s="46">
        <f>L510</f>
        <v>17800.000000000004</v>
      </c>
      <c r="N511" s="46">
        <f>L510</f>
        <v>17800.000000000004</v>
      </c>
      <c r="O511" s="46">
        <f t="shared" si="405"/>
        <v>18000</v>
      </c>
      <c r="P511" s="46">
        <f t="shared" ref="P511" si="430">O514</f>
        <v>22000</v>
      </c>
    </row>
    <row r="512" spans="1:16" x14ac:dyDescent="0.25">
      <c r="A512" s="45">
        <f>1/((1/Show!$A$4)-(1/Calc!K512))</f>
        <v>40.090090090090087</v>
      </c>
      <c r="B512" s="45">
        <f>MATCH(A512*Calc!$R$12,Calc!$K$1:$K$774,1)</f>
        <v>256</v>
      </c>
      <c r="C512" s="45">
        <f>INDEX(Calc!$K$1:$K$774,B512)</f>
        <v>38.299999999999997</v>
      </c>
      <c r="D512" s="45">
        <f>1/(1/C512+1/Calc!K512)</f>
        <v>38.217767388147969</v>
      </c>
      <c r="E512" s="45">
        <f>ABS(Show!$A$4-D512)/(Show!$A$4/100)</f>
        <v>4.4555815296300771</v>
      </c>
      <c r="F512" s="46">
        <f>Show!$A$4-Calc!L512</f>
        <v>-18660</v>
      </c>
      <c r="G512" s="46" t="e">
        <f>MATCH(F512*Calc!$R$12,Calc!$K$1:$K$774,1)</f>
        <v>#N/A</v>
      </c>
      <c r="H512" s="46" t="e">
        <f>INDEX(Calc!$K$1:$K$774,G512)</f>
        <v>#N/A</v>
      </c>
      <c r="I512" s="46" t="e">
        <f>H512+Calc!K512</f>
        <v>#N/A</v>
      </c>
      <c r="J512" s="46" t="e">
        <f>ABS(Show!$A$4-I512)/(Show!$A$4/100)</f>
        <v>#N/A</v>
      </c>
      <c r="K512" s="45">
        <f>INDEX(Calc!L512:P512,Show!$B$4)</f>
        <v>17800.000000000004</v>
      </c>
      <c r="L512" s="46">
        <f t="shared" si="404"/>
        <v>18700</v>
      </c>
      <c r="M512" s="46">
        <f>L512</f>
        <v>18700</v>
      </c>
      <c r="N512" s="46">
        <f>L510</f>
        <v>17800.000000000004</v>
      </c>
      <c r="O512" s="46">
        <f t="shared" si="405"/>
        <v>18000</v>
      </c>
      <c r="P512" s="46">
        <f t="shared" ref="P512" si="431">O514</f>
        <v>22000</v>
      </c>
    </row>
    <row r="513" spans="1:16" x14ac:dyDescent="0.25">
      <c r="A513" s="45">
        <f>1/((1/Show!$A$4)-(1/Calc!K513))</f>
        <v>40.081799591002046</v>
      </c>
      <c r="B513" s="45">
        <f>MATCH(A513*Calc!$R$12,Calc!$K$1:$K$774,1)</f>
        <v>256</v>
      </c>
      <c r="C513" s="45">
        <f>INDEX(Calc!$K$1:$K$774,B513)</f>
        <v>38.299999999999997</v>
      </c>
      <c r="D513" s="45">
        <f>1/(1/C513+1/Calc!K513)</f>
        <v>38.22530463431152</v>
      </c>
      <c r="E513" s="45">
        <f>ABS(Show!$A$4-D513)/(Show!$A$4/100)</f>
        <v>4.4367384142211996</v>
      </c>
      <c r="F513" s="46">
        <f>Show!$A$4-Calc!L513</f>
        <v>-19060</v>
      </c>
      <c r="G513" s="46" t="e">
        <f>MATCH(F513*Calc!$R$12,Calc!$K$1:$K$774,1)</f>
        <v>#N/A</v>
      </c>
      <c r="H513" s="46" t="e">
        <f>INDEX(Calc!$K$1:$K$774,G513)</f>
        <v>#N/A</v>
      </c>
      <c r="I513" s="46" t="e">
        <f>H513+Calc!K513</f>
        <v>#N/A</v>
      </c>
      <c r="J513" s="46" t="e">
        <f>ABS(Show!$A$4-I513)/(Show!$A$4/100)</f>
        <v>#N/A</v>
      </c>
      <c r="K513" s="45">
        <f>INDEX(Calc!L513:P513,Show!$B$4)</f>
        <v>19600</v>
      </c>
      <c r="L513" s="46">
        <f t="shared" si="404"/>
        <v>19100</v>
      </c>
      <c r="M513" s="46">
        <f>L512</f>
        <v>18700</v>
      </c>
      <c r="N513" s="46">
        <f>L514</f>
        <v>19600</v>
      </c>
      <c r="O513" s="46">
        <f t="shared" si="405"/>
        <v>18000</v>
      </c>
      <c r="P513" s="46">
        <f t="shared" ref="P513" si="432">O514</f>
        <v>22000</v>
      </c>
    </row>
    <row r="514" spans="1:16" x14ac:dyDescent="0.25">
      <c r="A514" s="45">
        <f>1/((1/Show!$A$4)-(1/Calc!K514))</f>
        <v>40.081799591002046</v>
      </c>
      <c r="B514" s="45">
        <f>MATCH(A514*Calc!$R$12,Calc!$K$1:$K$774,1)</f>
        <v>256</v>
      </c>
      <c r="C514" s="45">
        <f>INDEX(Calc!$K$1:$K$774,B514)</f>
        <v>38.299999999999997</v>
      </c>
      <c r="D514" s="45">
        <f>1/(1/C514+1/Calc!K514)</f>
        <v>38.22530463431152</v>
      </c>
      <c r="E514" s="45">
        <f>ABS(Show!$A$4-D514)/(Show!$A$4/100)</f>
        <v>4.4367384142211996</v>
      </c>
      <c r="F514" s="46">
        <f>Show!$A$4-Calc!L514</f>
        <v>-19560</v>
      </c>
      <c r="G514" s="46" t="e">
        <f>MATCH(F514*Calc!$R$12,Calc!$K$1:$K$774,1)</f>
        <v>#N/A</v>
      </c>
      <c r="H514" s="46" t="e">
        <f>INDEX(Calc!$K$1:$K$774,G514)</f>
        <v>#N/A</v>
      </c>
      <c r="I514" s="46" t="e">
        <f>H514+Calc!K514</f>
        <v>#N/A</v>
      </c>
      <c r="J514" s="46" t="e">
        <f>ABS(Show!$A$4-I514)/(Show!$A$4/100)</f>
        <v>#N/A</v>
      </c>
      <c r="K514" s="45">
        <f>INDEX(Calc!L514:P514,Show!$B$4)</f>
        <v>19600</v>
      </c>
      <c r="L514" s="46">
        <f t="shared" si="404"/>
        <v>19600</v>
      </c>
      <c r="M514" s="46">
        <f>L514</f>
        <v>19600</v>
      </c>
      <c r="N514" s="46">
        <f>L514</f>
        <v>19600</v>
      </c>
      <c r="O514" s="46">
        <f t="shared" si="405"/>
        <v>22000</v>
      </c>
      <c r="P514" s="46">
        <f t="shared" ref="P514" si="433">O514</f>
        <v>22000</v>
      </c>
    </row>
    <row r="515" spans="1:16" x14ac:dyDescent="0.25">
      <c r="A515" s="45">
        <f>1/((1/Show!$A$4)-(1/Calc!K515))</f>
        <v>40.081799591002046</v>
      </c>
      <c r="B515" s="45">
        <f>MATCH(A515*Calc!$R$12,Calc!$K$1:$K$774,1)</f>
        <v>256</v>
      </c>
      <c r="C515" s="45">
        <f>INDEX(Calc!$K$1:$K$774,B515)</f>
        <v>38.299999999999997</v>
      </c>
      <c r="D515" s="45">
        <f>1/(1/C515+1/Calc!K515)</f>
        <v>38.22530463431152</v>
      </c>
      <c r="E515" s="45">
        <f>ABS(Show!$A$4-D515)/(Show!$A$4/100)</f>
        <v>4.4367384142211996</v>
      </c>
      <c r="F515" s="46">
        <f>Show!$A$4-Calc!L515</f>
        <v>-19960</v>
      </c>
      <c r="G515" s="46" t="e">
        <f>MATCH(F515*Calc!$R$12,Calc!$K$1:$K$774,1)</f>
        <v>#N/A</v>
      </c>
      <c r="H515" s="46" t="e">
        <f>INDEX(Calc!$K$1:$K$774,G515)</f>
        <v>#N/A</v>
      </c>
      <c r="I515" s="46" t="e">
        <f>H515+Calc!K515</f>
        <v>#N/A</v>
      </c>
      <c r="J515" s="46" t="e">
        <f>ABS(Show!$A$4-I515)/(Show!$A$4/100)</f>
        <v>#N/A</v>
      </c>
      <c r="K515" s="45">
        <f>INDEX(Calc!L515:P515,Show!$B$4)</f>
        <v>19600</v>
      </c>
      <c r="L515" s="46">
        <f t="shared" si="404"/>
        <v>20000</v>
      </c>
      <c r="M515" s="46">
        <f>L514</f>
        <v>19600</v>
      </c>
      <c r="N515" s="46">
        <f>L514</f>
        <v>19600</v>
      </c>
      <c r="O515" s="46">
        <f t="shared" si="405"/>
        <v>22000</v>
      </c>
      <c r="P515" s="46">
        <f t="shared" ref="P515" si="434">O514</f>
        <v>22000</v>
      </c>
    </row>
    <row r="516" spans="1:16" x14ac:dyDescent="0.25">
      <c r="A516" s="45">
        <f>1/((1/Show!$A$4)-(1/Calc!K516))</f>
        <v>40.081799591002046</v>
      </c>
      <c r="B516" s="45">
        <f>MATCH(A516*Calc!$R$12,Calc!$K$1:$K$774,1)</f>
        <v>256</v>
      </c>
      <c r="C516" s="45">
        <f>INDEX(Calc!$K$1:$K$774,B516)</f>
        <v>38.299999999999997</v>
      </c>
      <c r="D516" s="45">
        <f>1/(1/C516+1/Calc!K516)</f>
        <v>38.22530463431152</v>
      </c>
      <c r="E516" s="45">
        <f>ABS(Show!$A$4-D516)/(Show!$A$4/100)</f>
        <v>4.4367384142211996</v>
      </c>
      <c r="F516" s="46">
        <f>Show!$A$4-Calc!L516</f>
        <v>-20460</v>
      </c>
      <c r="G516" s="46" t="e">
        <f>MATCH(F516*Calc!$R$12,Calc!$K$1:$K$774,1)</f>
        <v>#N/A</v>
      </c>
      <c r="H516" s="46" t="e">
        <f>INDEX(Calc!$K$1:$K$774,G516)</f>
        <v>#N/A</v>
      </c>
      <c r="I516" s="46" t="e">
        <f>H516+Calc!K516</f>
        <v>#N/A</v>
      </c>
      <c r="J516" s="46" t="e">
        <f>ABS(Show!$A$4-I516)/(Show!$A$4/100)</f>
        <v>#N/A</v>
      </c>
      <c r="K516" s="45">
        <f>INDEX(Calc!L516:P516,Show!$B$4)</f>
        <v>19600</v>
      </c>
      <c r="L516" s="46">
        <f t="shared" si="404"/>
        <v>20500</v>
      </c>
      <c r="M516" s="46">
        <f>L516</f>
        <v>20500</v>
      </c>
      <c r="N516" s="46">
        <f>L514</f>
        <v>19600</v>
      </c>
      <c r="O516" s="46">
        <f t="shared" si="405"/>
        <v>22000</v>
      </c>
      <c r="P516" s="46">
        <f t="shared" ref="P516" si="435">O514</f>
        <v>22000</v>
      </c>
    </row>
    <row r="517" spans="1:16" x14ac:dyDescent="0.25">
      <c r="A517" s="45">
        <f>1/((1/Show!$A$4)-(1/Calc!K517))</f>
        <v>40.074557315936623</v>
      </c>
      <c r="B517" s="45">
        <f>MATCH(A517*Calc!$R$12,Calc!$K$1:$K$774,1)</f>
        <v>256</v>
      </c>
      <c r="C517" s="45">
        <f>INDEX(Calc!$K$1:$K$774,B517)</f>
        <v>38.299999999999997</v>
      </c>
      <c r="D517" s="45">
        <f>1/(1/C517+1/Calc!K517)</f>
        <v>38.231893882061257</v>
      </c>
      <c r="E517" s="45">
        <f>ABS(Show!$A$4-D517)/(Show!$A$4/100)</f>
        <v>4.4202652948468568</v>
      </c>
      <c r="F517" s="46">
        <f>Show!$A$4-Calc!L517</f>
        <v>-20960</v>
      </c>
      <c r="G517" s="46" t="e">
        <f>MATCH(F517*Calc!$R$12,Calc!$K$1:$K$774,1)</f>
        <v>#N/A</v>
      </c>
      <c r="H517" s="46" t="e">
        <f>INDEX(Calc!$K$1:$K$774,G517)</f>
        <v>#N/A</v>
      </c>
      <c r="I517" s="46" t="e">
        <f>H517+Calc!K517</f>
        <v>#N/A</v>
      </c>
      <c r="J517" s="46" t="e">
        <f>ABS(Show!$A$4-I517)/(Show!$A$4/100)</f>
        <v>#N/A</v>
      </c>
      <c r="K517" s="45">
        <f>INDEX(Calc!L517:P517,Show!$B$4)</f>
        <v>21500</v>
      </c>
      <c r="L517" s="46">
        <f t="shared" si="404"/>
        <v>21000</v>
      </c>
      <c r="M517" s="46">
        <f>L516</f>
        <v>20500</v>
      </c>
      <c r="N517" s="46">
        <f>L518</f>
        <v>21500</v>
      </c>
      <c r="O517" s="46">
        <f t="shared" si="405"/>
        <v>22000</v>
      </c>
      <c r="P517" s="46">
        <f t="shared" ref="P517" si="436">O514</f>
        <v>22000</v>
      </c>
    </row>
    <row r="518" spans="1:16" x14ac:dyDescent="0.25">
      <c r="A518" s="45">
        <f>1/((1/Show!$A$4)-(1/Calc!K518))</f>
        <v>40.074557315936623</v>
      </c>
      <c r="B518" s="45">
        <f>MATCH(A518*Calc!$R$12,Calc!$K$1:$K$774,1)</f>
        <v>256</v>
      </c>
      <c r="C518" s="45">
        <f>INDEX(Calc!$K$1:$K$774,B518)</f>
        <v>38.299999999999997</v>
      </c>
      <c r="D518" s="45">
        <f>1/(1/C518+1/Calc!K518)</f>
        <v>38.231893882061257</v>
      </c>
      <c r="E518" s="45">
        <f>ABS(Show!$A$4-D518)/(Show!$A$4/100)</f>
        <v>4.4202652948468568</v>
      </c>
      <c r="F518" s="46">
        <f>Show!$A$4-Calc!L518</f>
        <v>-21460</v>
      </c>
      <c r="G518" s="46" t="e">
        <f>MATCH(F518*Calc!$R$12,Calc!$K$1:$K$774,1)</f>
        <v>#N/A</v>
      </c>
      <c r="H518" s="46" t="e">
        <f>INDEX(Calc!$K$1:$K$774,G518)</f>
        <v>#N/A</v>
      </c>
      <c r="I518" s="46" t="e">
        <f>H518+Calc!K518</f>
        <v>#N/A</v>
      </c>
      <c r="J518" s="46" t="e">
        <f>ABS(Show!$A$4-I518)/(Show!$A$4/100)</f>
        <v>#N/A</v>
      </c>
      <c r="K518" s="45">
        <f>INDEX(Calc!L518:P518,Show!$B$4)</f>
        <v>21500</v>
      </c>
      <c r="L518" s="46">
        <f t="shared" si="404"/>
        <v>21500</v>
      </c>
      <c r="M518" s="46">
        <f>L518</f>
        <v>21500</v>
      </c>
      <c r="N518" s="46">
        <f>L518</f>
        <v>21500</v>
      </c>
      <c r="O518" s="46">
        <f t="shared" si="405"/>
        <v>22000</v>
      </c>
      <c r="P518" s="46">
        <f t="shared" ref="P518" si="437">O514</f>
        <v>22000</v>
      </c>
    </row>
    <row r="519" spans="1:16" x14ac:dyDescent="0.25">
      <c r="A519" s="45">
        <f>1/((1/Show!$A$4)-(1/Calc!K519))</f>
        <v>40.074557315936623</v>
      </c>
      <c r="B519" s="45">
        <f>MATCH(A519*Calc!$R$12,Calc!$K$1:$K$774,1)</f>
        <v>256</v>
      </c>
      <c r="C519" s="45">
        <f>INDEX(Calc!$K$1:$K$774,B519)</f>
        <v>38.299999999999997</v>
      </c>
      <c r="D519" s="45">
        <f>1/(1/C519+1/Calc!K519)</f>
        <v>38.231893882061257</v>
      </c>
      <c r="E519" s="45">
        <f>ABS(Show!$A$4-D519)/(Show!$A$4/100)</f>
        <v>4.4202652948468568</v>
      </c>
      <c r="F519" s="46">
        <f>Show!$A$4-Calc!L519</f>
        <v>-22060</v>
      </c>
      <c r="G519" s="46" t="e">
        <f>MATCH(F519*Calc!$R$12,Calc!$K$1:$K$774,1)</f>
        <v>#N/A</v>
      </c>
      <c r="H519" s="46" t="e">
        <f>INDEX(Calc!$K$1:$K$774,G519)</f>
        <v>#N/A</v>
      </c>
      <c r="I519" s="46" t="e">
        <f>H519+Calc!K519</f>
        <v>#N/A</v>
      </c>
      <c r="J519" s="46" t="e">
        <f>ABS(Show!$A$4-I519)/(Show!$A$4/100)</f>
        <v>#N/A</v>
      </c>
      <c r="K519" s="45">
        <f>INDEX(Calc!L519:P519,Show!$B$4)</f>
        <v>21500</v>
      </c>
      <c r="L519" s="46">
        <f t="shared" si="404"/>
        <v>22100</v>
      </c>
      <c r="M519" s="46">
        <f>L518</f>
        <v>21500</v>
      </c>
      <c r="N519" s="46">
        <f>L518</f>
        <v>21500</v>
      </c>
      <c r="O519" s="46">
        <f t="shared" si="405"/>
        <v>22000</v>
      </c>
      <c r="P519" s="46">
        <f t="shared" ref="P519" si="438">O514</f>
        <v>22000</v>
      </c>
    </row>
    <row r="520" spans="1:16" x14ac:dyDescent="0.25">
      <c r="A520" s="45">
        <f>1/((1/Show!$A$4)-(1/Calc!K520))</f>
        <v>40.074557315936623</v>
      </c>
      <c r="B520" s="45">
        <f>MATCH(A520*Calc!$R$12,Calc!$K$1:$K$774,1)</f>
        <v>256</v>
      </c>
      <c r="C520" s="45">
        <f>INDEX(Calc!$K$1:$K$774,B520)</f>
        <v>38.299999999999997</v>
      </c>
      <c r="D520" s="45">
        <f>1/(1/C520+1/Calc!K520)</f>
        <v>38.231893882061257</v>
      </c>
      <c r="E520" s="45">
        <f>ABS(Show!$A$4-D520)/(Show!$A$4/100)</f>
        <v>4.4202652948468568</v>
      </c>
      <c r="F520" s="46">
        <f>Show!$A$4-Calc!L520</f>
        <v>-22560</v>
      </c>
      <c r="G520" s="46" t="e">
        <f>MATCH(F520*Calc!$R$12,Calc!$K$1:$K$774,1)</f>
        <v>#N/A</v>
      </c>
      <c r="H520" s="46" t="e">
        <f>INDEX(Calc!$K$1:$K$774,G520)</f>
        <v>#N/A</v>
      </c>
      <c r="I520" s="46" t="e">
        <f>H520+Calc!K520</f>
        <v>#N/A</v>
      </c>
      <c r="J520" s="46" t="e">
        <f>ABS(Show!$A$4-I520)/(Show!$A$4/100)</f>
        <v>#N/A</v>
      </c>
      <c r="K520" s="45">
        <f>INDEX(Calc!L520:P520,Show!$B$4)</f>
        <v>21500</v>
      </c>
      <c r="L520" s="46">
        <f t="shared" si="404"/>
        <v>22600</v>
      </c>
      <c r="M520" s="46">
        <f>L520</f>
        <v>22600</v>
      </c>
      <c r="N520" s="46">
        <f>L518</f>
        <v>21500</v>
      </c>
      <c r="O520" s="46">
        <f t="shared" si="405"/>
        <v>22000</v>
      </c>
      <c r="P520" s="46">
        <f t="shared" ref="P520" si="439">O514</f>
        <v>22000</v>
      </c>
    </row>
    <row r="521" spans="1:16" x14ac:dyDescent="0.25">
      <c r="A521" s="45">
        <f>1/((1/Show!$A$4)-(1/Calc!K521))</f>
        <v>40.067624683009299</v>
      </c>
      <c r="B521" s="45">
        <f>MATCH(A521*Calc!$R$12,Calc!$K$1:$K$774,1)</f>
        <v>256</v>
      </c>
      <c r="C521" s="45">
        <f>INDEX(Calc!$K$1:$K$774,B521)</f>
        <v>38.299999999999997</v>
      </c>
      <c r="D521" s="45">
        <f>1/(1/C521+1/Calc!K521)</f>
        <v>38.238205768736591</v>
      </c>
      <c r="E521" s="45">
        <f>ABS(Show!$A$4-D521)/(Show!$A$4/100)</f>
        <v>4.4044855781585213</v>
      </c>
      <c r="F521" s="46">
        <f>Show!$A$4-Calc!L521</f>
        <v>-23160</v>
      </c>
      <c r="G521" s="46" t="e">
        <f>MATCH(F521*Calc!$R$12,Calc!$K$1:$K$774,1)</f>
        <v>#N/A</v>
      </c>
      <c r="H521" s="46" t="e">
        <f>INDEX(Calc!$K$1:$K$774,G521)</f>
        <v>#N/A</v>
      </c>
      <c r="I521" s="46" t="e">
        <f>H521+Calc!K521</f>
        <v>#N/A</v>
      </c>
      <c r="J521" s="46" t="e">
        <f>ABS(Show!$A$4-I521)/(Show!$A$4/100)</f>
        <v>#N/A</v>
      </c>
      <c r="K521" s="45">
        <f>INDEX(Calc!L521:P521,Show!$B$4)</f>
        <v>23700</v>
      </c>
      <c r="L521" s="46">
        <f t="shared" si="404"/>
        <v>23200</v>
      </c>
      <c r="M521" s="46">
        <f>L520</f>
        <v>22600</v>
      </c>
      <c r="N521" s="46">
        <f>L522</f>
        <v>23700</v>
      </c>
      <c r="O521" s="46">
        <f t="shared" si="405"/>
        <v>22000</v>
      </c>
      <c r="P521" s="46">
        <f t="shared" ref="P521" si="440">O514</f>
        <v>22000</v>
      </c>
    </row>
    <row r="522" spans="1:16" x14ac:dyDescent="0.25">
      <c r="A522" s="45">
        <f>1/((1/Show!$A$4)-(1/Calc!K522))</f>
        <v>40.067624683009299</v>
      </c>
      <c r="B522" s="45">
        <f>MATCH(A522*Calc!$R$12,Calc!$K$1:$K$774,1)</f>
        <v>256</v>
      </c>
      <c r="C522" s="45">
        <f>INDEX(Calc!$K$1:$K$774,B522)</f>
        <v>38.299999999999997</v>
      </c>
      <c r="D522" s="45">
        <f>1/(1/C522+1/Calc!K522)</f>
        <v>38.238205768736591</v>
      </c>
      <c r="E522" s="45">
        <f>ABS(Show!$A$4-D522)/(Show!$A$4/100)</f>
        <v>4.4044855781585213</v>
      </c>
      <c r="F522" s="46">
        <f>Show!$A$4-Calc!L522</f>
        <v>-23660</v>
      </c>
      <c r="G522" s="46" t="e">
        <f>MATCH(F522*Calc!$R$12,Calc!$K$1:$K$774,1)</f>
        <v>#N/A</v>
      </c>
      <c r="H522" s="46" t="e">
        <f>INDEX(Calc!$K$1:$K$774,G522)</f>
        <v>#N/A</v>
      </c>
      <c r="I522" s="46" t="e">
        <f>H522+Calc!K522</f>
        <v>#N/A</v>
      </c>
      <c r="J522" s="46" t="e">
        <f>ABS(Show!$A$4-I522)/(Show!$A$4/100)</f>
        <v>#N/A</v>
      </c>
      <c r="K522" s="45">
        <f>INDEX(Calc!L522:P522,Show!$B$4)</f>
        <v>23700</v>
      </c>
      <c r="L522" s="46">
        <f t="shared" si="404"/>
        <v>23700</v>
      </c>
      <c r="M522" s="46">
        <f>L522</f>
        <v>23700</v>
      </c>
      <c r="N522" s="46">
        <f>L522</f>
        <v>23700</v>
      </c>
      <c r="O522" s="46">
        <f t="shared" si="405"/>
        <v>27000</v>
      </c>
      <c r="P522" s="46">
        <f t="shared" ref="P522" si="441">O514</f>
        <v>22000</v>
      </c>
    </row>
    <row r="523" spans="1:16" x14ac:dyDescent="0.25">
      <c r="A523" s="45">
        <f>1/((1/Show!$A$4)-(1/Calc!K523))</f>
        <v>40.067624683009299</v>
      </c>
      <c r="B523" s="45">
        <f>MATCH(A523*Calc!$R$12,Calc!$K$1:$K$774,1)</f>
        <v>256</v>
      </c>
      <c r="C523" s="45">
        <f>INDEX(Calc!$K$1:$K$774,B523)</f>
        <v>38.299999999999997</v>
      </c>
      <c r="D523" s="45">
        <f>1/(1/C523+1/Calc!K523)</f>
        <v>38.238205768736591</v>
      </c>
      <c r="E523" s="45">
        <f>ABS(Show!$A$4-D523)/(Show!$A$4/100)</f>
        <v>4.4044855781585213</v>
      </c>
      <c r="F523" s="46">
        <f>Show!$A$4-Calc!L523</f>
        <v>-24260</v>
      </c>
      <c r="G523" s="46" t="e">
        <f>MATCH(F523*Calc!$R$12,Calc!$K$1:$K$774,1)</f>
        <v>#N/A</v>
      </c>
      <c r="H523" s="46" t="e">
        <f>INDEX(Calc!$K$1:$K$774,G523)</f>
        <v>#N/A</v>
      </c>
      <c r="I523" s="46" t="e">
        <f>H523+Calc!K523</f>
        <v>#N/A</v>
      </c>
      <c r="J523" s="46" t="e">
        <f>ABS(Show!$A$4-I523)/(Show!$A$4/100)</f>
        <v>#N/A</v>
      </c>
      <c r="K523" s="45">
        <f>INDEX(Calc!L523:P523,Show!$B$4)</f>
        <v>23700</v>
      </c>
      <c r="L523" s="46">
        <f t="shared" si="404"/>
        <v>24300</v>
      </c>
      <c r="M523" s="46">
        <f>L522</f>
        <v>23700</v>
      </c>
      <c r="N523" s="46">
        <f>L522</f>
        <v>23700</v>
      </c>
      <c r="O523" s="46">
        <f t="shared" si="405"/>
        <v>27000</v>
      </c>
      <c r="P523" s="46">
        <f t="shared" ref="P523" si="442">O514</f>
        <v>22000</v>
      </c>
    </row>
    <row r="524" spans="1:16" x14ac:dyDescent="0.25">
      <c r="A524" s="45">
        <f>1/((1/Show!$A$4)-(1/Calc!K524))</f>
        <v>40.067624683009299</v>
      </c>
      <c r="B524" s="45">
        <f>MATCH(A524*Calc!$R$12,Calc!$K$1:$K$774,1)</f>
        <v>256</v>
      </c>
      <c r="C524" s="45">
        <f>INDEX(Calc!$K$1:$K$774,B524)</f>
        <v>38.299999999999997</v>
      </c>
      <c r="D524" s="45">
        <f>1/(1/C524+1/Calc!K524)</f>
        <v>38.238205768736591</v>
      </c>
      <c r="E524" s="45">
        <f>ABS(Show!$A$4-D524)/(Show!$A$4/100)</f>
        <v>4.4044855781585213</v>
      </c>
      <c r="F524" s="46">
        <f>Show!$A$4-Calc!L524</f>
        <v>-24860</v>
      </c>
      <c r="G524" s="46" t="e">
        <f>MATCH(F524*Calc!$R$12,Calc!$K$1:$K$774,1)</f>
        <v>#N/A</v>
      </c>
      <c r="H524" s="46" t="e">
        <f>INDEX(Calc!$K$1:$K$774,G524)</f>
        <v>#N/A</v>
      </c>
      <c r="I524" s="46" t="e">
        <f>H524+Calc!K524</f>
        <v>#N/A</v>
      </c>
      <c r="J524" s="46" t="e">
        <f>ABS(Show!$A$4-I524)/(Show!$A$4/100)</f>
        <v>#N/A</v>
      </c>
      <c r="K524" s="45">
        <f>INDEX(Calc!L524:P524,Show!$B$4)</f>
        <v>23700</v>
      </c>
      <c r="L524" s="46">
        <f t="shared" si="404"/>
        <v>24900</v>
      </c>
      <c r="M524" s="46">
        <f>L524</f>
        <v>24900</v>
      </c>
      <c r="N524" s="46">
        <f>L522</f>
        <v>23700</v>
      </c>
      <c r="O524" s="46">
        <f t="shared" si="405"/>
        <v>27000</v>
      </c>
      <c r="P524" s="46">
        <f t="shared" ref="P524" si="443">O514</f>
        <v>22000</v>
      </c>
    </row>
    <row r="525" spans="1:16" x14ac:dyDescent="0.25">
      <c r="A525" s="45">
        <f>1/((1/Show!$A$4)-(1/Calc!K525))</f>
        <v>40.06139677666922</v>
      </c>
      <c r="B525" s="45">
        <f>MATCH(A525*Calc!$R$12,Calc!$K$1:$K$774,1)</f>
        <v>256</v>
      </c>
      <c r="C525" s="45">
        <f>INDEX(Calc!$K$1:$K$774,B525)</f>
        <v>38.299999999999997</v>
      </c>
      <c r="D525" s="45">
        <f>1/(1/C525+1/Calc!K525)</f>
        <v>38.243879670827866</v>
      </c>
      <c r="E525" s="45">
        <f>ABS(Show!$A$4-D525)/(Show!$A$4/100)</f>
        <v>4.3903008229303353</v>
      </c>
      <c r="F525" s="46">
        <f>Show!$A$4-Calc!L525</f>
        <v>-25460</v>
      </c>
      <c r="G525" s="46" t="e">
        <f>MATCH(F525*Calc!$R$12,Calc!$K$1:$K$774,1)</f>
        <v>#N/A</v>
      </c>
      <c r="H525" s="46" t="e">
        <f>INDEX(Calc!$K$1:$K$774,G525)</f>
        <v>#N/A</v>
      </c>
      <c r="I525" s="46" t="e">
        <f>H525+Calc!K525</f>
        <v>#N/A</v>
      </c>
      <c r="J525" s="46" t="e">
        <f>ABS(Show!$A$4-I525)/(Show!$A$4/100)</f>
        <v>#N/A</v>
      </c>
      <c r="K525" s="45">
        <f>INDEX(Calc!L525:P525,Show!$B$4)</f>
        <v>26100</v>
      </c>
      <c r="L525" s="46">
        <f t="shared" si="404"/>
        <v>25500</v>
      </c>
      <c r="M525" s="46">
        <f>L524</f>
        <v>24900</v>
      </c>
      <c r="N525" s="46">
        <f>L526</f>
        <v>26100</v>
      </c>
      <c r="O525" s="46">
        <f t="shared" si="405"/>
        <v>27000</v>
      </c>
      <c r="P525" s="46">
        <f t="shared" ref="P525" si="444">O514</f>
        <v>22000</v>
      </c>
    </row>
    <row r="526" spans="1:16" x14ac:dyDescent="0.25">
      <c r="A526" s="45">
        <f>1/((1/Show!$A$4)-(1/Calc!K526))</f>
        <v>40.06139677666922</v>
      </c>
      <c r="B526" s="45">
        <f>MATCH(A526*Calc!$R$12,Calc!$K$1:$K$774,1)</f>
        <v>256</v>
      </c>
      <c r="C526" s="45">
        <f>INDEX(Calc!$K$1:$K$774,B526)</f>
        <v>38.299999999999997</v>
      </c>
      <c r="D526" s="45">
        <f>1/(1/C526+1/Calc!K526)</f>
        <v>38.243879670827866</v>
      </c>
      <c r="E526" s="45">
        <f>ABS(Show!$A$4-D526)/(Show!$A$4/100)</f>
        <v>4.3903008229303353</v>
      </c>
      <c r="F526" s="46">
        <f>Show!$A$4-Calc!L526</f>
        <v>-26060</v>
      </c>
      <c r="G526" s="46" t="e">
        <f>MATCH(F526*Calc!$R$12,Calc!$K$1:$K$774,1)</f>
        <v>#N/A</v>
      </c>
      <c r="H526" s="46" t="e">
        <f>INDEX(Calc!$K$1:$K$774,G526)</f>
        <v>#N/A</v>
      </c>
      <c r="I526" s="46" t="e">
        <f>H526+Calc!K526</f>
        <v>#N/A</v>
      </c>
      <c r="J526" s="46" t="e">
        <f>ABS(Show!$A$4-I526)/(Show!$A$4/100)</f>
        <v>#N/A</v>
      </c>
      <c r="K526" s="45">
        <f>INDEX(Calc!L526:P526,Show!$B$4)</f>
        <v>26100</v>
      </c>
      <c r="L526" s="46">
        <f t="shared" si="404"/>
        <v>26100</v>
      </c>
      <c r="M526" s="46">
        <f>L526</f>
        <v>26100</v>
      </c>
      <c r="N526" s="46">
        <f>L526</f>
        <v>26100</v>
      </c>
      <c r="O526" s="46">
        <f t="shared" si="405"/>
        <v>27000</v>
      </c>
      <c r="P526" s="46">
        <f t="shared" ref="P526" si="445">O530</f>
        <v>33000</v>
      </c>
    </row>
    <row r="527" spans="1:16" x14ac:dyDescent="0.25">
      <c r="A527" s="45">
        <f>1/((1/Show!$A$4)-(1/Calc!K527))</f>
        <v>40.06139677666922</v>
      </c>
      <c r="B527" s="45">
        <f>MATCH(A527*Calc!$R$12,Calc!$K$1:$K$774,1)</f>
        <v>256</v>
      </c>
      <c r="C527" s="45">
        <f>INDEX(Calc!$K$1:$K$774,B527)</f>
        <v>38.299999999999997</v>
      </c>
      <c r="D527" s="45">
        <f>1/(1/C527+1/Calc!K527)</f>
        <v>38.243879670827866</v>
      </c>
      <c r="E527" s="45">
        <f>ABS(Show!$A$4-D527)/(Show!$A$4/100)</f>
        <v>4.3903008229303353</v>
      </c>
      <c r="F527" s="46">
        <f>Show!$A$4-Calc!L527</f>
        <v>-26660</v>
      </c>
      <c r="G527" s="46" t="e">
        <f>MATCH(F527*Calc!$R$12,Calc!$K$1:$K$774,1)</f>
        <v>#N/A</v>
      </c>
      <c r="H527" s="46" t="e">
        <f>INDEX(Calc!$K$1:$K$774,G527)</f>
        <v>#N/A</v>
      </c>
      <c r="I527" s="46" t="e">
        <f>H527+Calc!K527</f>
        <v>#N/A</v>
      </c>
      <c r="J527" s="46" t="e">
        <f>ABS(Show!$A$4-I527)/(Show!$A$4/100)</f>
        <v>#N/A</v>
      </c>
      <c r="K527" s="45">
        <f>INDEX(Calc!L527:P527,Show!$B$4)</f>
        <v>26100</v>
      </c>
      <c r="L527" s="46">
        <f t="shared" si="404"/>
        <v>26700</v>
      </c>
      <c r="M527" s="46">
        <f>L526</f>
        <v>26100</v>
      </c>
      <c r="N527" s="46">
        <f>L526</f>
        <v>26100</v>
      </c>
      <c r="O527" s="46">
        <f t="shared" si="405"/>
        <v>27000</v>
      </c>
      <c r="P527" s="46">
        <f t="shared" ref="P527" si="446">O530</f>
        <v>33000</v>
      </c>
    </row>
    <row r="528" spans="1:16" x14ac:dyDescent="0.25">
      <c r="A528" s="45">
        <f>1/((1/Show!$A$4)-(1/Calc!K528))</f>
        <v>40.06139677666922</v>
      </c>
      <c r="B528" s="45">
        <f>MATCH(A528*Calc!$R$12,Calc!$K$1:$K$774,1)</f>
        <v>256</v>
      </c>
      <c r="C528" s="45">
        <f>INDEX(Calc!$K$1:$K$774,B528)</f>
        <v>38.299999999999997</v>
      </c>
      <c r="D528" s="45">
        <f>1/(1/C528+1/Calc!K528)</f>
        <v>38.243879670827866</v>
      </c>
      <c r="E528" s="45">
        <f>ABS(Show!$A$4-D528)/(Show!$A$4/100)</f>
        <v>4.3903008229303353</v>
      </c>
      <c r="F528" s="46">
        <f>Show!$A$4-Calc!L528</f>
        <v>-27359.999999999996</v>
      </c>
      <c r="G528" s="46" t="e">
        <f>MATCH(F528*Calc!$R$12,Calc!$K$1:$K$774,1)</f>
        <v>#N/A</v>
      </c>
      <c r="H528" s="46" t="e">
        <f>INDEX(Calc!$K$1:$K$774,G528)</f>
        <v>#N/A</v>
      </c>
      <c r="I528" s="46" t="e">
        <f>H528+Calc!K528</f>
        <v>#N/A</v>
      </c>
      <c r="J528" s="46" t="e">
        <f>ABS(Show!$A$4-I528)/(Show!$A$4/100)</f>
        <v>#N/A</v>
      </c>
      <c r="K528" s="45">
        <f>INDEX(Calc!L528:P528,Show!$B$4)</f>
        <v>26100</v>
      </c>
      <c r="L528" s="46">
        <f t="shared" si="404"/>
        <v>27399.999999999996</v>
      </c>
      <c r="M528" s="46">
        <f>L528</f>
        <v>27399.999999999996</v>
      </c>
      <c r="N528" s="46">
        <f>L526</f>
        <v>26100</v>
      </c>
      <c r="O528" s="46">
        <f t="shared" si="405"/>
        <v>27000</v>
      </c>
      <c r="P528" s="46">
        <f t="shared" ref="P528" si="447">O530</f>
        <v>33000</v>
      </c>
    </row>
    <row r="529" spans="1:16" x14ac:dyDescent="0.25">
      <c r="A529" s="45">
        <f>1/((1/Show!$A$4)-(1/Calc!K529))</f>
        <v>40.055826936496857</v>
      </c>
      <c r="B529" s="45">
        <f>MATCH(A529*Calc!$R$12,Calc!$K$1:$K$774,1)</f>
        <v>256</v>
      </c>
      <c r="C529" s="45">
        <f>INDEX(Calc!$K$1:$K$774,B529)</f>
        <v>38.299999999999997</v>
      </c>
      <c r="D529" s="45">
        <f>1/(1/C529+1/Calc!K529)</f>
        <v>38.248956966835195</v>
      </c>
      <c r="E529" s="45">
        <f>ABS(Show!$A$4-D529)/(Show!$A$4/100)</f>
        <v>4.3776075829120131</v>
      </c>
      <c r="F529" s="46">
        <f>Show!$A$4-Calc!L529</f>
        <v>-27960.000000000004</v>
      </c>
      <c r="G529" s="46" t="e">
        <f>MATCH(F529*Calc!$R$12,Calc!$K$1:$K$774,1)</f>
        <v>#N/A</v>
      </c>
      <c r="H529" s="46" t="e">
        <f>INDEX(Calc!$K$1:$K$774,G529)</f>
        <v>#N/A</v>
      </c>
      <c r="I529" s="46" t="e">
        <f>H529+Calc!K529</f>
        <v>#N/A</v>
      </c>
      <c r="J529" s="46" t="e">
        <f>ABS(Show!$A$4-I529)/(Show!$A$4/100)</f>
        <v>#N/A</v>
      </c>
      <c r="K529" s="45">
        <f>INDEX(Calc!L529:P529,Show!$B$4)</f>
        <v>28699.999999999996</v>
      </c>
      <c r="L529" s="46">
        <f t="shared" si="404"/>
        <v>28000.000000000004</v>
      </c>
      <c r="M529" s="46">
        <f>L528</f>
        <v>27399.999999999996</v>
      </c>
      <c r="N529" s="46">
        <f>L530</f>
        <v>28699.999999999996</v>
      </c>
      <c r="O529" s="46">
        <f t="shared" si="405"/>
        <v>27000</v>
      </c>
      <c r="P529" s="46">
        <f t="shared" ref="P529" si="448">O530</f>
        <v>33000</v>
      </c>
    </row>
    <row r="530" spans="1:16" x14ac:dyDescent="0.25">
      <c r="A530" s="45">
        <f>1/((1/Show!$A$4)-(1/Calc!K530))</f>
        <v>40.055826936496857</v>
      </c>
      <c r="B530" s="45">
        <f>MATCH(A530*Calc!$R$12,Calc!$K$1:$K$774,1)</f>
        <v>256</v>
      </c>
      <c r="C530" s="45">
        <f>INDEX(Calc!$K$1:$K$774,B530)</f>
        <v>38.299999999999997</v>
      </c>
      <c r="D530" s="45">
        <f>1/(1/C530+1/Calc!K530)</f>
        <v>38.248956966835195</v>
      </c>
      <c r="E530" s="45">
        <f>ABS(Show!$A$4-D530)/(Show!$A$4/100)</f>
        <v>4.3776075829120131</v>
      </c>
      <c r="F530" s="46">
        <f>Show!$A$4-Calc!L530</f>
        <v>-28659.999999999996</v>
      </c>
      <c r="G530" s="46" t="e">
        <f>MATCH(F530*Calc!$R$12,Calc!$K$1:$K$774,1)</f>
        <v>#N/A</v>
      </c>
      <c r="H530" s="46" t="e">
        <f>INDEX(Calc!$K$1:$K$774,G530)</f>
        <v>#N/A</v>
      </c>
      <c r="I530" s="46" t="e">
        <f>H530+Calc!K530</f>
        <v>#N/A</v>
      </c>
      <c r="J530" s="46" t="e">
        <f>ABS(Show!$A$4-I530)/(Show!$A$4/100)</f>
        <v>#N/A</v>
      </c>
      <c r="K530" s="45">
        <f>INDEX(Calc!L530:P530,Show!$B$4)</f>
        <v>28699.999999999996</v>
      </c>
      <c r="L530" s="46">
        <f t="shared" si="404"/>
        <v>28699.999999999996</v>
      </c>
      <c r="M530" s="46">
        <f>L530</f>
        <v>28699.999999999996</v>
      </c>
      <c r="N530" s="46">
        <f>L530</f>
        <v>28699.999999999996</v>
      </c>
      <c r="O530" s="46">
        <f t="shared" si="405"/>
        <v>33000</v>
      </c>
      <c r="P530" s="46">
        <f t="shared" ref="P530" si="449">O530</f>
        <v>33000</v>
      </c>
    </row>
    <row r="531" spans="1:16" x14ac:dyDescent="0.25">
      <c r="A531" s="45">
        <f>1/((1/Show!$A$4)-(1/Calc!K531))</f>
        <v>40.055826936496857</v>
      </c>
      <c r="B531" s="45">
        <f>MATCH(A531*Calc!$R$12,Calc!$K$1:$K$774,1)</f>
        <v>256</v>
      </c>
      <c r="C531" s="45">
        <f>INDEX(Calc!$K$1:$K$774,B531)</f>
        <v>38.299999999999997</v>
      </c>
      <c r="D531" s="45">
        <f>1/(1/C531+1/Calc!K531)</f>
        <v>38.248956966835195</v>
      </c>
      <c r="E531" s="45">
        <f>ABS(Show!$A$4-D531)/(Show!$A$4/100)</f>
        <v>4.3776075829120131</v>
      </c>
      <c r="F531" s="46">
        <f>Show!$A$4-Calc!L531</f>
        <v>-29360</v>
      </c>
      <c r="G531" s="46" t="e">
        <f>MATCH(F531*Calc!$R$12,Calc!$K$1:$K$774,1)</f>
        <v>#N/A</v>
      </c>
      <c r="H531" s="46" t="e">
        <f>INDEX(Calc!$K$1:$K$774,G531)</f>
        <v>#N/A</v>
      </c>
      <c r="I531" s="46" t="e">
        <f>H531+Calc!K531</f>
        <v>#N/A</v>
      </c>
      <c r="J531" s="46" t="e">
        <f>ABS(Show!$A$4-I531)/(Show!$A$4/100)</f>
        <v>#N/A</v>
      </c>
      <c r="K531" s="45">
        <f>INDEX(Calc!L531:P531,Show!$B$4)</f>
        <v>28699.999999999996</v>
      </c>
      <c r="L531" s="46">
        <f t="shared" si="404"/>
        <v>29400</v>
      </c>
      <c r="M531" s="46">
        <f>L530</f>
        <v>28699.999999999996</v>
      </c>
      <c r="N531" s="46">
        <f>L530</f>
        <v>28699.999999999996</v>
      </c>
      <c r="O531" s="46">
        <f t="shared" si="405"/>
        <v>33000</v>
      </c>
      <c r="P531" s="46">
        <f t="shared" ref="P531" si="450">O530</f>
        <v>33000</v>
      </c>
    </row>
    <row r="532" spans="1:16" x14ac:dyDescent="0.25">
      <c r="A532" s="45">
        <f>1/((1/Show!$A$4)-(1/Calc!K532))</f>
        <v>40.055826936496857</v>
      </c>
      <c r="B532" s="45">
        <f>MATCH(A532*Calc!$R$12,Calc!$K$1:$K$774,1)</f>
        <v>256</v>
      </c>
      <c r="C532" s="45">
        <f>INDEX(Calc!$K$1:$K$774,B532)</f>
        <v>38.299999999999997</v>
      </c>
      <c r="D532" s="45">
        <f>1/(1/C532+1/Calc!K532)</f>
        <v>38.248956966835195</v>
      </c>
      <c r="E532" s="45">
        <f>ABS(Show!$A$4-D532)/(Show!$A$4/100)</f>
        <v>4.3776075829120131</v>
      </c>
      <c r="F532" s="46">
        <f>Show!$A$4-Calc!L532</f>
        <v>-30060</v>
      </c>
      <c r="G532" s="46" t="e">
        <f>MATCH(F532*Calc!$R$12,Calc!$K$1:$K$774,1)</f>
        <v>#N/A</v>
      </c>
      <c r="H532" s="46" t="e">
        <f>INDEX(Calc!$K$1:$K$774,G532)</f>
        <v>#N/A</v>
      </c>
      <c r="I532" s="46" t="e">
        <f>H532+Calc!K532</f>
        <v>#N/A</v>
      </c>
      <c r="J532" s="46" t="e">
        <f>ABS(Show!$A$4-I532)/(Show!$A$4/100)</f>
        <v>#N/A</v>
      </c>
      <c r="K532" s="45">
        <f>INDEX(Calc!L532:P532,Show!$B$4)</f>
        <v>28699.999999999996</v>
      </c>
      <c r="L532" s="46">
        <f t="shared" si="404"/>
        <v>30100</v>
      </c>
      <c r="M532" s="46">
        <f>L532</f>
        <v>30100</v>
      </c>
      <c r="N532" s="46">
        <f>L530</f>
        <v>28699.999999999996</v>
      </c>
      <c r="O532" s="46">
        <f t="shared" si="405"/>
        <v>33000</v>
      </c>
      <c r="P532" s="46">
        <f t="shared" ref="P532" si="451">O530</f>
        <v>33000</v>
      </c>
    </row>
    <row r="533" spans="1:16" x14ac:dyDescent="0.25">
      <c r="A533" s="45">
        <f>1/((1/Show!$A$4)-(1/Calc!K533))</f>
        <v>40.050697084917616</v>
      </c>
      <c r="B533" s="45">
        <f>MATCH(A533*Calc!$R$12,Calc!$K$1:$K$774,1)</f>
        <v>256</v>
      </c>
      <c r="C533" s="45">
        <f>INDEX(Calc!$K$1:$K$774,B533)</f>
        <v>38.299999999999997</v>
      </c>
      <c r="D533" s="45">
        <f>1/(1/C533+1/Calc!K533)</f>
        <v>38.253635625175811</v>
      </c>
      <c r="E533" s="45">
        <f>ABS(Show!$A$4-D533)/(Show!$A$4/100)</f>
        <v>4.3659109370604732</v>
      </c>
      <c r="F533" s="46">
        <f>Show!$A$4-Calc!L533</f>
        <v>-30860</v>
      </c>
      <c r="G533" s="46" t="e">
        <f>MATCH(F533*Calc!$R$12,Calc!$K$1:$K$774,1)</f>
        <v>#N/A</v>
      </c>
      <c r="H533" s="46" t="e">
        <f>INDEX(Calc!$K$1:$K$774,G533)</f>
        <v>#N/A</v>
      </c>
      <c r="I533" s="46" t="e">
        <f>H533+Calc!K533</f>
        <v>#N/A</v>
      </c>
      <c r="J533" s="46" t="e">
        <f>ABS(Show!$A$4-I533)/(Show!$A$4/100)</f>
        <v>#N/A</v>
      </c>
      <c r="K533" s="45">
        <f>INDEX(Calc!L533:P533,Show!$B$4)</f>
        <v>31600</v>
      </c>
      <c r="L533" s="46">
        <f t="shared" si="404"/>
        <v>30900</v>
      </c>
      <c r="M533" s="46">
        <f>L532</f>
        <v>30100</v>
      </c>
      <c r="N533" s="46">
        <f>L534</f>
        <v>31600</v>
      </c>
      <c r="O533" s="46">
        <f t="shared" si="405"/>
        <v>33000</v>
      </c>
      <c r="P533" s="46">
        <f t="shared" ref="P533" si="452">O530</f>
        <v>33000</v>
      </c>
    </row>
    <row r="534" spans="1:16" x14ac:dyDescent="0.25">
      <c r="A534" s="45">
        <f>1/((1/Show!$A$4)-(1/Calc!K534))</f>
        <v>40.050697084917616</v>
      </c>
      <c r="B534" s="45">
        <f>MATCH(A534*Calc!$R$12,Calc!$K$1:$K$774,1)</f>
        <v>256</v>
      </c>
      <c r="C534" s="45">
        <f>INDEX(Calc!$K$1:$K$774,B534)</f>
        <v>38.299999999999997</v>
      </c>
      <c r="D534" s="45">
        <f>1/(1/C534+1/Calc!K534)</f>
        <v>38.253635625175811</v>
      </c>
      <c r="E534" s="45">
        <f>ABS(Show!$A$4-D534)/(Show!$A$4/100)</f>
        <v>4.3659109370604732</v>
      </c>
      <c r="F534" s="46">
        <f>Show!$A$4-Calc!L534</f>
        <v>-31560</v>
      </c>
      <c r="G534" s="46" t="e">
        <f>MATCH(F534*Calc!$R$12,Calc!$K$1:$K$774,1)</f>
        <v>#N/A</v>
      </c>
      <c r="H534" s="46" t="e">
        <f>INDEX(Calc!$K$1:$K$774,G534)</f>
        <v>#N/A</v>
      </c>
      <c r="I534" s="46" t="e">
        <f>H534+Calc!K534</f>
        <v>#N/A</v>
      </c>
      <c r="J534" s="46" t="e">
        <f>ABS(Show!$A$4-I534)/(Show!$A$4/100)</f>
        <v>#N/A</v>
      </c>
      <c r="K534" s="45">
        <f>INDEX(Calc!L534:P534,Show!$B$4)</f>
        <v>31600</v>
      </c>
      <c r="L534" s="46">
        <f t="shared" si="404"/>
        <v>31600</v>
      </c>
      <c r="M534" s="46">
        <f>L534</f>
        <v>31600</v>
      </c>
      <c r="N534" s="46">
        <f>L534</f>
        <v>31600</v>
      </c>
      <c r="O534" s="46">
        <f t="shared" si="405"/>
        <v>33000</v>
      </c>
      <c r="P534" s="46">
        <f t="shared" ref="P534" si="453">O530</f>
        <v>33000</v>
      </c>
    </row>
    <row r="535" spans="1:16" x14ac:dyDescent="0.25">
      <c r="A535" s="45">
        <f>1/((1/Show!$A$4)-(1/Calc!K535))</f>
        <v>40.050697084917616</v>
      </c>
      <c r="B535" s="45">
        <f>MATCH(A535*Calc!$R$12,Calc!$K$1:$K$774,1)</f>
        <v>256</v>
      </c>
      <c r="C535" s="45">
        <f>INDEX(Calc!$K$1:$K$774,B535)</f>
        <v>38.299999999999997</v>
      </c>
      <c r="D535" s="45">
        <f>1/(1/C535+1/Calc!K535)</f>
        <v>38.253635625175811</v>
      </c>
      <c r="E535" s="45">
        <f>ABS(Show!$A$4-D535)/(Show!$A$4/100)</f>
        <v>4.3659109370604732</v>
      </c>
      <c r="F535" s="46">
        <f>Show!$A$4-Calc!L535</f>
        <v>-32360</v>
      </c>
      <c r="G535" s="46" t="e">
        <f>MATCH(F535*Calc!$R$12,Calc!$K$1:$K$774,1)</f>
        <v>#N/A</v>
      </c>
      <c r="H535" s="46" t="e">
        <f>INDEX(Calc!$K$1:$K$774,G535)</f>
        <v>#N/A</v>
      </c>
      <c r="I535" s="46" t="e">
        <f>H535+Calc!K535</f>
        <v>#N/A</v>
      </c>
      <c r="J535" s="46" t="e">
        <f>ABS(Show!$A$4-I535)/(Show!$A$4/100)</f>
        <v>#N/A</v>
      </c>
      <c r="K535" s="45">
        <f>INDEX(Calc!L535:P535,Show!$B$4)</f>
        <v>31600</v>
      </c>
      <c r="L535" s="46">
        <f t="shared" si="404"/>
        <v>32400</v>
      </c>
      <c r="M535" s="46">
        <f>L534</f>
        <v>31600</v>
      </c>
      <c r="N535" s="46">
        <f>L534</f>
        <v>31600</v>
      </c>
      <c r="O535" s="46">
        <f t="shared" si="405"/>
        <v>33000</v>
      </c>
      <c r="P535" s="46">
        <f t="shared" ref="P535" si="454">O530</f>
        <v>33000</v>
      </c>
    </row>
    <row r="536" spans="1:16" x14ac:dyDescent="0.25">
      <c r="A536" s="45">
        <f>1/((1/Show!$A$4)-(1/Calc!K536))</f>
        <v>40.050697084917616</v>
      </c>
      <c r="B536" s="45">
        <f>MATCH(A536*Calc!$R$12,Calc!$K$1:$K$774,1)</f>
        <v>256</v>
      </c>
      <c r="C536" s="45">
        <f>INDEX(Calc!$K$1:$K$774,B536)</f>
        <v>38.299999999999997</v>
      </c>
      <c r="D536" s="45">
        <f>1/(1/C536+1/Calc!K536)</f>
        <v>38.253635625175811</v>
      </c>
      <c r="E536" s="45">
        <f>ABS(Show!$A$4-D536)/(Show!$A$4/100)</f>
        <v>4.3659109370604732</v>
      </c>
      <c r="F536" s="46">
        <f>Show!$A$4-Calc!L536</f>
        <v>-33160</v>
      </c>
      <c r="G536" s="46" t="e">
        <f>MATCH(F536*Calc!$R$12,Calc!$K$1:$K$774,1)</f>
        <v>#N/A</v>
      </c>
      <c r="H536" s="46" t="e">
        <f>INDEX(Calc!$K$1:$K$774,G536)</f>
        <v>#N/A</v>
      </c>
      <c r="I536" s="46" t="e">
        <f>H536+Calc!K536</f>
        <v>#N/A</v>
      </c>
      <c r="J536" s="46" t="e">
        <f>ABS(Show!$A$4-I536)/(Show!$A$4/100)</f>
        <v>#N/A</v>
      </c>
      <c r="K536" s="45">
        <f>INDEX(Calc!L536:P536,Show!$B$4)</f>
        <v>31600</v>
      </c>
      <c r="L536" s="46">
        <f t="shared" si="404"/>
        <v>33200</v>
      </c>
      <c r="M536" s="46">
        <f>L536</f>
        <v>33200</v>
      </c>
      <c r="N536" s="46">
        <f>L534</f>
        <v>31600</v>
      </c>
      <c r="O536" s="46">
        <f t="shared" si="405"/>
        <v>33000</v>
      </c>
      <c r="P536" s="46">
        <f t="shared" ref="P536" si="455">O530</f>
        <v>33000</v>
      </c>
    </row>
    <row r="537" spans="1:16" x14ac:dyDescent="0.25">
      <c r="A537" s="45">
        <f>1/((1/Show!$A$4)-(1/Calc!K537))</f>
        <v>40.046029919447641</v>
      </c>
      <c r="B537" s="45">
        <f>MATCH(A537*Calc!$R$12,Calc!$K$1:$K$774,1)</f>
        <v>256</v>
      </c>
      <c r="C537" s="45">
        <f>INDEX(Calc!$K$1:$K$774,B537)</f>
        <v>38.299999999999997</v>
      </c>
      <c r="D537" s="45">
        <f>1/(1/C537+1/Calc!K537)</f>
        <v>38.257894328942569</v>
      </c>
      <c r="E537" s="45">
        <f>ABS(Show!$A$4-D537)/(Show!$A$4/100)</f>
        <v>4.3552641776435763</v>
      </c>
      <c r="F537" s="46">
        <f>Show!$A$4-Calc!L537</f>
        <v>-33960</v>
      </c>
      <c r="G537" s="46" t="e">
        <f>MATCH(F537*Calc!$R$12,Calc!$K$1:$K$774,1)</f>
        <v>#N/A</v>
      </c>
      <c r="H537" s="46" t="e">
        <f>INDEX(Calc!$K$1:$K$774,G537)</f>
        <v>#N/A</v>
      </c>
      <c r="I537" s="46" t="e">
        <f>H537+Calc!K537</f>
        <v>#N/A</v>
      </c>
      <c r="J537" s="46" t="e">
        <f>ABS(Show!$A$4-I537)/(Show!$A$4/100)</f>
        <v>#N/A</v>
      </c>
      <c r="K537" s="45">
        <f>INDEX(Calc!L537:P537,Show!$B$4)</f>
        <v>34800</v>
      </c>
      <c r="L537" s="46">
        <f t="shared" si="404"/>
        <v>34000</v>
      </c>
      <c r="M537" s="46">
        <f>L536</f>
        <v>33200</v>
      </c>
      <c r="N537" s="46">
        <f>L538</f>
        <v>34800</v>
      </c>
      <c r="O537" s="46">
        <f t="shared" si="405"/>
        <v>33000</v>
      </c>
      <c r="P537" s="46">
        <f t="shared" ref="P537" si="456">O530</f>
        <v>33000</v>
      </c>
    </row>
    <row r="538" spans="1:16" x14ac:dyDescent="0.25">
      <c r="A538" s="45">
        <f>1/((1/Show!$A$4)-(1/Calc!K538))</f>
        <v>40.046029919447641</v>
      </c>
      <c r="B538" s="45">
        <f>MATCH(A538*Calc!$R$12,Calc!$K$1:$K$774,1)</f>
        <v>256</v>
      </c>
      <c r="C538" s="45">
        <f>INDEX(Calc!$K$1:$K$774,B538)</f>
        <v>38.299999999999997</v>
      </c>
      <c r="D538" s="45">
        <f>1/(1/C538+1/Calc!K538)</f>
        <v>38.257894328942569</v>
      </c>
      <c r="E538" s="45">
        <f>ABS(Show!$A$4-D538)/(Show!$A$4/100)</f>
        <v>4.3552641776435763</v>
      </c>
      <c r="F538" s="46">
        <f>Show!$A$4-Calc!L538</f>
        <v>-34760</v>
      </c>
      <c r="G538" s="46" t="e">
        <f>MATCH(F538*Calc!$R$12,Calc!$K$1:$K$774,1)</f>
        <v>#N/A</v>
      </c>
      <c r="H538" s="46" t="e">
        <f>INDEX(Calc!$K$1:$K$774,G538)</f>
        <v>#N/A</v>
      </c>
      <c r="I538" s="46" t="e">
        <f>H538+Calc!K538</f>
        <v>#N/A</v>
      </c>
      <c r="J538" s="46" t="e">
        <f>ABS(Show!$A$4-I538)/(Show!$A$4/100)</f>
        <v>#N/A</v>
      </c>
      <c r="K538" s="45">
        <f>INDEX(Calc!L538:P538,Show!$B$4)</f>
        <v>34800</v>
      </c>
      <c r="L538" s="46">
        <f t="shared" si="404"/>
        <v>34800</v>
      </c>
      <c r="M538" s="46">
        <f>L538</f>
        <v>34800</v>
      </c>
      <c r="N538" s="46">
        <f>L538</f>
        <v>34800</v>
      </c>
      <c r="O538" s="46">
        <f t="shared" si="405"/>
        <v>39000</v>
      </c>
      <c r="P538" s="46">
        <f t="shared" ref="P538" si="457">O530</f>
        <v>33000</v>
      </c>
    </row>
    <row r="539" spans="1:16" x14ac:dyDescent="0.25">
      <c r="A539" s="45">
        <f>1/((1/Show!$A$4)-(1/Calc!K539))</f>
        <v>40.046029919447641</v>
      </c>
      <c r="B539" s="45">
        <f>MATCH(A539*Calc!$R$12,Calc!$K$1:$K$774,1)</f>
        <v>256</v>
      </c>
      <c r="C539" s="45">
        <f>INDEX(Calc!$K$1:$K$774,B539)</f>
        <v>38.299999999999997</v>
      </c>
      <c r="D539" s="45">
        <f>1/(1/C539+1/Calc!K539)</f>
        <v>38.257894328942569</v>
      </c>
      <c r="E539" s="45">
        <f>ABS(Show!$A$4-D539)/(Show!$A$4/100)</f>
        <v>4.3552641776435763</v>
      </c>
      <c r="F539" s="46">
        <f>Show!$A$4-Calc!L539</f>
        <v>-35660.000000000007</v>
      </c>
      <c r="G539" s="46" t="e">
        <f>MATCH(F539*Calc!$R$12,Calc!$K$1:$K$774,1)</f>
        <v>#N/A</v>
      </c>
      <c r="H539" s="46" t="e">
        <f>INDEX(Calc!$K$1:$K$774,G539)</f>
        <v>#N/A</v>
      </c>
      <c r="I539" s="46" t="e">
        <f>H539+Calc!K539</f>
        <v>#N/A</v>
      </c>
      <c r="J539" s="46" t="e">
        <f>ABS(Show!$A$4-I539)/(Show!$A$4/100)</f>
        <v>#N/A</v>
      </c>
      <c r="K539" s="45">
        <f>INDEX(Calc!L539:P539,Show!$B$4)</f>
        <v>34800</v>
      </c>
      <c r="L539" s="46">
        <f t="shared" si="404"/>
        <v>35700.000000000007</v>
      </c>
      <c r="M539" s="46">
        <f>L538</f>
        <v>34800</v>
      </c>
      <c r="N539" s="46">
        <f>L538</f>
        <v>34800</v>
      </c>
      <c r="O539" s="46">
        <f t="shared" si="405"/>
        <v>39000</v>
      </c>
      <c r="P539" s="46">
        <f t="shared" ref="P539" si="458">O530</f>
        <v>33000</v>
      </c>
    </row>
    <row r="540" spans="1:16" x14ac:dyDescent="0.25">
      <c r="A540" s="45">
        <f>1/((1/Show!$A$4)-(1/Calc!K540))</f>
        <v>40.046029919447641</v>
      </c>
      <c r="B540" s="45">
        <f>MATCH(A540*Calc!$R$12,Calc!$K$1:$K$774,1)</f>
        <v>256</v>
      </c>
      <c r="C540" s="45">
        <f>INDEX(Calc!$K$1:$K$774,B540)</f>
        <v>38.299999999999997</v>
      </c>
      <c r="D540" s="45">
        <f>1/(1/C540+1/Calc!K540)</f>
        <v>38.257894328942569</v>
      </c>
      <c r="E540" s="45">
        <f>ABS(Show!$A$4-D540)/(Show!$A$4/100)</f>
        <v>4.3552641776435763</v>
      </c>
      <c r="F540" s="46">
        <f>Show!$A$4-Calc!L540</f>
        <v>-36460</v>
      </c>
      <c r="G540" s="46" t="e">
        <f>MATCH(F540*Calc!$R$12,Calc!$K$1:$K$774,1)</f>
        <v>#N/A</v>
      </c>
      <c r="H540" s="46" t="e">
        <f>INDEX(Calc!$K$1:$K$774,G540)</f>
        <v>#N/A</v>
      </c>
      <c r="I540" s="46" t="e">
        <f>H540+Calc!K540</f>
        <v>#N/A</v>
      </c>
      <c r="J540" s="46" t="e">
        <f>ABS(Show!$A$4-I540)/(Show!$A$4/100)</f>
        <v>#N/A</v>
      </c>
      <c r="K540" s="45">
        <f>INDEX(Calc!L540:P540,Show!$B$4)</f>
        <v>34800</v>
      </c>
      <c r="L540" s="46">
        <f t="shared" si="404"/>
        <v>36500</v>
      </c>
      <c r="M540" s="46">
        <f>L540</f>
        <v>36500</v>
      </c>
      <c r="N540" s="46">
        <f>L538</f>
        <v>34800</v>
      </c>
      <c r="O540" s="46">
        <f t="shared" si="405"/>
        <v>39000</v>
      </c>
      <c r="P540" s="46">
        <f t="shared" ref="P540" si="459">O530</f>
        <v>33000</v>
      </c>
    </row>
    <row r="541" spans="1:16" x14ac:dyDescent="0.25">
      <c r="A541" s="45">
        <f>1/((1/Show!$A$4)-(1/Calc!K541))</f>
        <v>40.041819132253003</v>
      </c>
      <c r="B541" s="45">
        <f>MATCH(A541*Calc!$R$12,Calc!$K$1:$K$774,1)</f>
        <v>256</v>
      </c>
      <c r="C541" s="45">
        <f>INDEX(Calc!$K$1:$K$774,B541)</f>
        <v>38.299999999999997</v>
      </c>
      <c r="D541" s="45">
        <f>1/(1/C541+1/Calc!K541)</f>
        <v>38.261738261738259</v>
      </c>
      <c r="E541" s="45">
        <f>ABS(Show!$A$4-D541)/(Show!$A$4/100)</f>
        <v>4.3456543456543528</v>
      </c>
      <c r="F541" s="46">
        <f>Show!$A$4-Calc!L541</f>
        <v>-37360</v>
      </c>
      <c r="G541" s="46" t="e">
        <f>MATCH(F541*Calc!$R$12,Calc!$K$1:$K$774,1)</f>
        <v>#N/A</v>
      </c>
      <c r="H541" s="46" t="e">
        <f>INDEX(Calc!$K$1:$K$774,G541)</f>
        <v>#N/A</v>
      </c>
      <c r="I541" s="46" t="e">
        <f>H541+Calc!K541</f>
        <v>#N/A</v>
      </c>
      <c r="J541" s="46" t="e">
        <f>ABS(Show!$A$4-I541)/(Show!$A$4/100)</f>
        <v>#N/A</v>
      </c>
      <c r="K541" s="45">
        <f>INDEX(Calc!L541:P541,Show!$B$4)</f>
        <v>38299.999999999993</v>
      </c>
      <c r="L541" s="46">
        <f t="shared" si="404"/>
        <v>37400</v>
      </c>
      <c r="M541" s="46">
        <f>L540</f>
        <v>36500</v>
      </c>
      <c r="N541" s="46">
        <f>L542</f>
        <v>38299.999999999993</v>
      </c>
      <c r="O541" s="46">
        <f t="shared" si="405"/>
        <v>39000</v>
      </c>
      <c r="P541" s="46">
        <f t="shared" ref="P541" si="460">O530</f>
        <v>33000</v>
      </c>
    </row>
    <row r="542" spans="1:16" x14ac:dyDescent="0.25">
      <c r="A542" s="45">
        <f>1/((1/Show!$A$4)-(1/Calc!K542))</f>
        <v>40.041819132253003</v>
      </c>
      <c r="B542" s="45">
        <f>MATCH(A542*Calc!$R$12,Calc!$K$1:$K$774,1)</f>
        <v>256</v>
      </c>
      <c r="C542" s="45">
        <f>INDEX(Calc!$K$1:$K$774,B542)</f>
        <v>38.299999999999997</v>
      </c>
      <c r="D542" s="45">
        <f>1/(1/C542+1/Calc!K542)</f>
        <v>38.261738261738259</v>
      </c>
      <c r="E542" s="45">
        <f>ABS(Show!$A$4-D542)/(Show!$A$4/100)</f>
        <v>4.3456543456543528</v>
      </c>
      <c r="F542" s="46">
        <f>Show!$A$4-Calc!L542</f>
        <v>-38259.999999999993</v>
      </c>
      <c r="G542" s="46" t="e">
        <f>MATCH(F542*Calc!$R$12,Calc!$K$1:$K$774,1)</f>
        <v>#N/A</v>
      </c>
      <c r="H542" s="46" t="e">
        <f>INDEX(Calc!$K$1:$K$774,G542)</f>
        <v>#N/A</v>
      </c>
      <c r="I542" s="46" t="e">
        <f>H542+Calc!K542</f>
        <v>#N/A</v>
      </c>
      <c r="J542" s="46" t="e">
        <f>ABS(Show!$A$4-I542)/(Show!$A$4/100)</f>
        <v>#N/A</v>
      </c>
      <c r="K542" s="45">
        <f>INDEX(Calc!L542:P542,Show!$B$4)</f>
        <v>38299.999999999993</v>
      </c>
      <c r="L542" s="46">
        <f t="shared" si="404"/>
        <v>38299.999999999993</v>
      </c>
      <c r="M542" s="46">
        <f>L542</f>
        <v>38299.999999999993</v>
      </c>
      <c r="N542" s="46">
        <f>L542</f>
        <v>38299.999999999993</v>
      </c>
      <c r="O542" s="46">
        <f t="shared" si="405"/>
        <v>39000</v>
      </c>
      <c r="P542" s="46">
        <f t="shared" ref="P542" si="461">O546</f>
        <v>47000</v>
      </c>
    </row>
    <row r="543" spans="1:16" x14ac:dyDescent="0.25">
      <c r="A543" s="45">
        <f>1/((1/Show!$A$4)-(1/Calc!K543))</f>
        <v>40.041819132253003</v>
      </c>
      <c r="B543" s="45">
        <f>MATCH(A543*Calc!$R$12,Calc!$K$1:$K$774,1)</f>
        <v>256</v>
      </c>
      <c r="C543" s="45">
        <f>INDEX(Calc!$K$1:$K$774,B543)</f>
        <v>38.299999999999997</v>
      </c>
      <c r="D543" s="45">
        <f>1/(1/C543+1/Calc!K543)</f>
        <v>38.261738261738259</v>
      </c>
      <c r="E543" s="45">
        <f>ABS(Show!$A$4-D543)/(Show!$A$4/100)</f>
        <v>4.3456543456543528</v>
      </c>
      <c r="F543" s="46">
        <f>Show!$A$4-Calc!L543</f>
        <v>-39160</v>
      </c>
      <c r="G543" s="46" t="e">
        <f>MATCH(F543*Calc!$R$12,Calc!$K$1:$K$774,1)</f>
        <v>#N/A</v>
      </c>
      <c r="H543" s="46" t="e">
        <f>INDEX(Calc!$K$1:$K$774,G543)</f>
        <v>#N/A</v>
      </c>
      <c r="I543" s="46" t="e">
        <f>H543+Calc!K543</f>
        <v>#N/A</v>
      </c>
      <c r="J543" s="46" t="e">
        <f>ABS(Show!$A$4-I543)/(Show!$A$4/100)</f>
        <v>#N/A</v>
      </c>
      <c r="K543" s="45">
        <f>INDEX(Calc!L543:P543,Show!$B$4)</f>
        <v>38299.999999999993</v>
      </c>
      <c r="L543" s="46">
        <f t="shared" si="404"/>
        <v>39200</v>
      </c>
      <c r="M543" s="46">
        <f>L542</f>
        <v>38299.999999999993</v>
      </c>
      <c r="N543" s="46">
        <f>L542</f>
        <v>38299.999999999993</v>
      </c>
      <c r="O543" s="46">
        <f t="shared" si="405"/>
        <v>39000</v>
      </c>
      <c r="P543" s="46">
        <f t="shared" ref="P543" si="462">O546</f>
        <v>47000</v>
      </c>
    </row>
    <row r="544" spans="1:16" x14ac:dyDescent="0.25">
      <c r="A544" s="45">
        <f>1/((1/Show!$A$4)-(1/Calc!K544))</f>
        <v>40.041819132253003</v>
      </c>
      <c r="B544" s="45">
        <f>MATCH(A544*Calc!$R$12,Calc!$K$1:$K$774,1)</f>
        <v>256</v>
      </c>
      <c r="C544" s="45">
        <f>INDEX(Calc!$K$1:$K$774,B544)</f>
        <v>38.299999999999997</v>
      </c>
      <c r="D544" s="45">
        <f>1/(1/C544+1/Calc!K544)</f>
        <v>38.261738261738259</v>
      </c>
      <c r="E544" s="45">
        <f>ABS(Show!$A$4-D544)/(Show!$A$4/100)</f>
        <v>4.3456543456543528</v>
      </c>
      <c r="F544" s="46">
        <f>Show!$A$4-Calc!L544</f>
        <v>-40160</v>
      </c>
      <c r="G544" s="46" t="e">
        <f>MATCH(F544*Calc!$R$12,Calc!$K$1:$K$774,1)</f>
        <v>#N/A</v>
      </c>
      <c r="H544" s="46" t="e">
        <f>INDEX(Calc!$K$1:$K$774,G544)</f>
        <v>#N/A</v>
      </c>
      <c r="I544" s="46" t="e">
        <f>H544+Calc!K544</f>
        <v>#N/A</v>
      </c>
      <c r="J544" s="46" t="e">
        <f>ABS(Show!$A$4-I544)/(Show!$A$4/100)</f>
        <v>#N/A</v>
      </c>
      <c r="K544" s="45">
        <f>INDEX(Calc!L544:P544,Show!$B$4)</f>
        <v>38299.999999999993</v>
      </c>
      <c r="L544" s="46">
        <f t="shared" si="404"/>
        <v>40200</v>
      </c>
      <c r="M544" s="46">
        <f>L544</f>
        <v>40200</v>
      </c>
      <c r="N544" s="46">
        <f>L542</f>
        <v>38299.999999999993</v>
      </c>
      <c r="O544" s="46">
        <f t="shared" si="405"/>
        <v>39000</v>
      </c>
      <c r="P544" s="46">
        <f t="shared" ref="P544" si="463">O546</f>
        <v>47000</v>
      </c>
    </row>
    <row r="545" spans="1:16" x14ac:dyDescent="0.25">
      <c r="A545" s="45">
        <f>1/((1/Show!$A$4)-(1/Calc!K545))</f>
        <v>40.037950664136623</v>
      </c>
      <c r="B545" s="45">
        <f>MATCH(A545*Calc!$R$12,Calc!$K$1:$K$774,1)</f>
        <v>256</v>
      </c>
      <c r="C545" s="45">
        <f>INDEX(Calc!$K$1:$K$774,B545)</f>
        <v>38.299999999999997</v>
      </c>
      <c r="D545" s="45">
        <f>1/(1/C545+1/Calc!K545)</f>
        <v>38.265271092823333</v>
      </c>
      <c r="E545" s="45">
        <f>ABS(Show!$A$4-D545)/(Show!$A$4/100)</f>
        <v>4.3368222679416668</v>
      </c>
      <c r="F545" s="46">
        <f>Show!$A$4-Calc!L545</f>
        <v>-41160</v>
      </c>
      <c r="G545" s="46" t="e">
        <f>MATCH(F545*Calc!$R$12,Calc!$K$1:$K$774,1)</f>
        <v>#N/A</v>
      </c>
      <c r="H545" s="46" t="e">
        <f>INDEX(Calc!$K$1:$K$774,G545)</f>
        <v>#N/A</v>
      </c>
      <c r="I545" s="46" t="e">
        <f>H545+Calc!K545</f>
        <v>#N/A</v>
      </c>
      <c r="J545" s="46" t="e">
        <f>ABS(Show!$A$4-I545)/(Show!$A$4/100)</f>
        <v>#N/A</v>
      </c>
      <c r="K545" s="45">
        <f>INDEX(Calc!L545:P545,Show!$B$4)</f>
        <v>42200.000000000007</v>
      </c>
      <c r="L545" s="46">
        <f t="shared" si="404"/>
        <v>41200</v>
      </c>
      <c r="M545" s="46">
        <f>L544</f>
        <v>40200</v>
      </c>
      <c r="N545" s="46">
        <f>L546</f>
        <v>42200.000000000007</v>
      </c>
      <c r="O545" s="46">
        <f t="shared" si="405"/>
        <v>39000</v>
      </c>
      <c r="P545" s="46">
        <f t="shared" ref="P545" si="464">O546</f>
        <v>47000</v>
      </c>
    </row>
    <row r="546" spans="1:16" x14ac:dyDescent="0.25">
      <c r="A546" s="45">
        <f>1/((1/Show!$A$4)-(1/Calc!K546))</f>
        <v>40.037950664136623</v>
      </c>
      <c r="B546" s="45">
        <f>MATCH(A546*Calc!$R$12,Calc!$K$1:$K$774,1)</f>
        <v>256</v>
      </c>
      <c r="C546" s="45">
        <f>INDEX(Calc!$K$1:$K$774,B546)</f>
        <v>38.299999999999997</v>
      </c>
      <c r="D546" s="45">
        <f>1/(1/C546+1/Calc!K546)</f>
        <v>38.265271092823333</v>
      </c>
      <c r="E546" s="45">
        <f>ABS(Show!$A$4-D546)/(Show!$A$4/100)</f>
        <v>4.3368222679416668</v>
      </c>
      <c r="F546" s="46">
        <f>Show!$A$4-Calc!L546</f>
        <v>-42160.000000000007</v>
      </c>
      <c r="G546" s="46" t="e">
        <f>MATCH(F546*Calc!$R$12,Calc!$K$1:$K$774,1)</f>
        <v>#N/A</v>
      </c>
      <c r="H546" s="46" t="e">
        <f>INDEX(Calc!$K$1:$K$774,G546)</f>
        <v>#N/A</v>
      </c>
      <c r="I546" s="46" t="e">
        <f>H546+Calc!K546</f>
        <v>#N/A</v>
      </c>
      <c r="J546" s="46" t="e">
        <f>ABS(Show!$A$4-I546)/(Show!$A$4/100)</f>
        <v>#N/A</v>
      </c>
      <c r="K546" s="45">
        <f>INDEX(Calc!L546:P546,Show!$B$4)</f>
        <v>42200.000000000007</v>
      </c>
      <c r="L546" s="46">
        <f t="shared" si="404"/>
        <v>42200.000000000007</v>
      </c>
      <c r="M546" s="46">
        <f>L546</f>
        <v>42200.000000000007</v>
      </c>
      <c r="N546" s="46">
        <f>L546</f>
        <v>42200.000000000007</v>
      </c>
      <c r="O546" s="46">
        <f t="shared" si="405"/>
        <v>47000</v>
      </c>
      <c r="P546" s="46">
        <f t="shared" ref="P546" si="465">O546</f>
        <v>47000</v>
      </c>
    </row>
    <row r="547" spans="1:16" x14ac:dyDescent="0.25">
      <c r="A547" s="45">
        <f>1/((1/Show!$A$4)-(1/Calc!K547))</f>
        <v>40.037950664136623</v>
      </c>
      <c r="B547" s="45">
        <f>MATCH(A547*Calc!$R$12,Calc!$K$1:$K$774,1)</f>
        <v>256</v>
      </c>
      <c r="C547" s="45">
        <f>INDEX(Calc!$K$1:$K$774,B547)</f>
        <v>38.299999999999997</v>
      </c>
      <c r="D547" s="45">
        <f>1/(1/C547+1/Calc!K547)</f>
        <v>38.265271092823333</v>
      </c>
      <c r="E547" s="45">
        <f>ABS(Show!$A$4-D547)/(Show!$A$4/100)</f>
        <v>4.3368222679416668</v>
      </c>
      <c r="F547" s="46">
        <f>Show!$A$4-Calc!L547</f>
        <v>-43160.000000000007</v>
      </c>
      <c r="G547" s="46" t="e">
        <f>MATCH(F547*Calc!$R$12,Calc!$K$1:$K$774,1)</f>
        <v>#N/A</v>
      </c>
      <c r="H547" s="46" t="e">
        <f>INDEX(Calc!$K$1:$K$774,G547)</f>
        <v>#N/A</v>
      </c>
      <c r="I547" s="46" t="e">
        <f>H547+Calc!K547</f>
        <v>#N/A</v>
      </c>
      <c r="J547" s="46" t="e">
        <f>ABS(Show!$A$4-I547)/(Show!$A$4/100)</f>
        <v>#N/A</v>
      </c>
      <c r="K547" s="45">
        <f>INDEX(Calc!L547:P547,Show!$B$4)</f>
        <v>42200.000000000007</v>
      </c>
      <c r="L547" s="46">
        <f t="shared" si="404"/>
        <v>43200.000000000007</v>
      </c>
      <c r="M547" s="46">
        <f>L546</f>
        <v>42200.000000000007</v>
      </c>
      <c r="N547" s="46">
        <f>L546</f>
        <v>42200.000000000007</v>
      </c>
      <c r="O547" s="46">
        <f t="shared" si="405"/>
        <v>47000</v>
      </c>
      <c r="P547" s="46">
        <f t="shared" ref="P547" si="466">O546</f>
        <v>47000</v>
      </c>
    </row>
    <row r="548" spans="1:16" x14ac:dyDescent="0.25">
      <c r="A548" s="45">
        <f>1/((1/Show!$A$4)-(1/Calc!K548))</f>
        <v>40.037950664136623</v>
      </c>
      <c r="B548" s="45">
        <f>MATCH(A548*Calc!$R$12,Calc!$K$1:$K$774,1)</f>
        <v>256</v>
      </c>
      <c r="C548" s="45">
        <f>INDEX(Calc!$K$1:$K$774,B548)</f>
        <v>38.299999999999997</v>
      </c>
      <c r="D548" s="45">
        <f>1/(1/C548+1/Calc!K548)</f>
        <v>38.265271092823333</v>
      </c>
      <c r="E548" s="45">
        <f>ABS(Show!$A$4-D548)/(Show!$A$4/100)</f>
        <v>4.3368222679416668</v>
      </c>
      <c r="F548" s="46">
        <f>Show!$A$4-Calc!L548</f>
        <v>-44160</v>
      </c>
      <c r="G548" s="46" t="e">
        <f>MATCH(F548*Calc!$R$12,Calc!$K$1:$K$774,1)</f>
        <v>#N/A</v>
      </c>
      <c r="H548" s="46" t="e">
        <f>INDEX(Calc!$K$1:$K$774,G548)</f>
        <v>#N/A</v>
      </c>
      <c r="I548" s="46" t="e">
        <f>H548+Calc!K548</f>
        <v>#N/A</v>
      </c>
      <c r="J548" s="46" t="e">
        <f>ABS(Show!$A$4-I548)/(Show!$A$4/100)</f>
        <v>#N/A</v>
      </c>
      <c r="K548" s="45">
        <f>INDEX(Calc!L548:P548,Show!$B$4)</f>
        <v>42200.000000000007</v>
      </c>
      <c r="L548" s="46">
        <f t="shared" si="404"/>
        <v>44200</v>
      </c>
      <c r="M548" s="46">
        <f>L548</f>
        <v>44200</v>
      </c>
      <c r="N548" s="46">
        <f>L546</f>
        <v>42200.000000000007</v>
      </c>
      <c r="O548" s="46">
        <f t="shared" si="405"/>
        <v>47000</v>
      </c>
      <c r="P548" s="46">
        <f t="shared" ref="P548" si="467">O546</f>
        <v>47000</v>
      </c>
    </row>
    <row r="549" spans="1:16" x14ac:dyDescent="0.25">
      <c r="A549" s="45">
        <f>1/((1/Show!$A$4)-(1/Calc!K549))</f>
        <v>40.034512510785156</v>
      </c>
      <c r="B549" s="45">
        <f>MATCH(A549*Calc!$R$12,Calc!$K$1:$K$774,1)</f>
        <v>256</v>
      </c>
      <c r="C549" s="45">
        <f>INDEX(Calc!$K$1:$K$774,B549)</f>
        <v>38.299999999999997</v>
      </c>
      <c r="D549" s="45">
        <f>1/(1/C549+1/Calc!K549)</f>
        <v>38.268412065041133</v>
      </c>
      <c r="E549" s="45">
        <f>ABS(Show!$A$4-D549)/(Show!$A$4/100)</f>
        <v>4.3289698373971675</v>
      </c>
      <c r="F549" s="46">
        <f>Show!$A$4-Calc!L549</f>
        <v>-45259.999999999993</v>
      </c>
      <c r="G549" s="46" t="e">
        <f>MATCH(F549*Calc!$R$12,Calc!$K$1:$K$774,1)</f>
        <v>#N/A</v>
      </c>
      <c r="H549" s="46" t="e">
        <f>INDEX(Calc!$K$1:$K$774,G549)</f>
        <v>#N/A</v>
      </c>
      <c r="I549" s="46" t="e">
        <f>H549+Calc!K549</f>
        <v>#N/A</v>
      </c>
      <c r="J549" s="46" t="e">
        <f>ABS(Show!$A$4-I549)/(Show!$A$4/100)</f>
        <v>#N/A</v>
      </c>
      <c r="K549" s="45">
        <f>INDEX(Calc!L549:P549,Show!$B$4)</f>
        <v>46400</v>
      </c>
      <c r="L549" s="46">
        <f t="shared" si="404"/>
        <v>45299.999999999993</v>
      </c>
      <c r="M549" s="46">
        <f>L548</f>
        <v>44200</v>
      </c>
      <c r="N549" s="46">
        <f>L550</f>
        <v>46400</v>
      </c>
      <c r="O549" s="46">
        <f t="shared" si="405"/>
        <v>47000</v>
      </c>
      <c r="P549" s="46">
        <f t="shared" ref="P549" si="468">O546</f>
        <v>47000</v>
      </c>
    </row>
    <row r="550" spans="1:16" x14ac:dyDescent="0.25">
      <c r="A550" s="45">
        <f>1/((1/Show!$A$4)-(1/Calc!K550))</f>
        <v>40.034512510785156</v>
      </c>
      <c r="B550" s="45">
        <f>MATCH(A550*Calc!$R$12,Calc!$K$1:$K$774,1)</f>
        <v>256</v>
      </c>
      <c r="C550" s="45">
        <f>INDEX(Calc!$K$1:$K$774,B550)</f>
        <v>38.299999999999997</v>
      </c>
      <c r="D550" s="45">
        <f>1/(1/C550+1/Calc!K550)</f>
        <v>38.268412065041133</v>
      </c>
      <c r="E550" s="45">
        <f>ABS(Show!$A$4-D550)/(Show!$A$4/100)</f>
        <v>4.3289698373971675</v>
      </c>
      <c r="F550" s="46">
        <f>Show!$A$4-Calc!L550</f>
        <v>-46360</v>
      </c>
      <c r="G550" s="46" t="e">
        <f>MATCH(F550*Calc!$R$12,Calc!$K$1:$K$774,1)</f>
        <v>#N/A</v>
      </c>
      <c r="H550" s="46" t="e">
        <f>INDEX(Calc!$K$1:$K$774,G550)</f>
        <v>#N/A</v>
      </c>
      <c r="I550" s="46" t="e">
        <f>H550+Calc!K550</f>
        <v>#N/A</v>
      </c>
      <c r="J550" s="46" t="e">
        <f>ABS(Show!$A$4-I550)/(Show!$A$4/100)</f>
        <v>#N/A</v>
      </c>
      <c r="K550" s="45">
        <f>INDEX(Calc!L550:P550,Show!$B$4)</f>
        <v>46400</v>
      </c>
      <c r="L550" s="46">
        <f t="shared" si="404"/>
        <v>46400</v>
      </c>
      <c r="M550" s="46">
        <f>L550</f>
        <v>46400</v>
      </c>
      <c r="N550" s="46">
        <f>L550</f>
        <v>46400</v>
      </c>
      <c r="O550" s="46">
        <f t="shared" si="405"/>
        <v>47000</v>
      </c>
      <c r="P550" s="46">
        <f t="shared" ref="P550" si="469">O546</f>
        <v>47000</v>
      </c>
    </row>
    <row r="551" spans="1:16" x14ac:dyDescent="0.25">
      <c r="A551" s="45">
        <f>1/((1/Show!$A$4)-(1/Calc!K551))</f>
        <v>40.034512510785156</v>
      </c>
      <c r="B551" s="45">
        <f>MATCH(A551*Calc!$R$12,Calc!$K$1:$K$774,1)</f>
        <v>256</v>
      </c>
      <c r="C551" s="45">
        <f>INDEX(Calc!$K$1:$K$774,B551)</f>
        <v>38.299999999999997</v>
      </c>
      <c r="D551" s="45">
        <f>1/(1/C551+1/Calc!K551)</f>
        <v>38.268412065041133</v>
      </c>
      <c r="E551" s="45">
        <f>ABS(Show!$A$4-D551)/(Show!$A$4/100)</f>
        <v>4.3289698373971675</v>
      </c>
      <c r="F551" s="46">
        <f>Show!$A$4-Calc!L551</f>
        <v>-47460</v>
      </c>
      <c r="G551" s="46" t="e">
        <f>MATCH(F551*Calc!$R$12,Calc!$K$1:$K$774,1)</f>
        <v>#N/A</v>
      </c>
      <c r="H551" s="46" t="e">
        <f>INDEX(Calc!$K$1:$K$774,G551)</f>
        <v>#N/A</v>
      </c>
      <c r="I551" s="46" t="e">
        <f>H551+Calc!K551</f>
        <v>#N/A</v>
      </c>
      <c r="J551" s="46" t="e">
        <f>ABS(Show!$A$4-I551)/(Show!$A$4/100)</f>
        <v>#N/A</v>
      </c>
      <c r="K551" s="45">
        <f>INDEX(Calc!L551:P551,Show!$B$4)</f>
        <v>46400</v>
      </c>
      <c r="L551" s="46">
        <f t="shared" ref="L551:L581" si="470">L71*100000</f>
        <v>47500</v>
      </c>
      <c r="M551" s="46">
        <f>L550</f>
        <v>46400</v>
      </c>
      <c r="N551" s="46">
        <f>L550</f>
        <v>46400</v>
      </c>
      <c r="O551" s="46">
        <f t="shared" ref="O551:O581" si="471">O71*100000</f>
        <v>47000</v>
      </c>
      <c r="P551" s="46">
        <f t="shared" ref="P551" si="472">O546</f>
        <v>47000</v>
      </c>
    </row>
    <row r="552" spans="1:16" x14ac:dyDescent="0.25">
      <c r="A552" s="45">
        <f>1/((1/Show!$A$4)-(1/Calc!K552))</f>
        <v>40.034512510785156</v>
      </c>
      <c r="B552" s="45">
        <f>MATCH(A552*Calc!$R$12,Calc!$K$1:$K$774,1)</f>
        <v>256</v>
      </c>
      <c r="C552" s="45">
        <f>INDEX(Calc!$K$1:$K$774,B552)</f>
        <v>38.299999999999997</v>
      </c>
      <c r="D552" s="45">
        <f>1/(1/C552+1/Calc!K552)</f>
        <v>38.268412065041133</v>
      </c>
      <c r="E552" s="45">
        <f>ABS(Show!$A$4-D552)/(Show!$A$4/100)</f>
        <v>4.3289698373971675</v>
      </c>
      <c r="F552" s="46">
        <f>Show!$A$4-Calc!L552</f>
        <v>-48660.000000000007</v>
      </c>
      <c r="G552" s="46" t="e">
        <f>MATCH(F552*Calc!$R$12,Calc!$K$1:$K$774,1)</f>
        <v>#N/A</v>
      </c>
      <c r="H552" s="46" t="e">
        <f>INDEX(Calc!$K$1:$K$774,G552)</f>
        <v>#N/A</v>
      </c>
      <c r="I552" s="46" t="e">
        <f>H552+Calc!K552</f>
        <v>#N/A</v>
      </c>
      <c r="J552" s="46" t="e">
        <f>ABS(Show!$A$4-I552)/(Show!$A$4/100)</f>
        <v>#N/A</v>
      </c>
      <c r="K552" s="45">
        <f>INDEX(Calc!L552:P552,Show!$B$4)</f>
        <v>46400</v>
      </c>
      <c r="L552" s="46">
        <f t="shared" si="470"/>
        <v>48700.000000000007</v>
      </c>
      <c r="M552" s="46">
        <f>L552</f>
        <v>48700.000000000007</v>
      </c>
      <c r="N552" s="46">
        <f>L550</f>
        <v>46400</v>
      </c>
      <c r="O552" s="46">
        <f t="shared" si="471"/>
        <v>47000</v>
      </c>
      <c r="P552" s="46">
        <f t="shared" ref="P552" si="473">O546</f>
        <v>47000</v>
      </c>
    </row>
    <row r="553" spans="1:16" x14ac:dyDescent="0.25">
      <c r="A553" s="45">
        <f>1/((1/Show!$A$4)-(1/Calc!K553))</f>
        <v>40.031335683509589</v>
      </c>
      <c r="B553" s="45">
        <f>MATCH(A553*Calc!$R$12,Calc!$K$1:$K$774,1)</f>
        <v>256</v>
      </c>
      <c r="C553" s="45">
        <f>INDEX(Calc!$K$1:$K$774,B553)</f>
        <v>38.299999999999997</v>
      </c>
      <c r="D553" s="45">
        <f>1/(1/C553+1/Calc!K553)</f>
        <v>38.271315237307455</v>
      </c>
      <c r="E553" s="45">
        <f>ABS(Show!$A$4-D553)/(Show!$A$4/100)</f>
        <v>4.3217119067313625</v>
      </c>
      <c r="F553" s="46">
        <f>Show!$A$4-Calc!L553</f>
        <v>-49860</v>
      </c>
      <c r="G553" s="46" t="e">
        <f>MATCH(F553*Calc!$R$12,Calc!$K$1:$K$774,1)</f>
        <v>#N/A</v>
      </c>
      <c r="H553" s="46" t="e">
        <f>INDEX(Calc!$K$1:$K$774,G553)</f>
        <v>#N/A</v>
      </c>
      <c r="I553" s="46" t="e">
        <f>H553+Calc!K553</f>
        <v>#N/A</v>
      </c>
      <c r="J553" s="46" t="e">
        <f>ABS(Show!$A$4-I553)/(Show!$A$4/100)</f>
        <v>#N/A</v>
      </c>
      <c r="K553" s="45">
        <f>INDEX(Calc!L553:P553,Show!$B$4)</f>
        <v>51100</v>
      </c>
      <c r="L553" s="46">
        <f t="shared" si="470"/>
        <v>49900</v>
      </c>
      <c r="M553" s="46">
        <f>L552</f>
        <v>48700.000000000007</v>
      </c>
      <c r="N553" s="46">
        <f>L554</f>
        <v>51100</v>
      </c>
      <c r="O553" s="46">
        <f t="shared" si="471"/>
        <v>47000</v>
      </c>
      <c r="P553" s="46">
        <f t="shared" ref="P553" si="474">O546</f>
        <v>47000</v>
      </c>
    </row>
    <row r="554" spans="1:16" x14ac:dyDescent="0.25">
      <c r="A554" s="45">
        <f>1/((1/Show!$A$4)-(1/Calc!K554))</f>
        <v>40.031335683509589</v>
      </c>
      <c r="B554" s="45">
        <f>MATCH(A554*Calc!$R$12,Calc!$K$1:$K$774,1)</f>
        <v>256</v>
      </c>
      <c r="C554" s="45">
        <f>INDEX(Calc!$K$1:$K$774,B554)</f>
        <v>38.299999999999997</v>
      </c>
      <c r="D554" s="45">
        <f>1/(1/C554+1/Calc!K554)</f>
        <v>38.271315237307455</v>
      </c>
      <c r="E554" s="45">
        <f>ABS(Show!$A$4-D554)/(Show!$A$4/100)</f>
        <v>4.3217119067313625</v>
      </c>
      <c r="F554" s="46">
        <f>Show!$A$4-Calc!L554</f>
        <v>-51060</v>
      </c>
      <c r="G554" s="46" t="e">
        <f>MATCH(F554*Calc!$R$12,Calc!$K$1:$K$774,1)</f>
        <v>#N/A</v>
      </c>
      <c r="H554" s="46" t="e">
        <f>INDEX(Calc!$K$1:$K$774,G554)</f>
        <v>#N/A</v>
      </c>
      <c r="I554" s="46" t="e">
        <f>H554+Calc!K554</f>
        <v>#N/A</v>
      </c>
      <c r="J554" s="46" t="e">
        <f>ABS(Show!$A$4-I554)/(Show!$A$4/100)</f>
        <v>#N/A</v>
      </c>
      <c r="K554" s="45">
        <f>INDEX(Calc!L554:P554,Show!$B$4)</f>
        <v>51100</v>
      </c>
      <c r="L554" s="46">
        <f t="shared" si="470"/>
        <v>51100</v>
      </c>
      <c r="M554" s="46">
        <f>L554</f>
        <v>51100</v>
      </c>
      <c r="N554" s="46">
        <f>L554</f>
        <v>51100</v>
      </c>
      <c r="O554" s="46">
        <f t="shared" si="471"/>
        <v>56000.000000000007</v>
      </c>
      <c r="P554" s="46">
        <f t="shared" ref="P554" si="475">O546</f>
        <v>47000</v>
      </c>
    </row>
    <row r="555" spans="1:16" x14ac:dyDescent="0.25">
      <c r="A555" s="45">
        <f>1/((1/Show!$A$4)-(1/Calc!K555))</f>
        <v>40.031335683509589</v>
      </c>
      <c r="B555" s="45">
        <f>MATCH(A555*Calc!$R$12,Calc!$K$1:$K$774,1)</f>
        <v>256</v>
      </c>
      <c r="C555" s="45">
        <f>INDEX(Calc!$K$1:$K$774,B555)</f>
        <v>38.299999999999997</v>
      </c>
      <c r="D555" s="45">
        <f>1/(1/C555+1/Calc!K555)</f>
        <v>38.271315237307455</v>
      </c>
      <c r="E555" s="45">
        <f>ABS(Show!$A$4-D555)/(Show!$A$4/100)</f>
        <v>4.3217119067313625</v>
      </c>
      <c r="F555" s="46">
        <f>Show!$A$4-Calc!L555</f>
        <v>-52260</v>
      </c>
      <c r="G555" s="46" t="e">
        <f>MATCH(F555*Calc!$R$12,Calc!$K$1:$K$774,1)</f>
        <v>#N/A</v>
      </c>
      <c r="H555" s="46" t="e">
        <f>INDEX(Calc!$K$1:$K$774,G555)</f>
        <v>#N/A</v>
      </c>
      <c r="I555" s="46" t="e">
        <f>H555+Calc!K555</f>
        <v>#N/A</v>
      </c>
      <c r="J555" s="46" t="e">
        <f>ABS(Show!$A$4-I555)/(Show!$A$4/100)</f>
        <v>#N/A</v>
      </c>
      <c r="K555" s="45">
        <f>INDEX(Calc!L555:P555,Show!$B$4)</f>
        <v>51100</v>
      </c>
      <c r="L555" s="46">
        <f t="shared" si="470"/>
        <v>52300</v>
      </c>
      <c r="M555" s="46">
        <f>L554</f>
        <v>51100</v>
      </c>
      <c r="N555" s="46">
        <f>L554</f>
        <v>51100</v>
      </c>
      <c r="O555" s="46">
        <f t="shared" si="471"/>
        <v>56000.000000000007</v>
      </c>
      <c r="P555" s="46">
        <f t="shared" ref="P555" si="476">O546</f>
        <v>47000</v>
      </c>
    </row>
    <row r="556" spans="1:16" x14ac:dyDescent="0.25">
      <c r="A556" s="45">
        <f>1/((1/Show!$A$4)-(1/Calc!K556))</f>
        <v>40.031335683509589</v>
      </c>
      <c r="B556" s="45">
        <f>MATCH(A556*Calc!$R$12,Calc!$K$1:$K$774,1)</f>
        <v>256</v>
      </c>
      <c r="C556" s="45">
        <f>INDEX(Calc!$K$1:$K$774,B556)</f>
        <v>38.299999999999997</v>
      </c>
      <c r="D556" s="45">
        <f>1/(1/C556+1/Calc!K556)</f>
        <v>38.271315237307455</v>
      </c>
      <c r="E556" s="45">
        <f>ABS(Show!$A$4-D556)/(Show!$A$4/100)</f>
        <v>4.3217119067313625</v>
      </c>
      <c r="F556" s="46">
        <f>Show!$A$4-Calc!L556</f>
        <v>-53560</v>
      </c>
      <c r="G556" s="46" t="e">
        <f>MATCH(F556*Calc!$R$12,Calc!$K$1:$K$774,1)</f>
        <v>#N/A</v>
      </c>
      <c r="H556" s="46" t="e">
        <f>INDEX(Calc!$K$1:$K$774,G556)</f>
        <v>#N/A</v>
      </c>
      <c r="I556" s="46" t="e">
        <f>H556+Calc!K556</f>
        <v>#N/A</v>
      </c>
      <c r="J556" s="46" t="e">
        <f>ABS(Show!$A$4-I556)/(Show!$A$4/100)</f>
        <v>#N/A</v>
      </c>
      <c r="K556" s="45">
        <f>INDEX(Calc!L556:P556,Show!$B$4)</f>
        <v>51100</v>
      </c>
      <c r="L556" s="46">
        <f t="shared" si="470"/>
        <v>53600</v>
      </c>
      <c r="M556" s="46">
        <f>L556</f>
        <v>53600</v>
      </c>
      <c r="N556" s="46">
        <f>L554</f>
        <v>51100</v>
      </c>
      <c r="O556" s="46">
        <f t="shared" si="471"/>
        <v>56000.000000000007</v>
      </c>
      <c r="P556" s="46">
        <f t="shared" ref="P556" si="477">O546</f>
        <v>47000</v>
      </c>
    </row>
    <row r="557" spans="1:16" x14ac:dyDescent="0.25">
      <c r="A557" s="45">
        <f>1/((1/Show!$A$4)-(1/Calc!K557))</f>
        <v>40.028490028490026</v>
      </c>
      <c r="B557" s="45">
        <f>MATCH(A557*Calc!$R$12,Calc!$K$1:$K$774,1)</f>
        <v>256</v>
      </c>
      <c r="C557" s="45">
        <f>INDEX(Calc!$K$1:$K$774,B557)</f>
        <v>38.299999999999997</v>
      </c>
      <c r="D557" s="45">
        <f>1/(1/C557+1/Calc!K557)</f>
        <v>38.27391653019383</v>
      </c>
      <c r="E557" s="45">
        <f>ABS(Show!$A$4-D557)/(Show!$A$4/100)</f>
        <v>4.315208674515425</v>
      </c>
      <c r="F557" s="46">
        <f>Show!$A$4-Calc!L557</f>
        <v>-54859.999999999993</v>
      </c>
      <c r="G557" s="46" t="e">
        <f>MATCH(F557*Calc!$R$12,Calc!$K$1:$K$774,1)</f>
        <v>#N/A</v>
      </c>
      <c r="H557" s="46" t="e">
        <f>INDEX(Calc!$K$1:$K$774,G557)</f>
        <v>#N/A</v>
      </c>
      <c r="I557" s="46" t="e">
        <f>H557+Calc!K557</f>
        <v>#N/A</v>
      </c>
      <c r="J557" s="46" t="e">
        <f>ABS(Show!$A$4-I557)/(Show!$A$4/100)</f>
        <v>#N/A</v>
      </c>
      <c r="K557" s="45">
        <f>INDEX(Calc!L557:P557,Show!$B$4)</f>
        <v>56200.000000000007</v>
      </c>
      <c r="L557" s="46">
        <f t="shared" si="470"/>
        <v>54899.999999999993</v>
      </c>
      <c r="M557" s="46">
        <f>L556</f>
        <v>53600</v>
      </c>
      <c r="N557" s="46">
        <f>L558</f>
        <v>56200.000000000007</v>
      </c>
      <c r="O557" s="46">
        <f t="shared" si="471"/>
        <v>56000.000000000007</v>
      </c>
      <c r="P557" s="46">
        <f t="shared" ref="P557" si="478">O546</f>
        <v>47000</v>
      </c>
    </row>
    <row r="558" spans="1:16" x14ac:dyDescent="0.25">
      <c r="A558" s="45">
        <f>1/((1/Show!$A$4)-(1/Calc!K558))</f>
        <v>40.028490028490026</v>
      </c>
      <c r="B558" s="45">
        <f>MATCH(A558*Calc!$R$12,Calc!$K$1:$K$774,1)</f>
        <v>256</v>
      </c>
      <c r="C558" s="45">
        <f>INDEX(Calc!$K$1:$K$774,B558)</f>
        <v>38.299999999999997</v>
      </c>
      <c r="D558" s="45">
        <f>1/(1/C558+1/Calc!K558)</f>
        <v>38.27391653019383</v>
      </c>
      <c r="E558" s="45">
        <f>ABS(Show!$A$4-D558)/(Show!$A$4/100)</f>
        <v>4.315208674515425</v>
      </c>
      <c r="F558" s="46">
        <f>Show!$A$4-Calc!L558</f>
        <v>-56160.000000000007</v>
      </c>
      <c r="G558" s="46" t="e">
        <f>MATCH(F558*Calc!$R$12,Calc!$K$1:$K$774,1)</f>
        <v>#N/A</v>
      </c>
      <c r="H558" s="46" t="e">
        <f>INDEX(Calc!$K$1:$K$774,G558)</f>
        <v>#N/A</v>
      </c>
      <c r="I558" s="46" t="e">
        <f>H558+Calc!K558</f>
        <v>#N/A</v>
      </c>
      <c r="J558" s="46" t="e">
        <f>ABS(Show!$A$4-I558)/(Show!$A$4/100)</f>
        <v>#N/A</v>
      </c>
      <c r="K558" s="45">
        <f>INDEX(Calc!L558:P558,Show!$B$4)</f>
        <v>56200.000000000007</v>
      </c>
      <c r="L558" s="46">
        <f t="shared" si="470"/>
        <v>56200.000000000007</v>
      </c>
      <c r="M558" s="46">
        <f>L558</f>
        <v>56200.000000000007</v>
      </c>
      <c r="N558" s="46">
        <f>L558</f>
        <v>56200.000000000007</v>
      </c>
      <c r="O558" s="46">
        <f t="shared" si="471"/>
        <v>56000.000000000007</v>
      </c>
      <c r="P558" s="46">
        <f t="shared" ref="P558" si="479">O562</f>
        <v>68000</v>
      </c>
    </row>
    <row r="559" spans="1:16" x14ac:dyDescent="0.25">
      <c r="A559" s="45">
        <f>1/((1/Show!$A$4)-(1/Calc!K559))</f>
        <v>40.028490028490026</v>
      </c>
      <c r="B559" s="45">
        <f>MATCH(A559*Calc!$R$12,Calc!$K$1:$K$774,1)</f>
        <v>256</v>
      </c>
      <c r="C559" s="45">
        <f>INDEX(Calc!$K$1:$K$774,B559)</f>
        <v>38.299999999999997</v>
      </c>
      <c r="D559" s="45">
        <f>1/(1/C559+1/Calc!K559)</f>
        <v>38.27391653019383</v>
      </c>
      <c r="E559" s="45">
        <f>ABS(Show!$A$4-D559)/(Show!$A$4/100)</f>
        <v>4.315208674515425</v>
      </c>
      <c r="F559" s="46">
        <f>Show!$A$4-Calc!L559</f>
        <v>-57560.000000000007</v>
      </c>
      <c r="G559" s="46" t="e">
        <f>MATCH(F559*Calc!$R$12,Calc!$K$1:$K$774,1)</f>
        <v>#N/A</v>
      </c>
      <c r="H559" s="46" t="e">
        <f>INDEX(Calc!$K$1:$K$774,G559)</f>
        <v>#N/A</v>
      </c>
      <c r="I559" s="46" t="e">
        <f>H559+Calc!K559</f>
        <v>#N/A</v>
      </c>
      <c r="J559" s="46" t="e">
        <f>ABS(Show!$A$4-I559)/(Show!$A$4/100)</f>
        <v>#N/A</v>
      </c>
      <c r="K559" s="45">
        <f>INDEX(Calc!L559:P559,Show!$B$4)</f>
        <v>56200.000000000007</v>
      </c>
      <c r="L559" s="46">
        <f t="shared" si="470"/>
        <v>57600.000000000007</v>
      </c>
      <c r="M559" s="46">
        <f>L558</f>
        <v>56200.000000000007</v>
      </c>
      <c r="N559" s="46">
        <f>L558</f>
        <v>56200.000000000007</v>
      </c>
      <c r="O559" s="46">
        <f t="shared" si="471"/>
        <v>56000.000000000007</v>
      </c>
      <c r="P559" s="46">
        <f t="shared" ref="P559" si="480">O562</f>
        <v>68000</v>
      </c>
    </row>
    <row r="560" spans="1:16" x14ac:dyDescent="0.25">
      <c r="A560" s="45">
        <f>1/((1/Show!$A$4)-(1/Calc!K560))</f>
        <v>40.028490028490026</v>
      </c>
      <c r="B560" s="45">
        <f>MATCH(A560*Calc!$R$12,Calc!$K$1:$K$774,1)</f>
        <v>256</v>
      </c>
      <c r="C560" s="45">
        <f>INDEX(Calc!$K$1:$K$774,B560)</f>
        <v>38.299999999999997</v>
      </c>
      <c r="D560" s="45">
        <f>1/(1/C560+1/Calc!K560)</f>
        <v>38.27391653019383</v>
      </c>
      <c r="E560" s="45">
        <f>ABS(Show!$A$4-D560)/(Show!$A$4/100)</f>
        <v>4.315208674515425</v>
      </c>
      <c r="F560" s="46">
        <f>Show!$A$4-Calc!L560</f>
        <v>-58960</v>
      </c>
      <c r="G560" s="46" t="e">
        <f>MATCH(F560*Calc!$R$12,Calc!$K$1:$K$774,1)</f>
        <v>#N/A</v>
      </c>
      <c r="H560" s="46" t="e">
        <f>INDEX(Calc!$K$1:$K$774,G560)</f>
        <v>#N/A</v>
      </c>
      <c r="I560" s="46" t="e">
        <f>H560+Calc!K560</f>
        <v>#N/A</v>
      </c>
      <c r="J560" s="46" t="e">
        <f>ABS(Show!$A$4-I560)/(Show!$A$4/100)</f>
        <v>#N/A</v>
      </c>
      <c r="K560" s="45">
        <f>INDEX(Calc!L560:P560,Show!$B$4)</f>
        <v>56200.000000000007</v>
      </c>
      <c r="L560" s="46">
        <f t="shared" si="470"/>
        <v>59000</v>
      </c>
      <c r="M560" s="46">
        <f>L560</f>
        <v>59000</v>
      </c>
      <c r="N560" s="46">
        <f>L558</f>
        <v>56200.000000000007</v>
      </c>
      <c r="O560" s="46">
        <f t="shared" si="471"/>
        <v>56000.000000000007</v>
      </c>
      <c r="P560" s="46">
        <f t="shared" ref="P560" si="481">O562</f>
        <v>68000</v>
      </c>
    </row>
    <row r="561" spans="1:16" x14ac:dyDescent="0.25">
      <c r="A561" s="45">
        <f>1/((1/Show!$A$4)-(1/Calc!K561))</f>
        <v>40.025864856126731</v>
      </c>
      <c r="B561" s="45">
        <f>MATCH(A561*Calc!$R$12,Calc!$K$1:$K$774,1)</f>
        <v>256</v>
      </c>
      <c r="C561" s="45">
        <f>INDEX(Calc!$K$1:$K$774,B561)</f>
        <v>38.299999999999997</v>
      </c>
      <c r="D561" s="45">
        <f>1/(1/C561+1/Calc!K561)</f>
        <v>38.276316915381919</v>
      </c>
      <c r="E561" s="45">
        <f>ABS(Show!$A$4-D561)/(Show!$A$4/100)</f>
        <v>4.3092077115452021</v>
      </c>
      <c r="F561" s="46">
        <f>Show!$A$4-Calc!L561</f>
        <v>-60360</v>
      </c>
      <c r="G561" s="46" t="e">
        <f>MATCH(F561*Calc!$R$12,Calc!$K$1:$K$774,1)</f>
        <v>#N/A</v>
      </c>
      <c r="H561" s="46" t="e">
        <f>INDEX(Calc!$K$1:$K$774,G561)</f>
        <v>#N/A</v>
      </c>
      <c r="I561" s="46" t="e">
        <f>H561+Calc!K561</f>
        <v>#N/A</v>
      </c>
      <c r="J561" s="46" t="e">
        <f>ABS(Show!$A$4-I561)/(Show!$A$4/100)</f>
        <v>#N/A</v>
      </c>
      <c r="K561" s="45">
        <f>INDEX(Calc!L561:P561,Show!$B$4)</f>
        <v>61900</v>
      </c>
      <c r="L561" s="46">
        <f t="shared" si="470"/>
        <v>60400</v>
      </c>
      <c r="M561" s="46">
        <f>L560</f>
        <v>59000</v>
      </c>
      <c r="N561" s="46">
        <f>L562</f>
        <v>61900</v>
      </c>
      <c r="O561" s="46">
        <f t="shared" si="471"/>
        <v>56000.000000000007</v>
      </c>
      <c r="P561" s="46">
        <f t="shared" ref="P561" si="482">O562</f>
        <v>68000</v>
      </c>
    </row>
    <row r="562" spans="1:16" x14ac:dyDescent="0.25">
      <c r="A562" s="45">
        <f>1/((1/Show!$A$4)-(1/Calc!K562))</f>
        <v>40.025864856126731</v>
      </c>
      <c r="B562" s="45">
        <f>MATCH(A562*Calc!$R$12,Calc!$K$1:$K$774,1)</f>
        <v>256</v>
      </c>
      <c r="C562" s="45">
        <f>INDEX(Calc!$K$1:$K$774,B562)</f>
        <v>38.299999999999997</v>
      </c>
      <c r="D562" s="45">
        <f>1/(1/C562+1/Calc!K562)</f>
        <v>38.276316915381919</v>
      </c>
      <c r="E562" s="45">
        <f>ABS(Show!$A$4-D562)/(Show!$A$4/100)</f>
        <v>4.3092077115452021</v>
      </c>
      <c r="F562" s="46">
        <f>Show!$A$4-Calc!L562</f>
        <v>-61860</v>
      </c>
      <c r="G562" s="46" t="e">
        <f>MATCH(F562*Calc!$R$12,Calc!$K$1:$K$774,1)</f>
        <v>#N/A</v>
      </c>
      <c r="H562" s="46" t="e">
        <f>INDEX(Calc!$K$1:$K$774,G562)</f>
        <v>#N/A</v>
      </c>
      <c r="I562" s="46" t="e">
        <f>H562+Calc!K562</f>
        <v>#N/A</v>
      </c>
      <c r="J562" s="46" t="e">
        <f>ABS(Show!$A$4-I562)/(Show!$A$4/100)</f>
        <v>#N/A</v>
      </c>
      <c r="K562" s="45">
        <f>INDEX(Calc!L562:P562,Show!$B$4)</f>
        <v>61900</v>
      </c>
      <c r="L562" s="46">
        <f t="shared" si="470"/>
        <v>61900</v>
      </c>
      <c r="M562" s="46">
        <f>L562</f>
        <v>61900</v>
      </c>
      <c r="N562" s="46">
        <f>L562</f>
        <v>61900</v>
      </c>
      <c r="O562" s="46">
        <f t="shared" si="471"/>
        <v>68000</v>
      </c>
      <c r="P562" s="46">
        <f t="shared" ref="P562" si="483">O562</f>
        <v>68000</v>
      </c>
    </row>
    <row r="563" spans="1:16" x14ac:dyDescent="0.25">
      <c r="A563" s="45">
        <f>1/((1/Show!$A$4)-(1/Calc!K563))</f>
        <v>40.025864856126731</v>
      </c>
      <c r="B563" s="45">
        <f>MATCH(A563*Calc!$R$12,Calc!$K$1:$K$774,1)</f>
        <v>256</v>
      </c>
      <c r="C563" s="45">
        <f>INDEX(Calc!$K$1:$K$774,B563)</f>
        <v>38.299999999999997</v>
      </c>
      <c r="D563" s="45">
        <f>1/(1/C563+1/Calc!K563)</f>
        <v>38.276316915381919</v>
      </c>
      <c r="E563" s="45">
        <f>ABS(Show!$A$4-D563)/(Show!$A$4/100)</f>
        <v>4.3092077115452021</v>
      </c>
      <c r="F563" s="46">
        <f>Show!$A$4-Calc!L563</f>
        <v>-63360</v>
      </c>
      <c r="G563" s="46" t="e">
        <f>MATCH(F563*Calc!$R$12,Calc!$K$1:$K$774,1)</f>
        <v>#N/A</v>
      </c>
      <c r="H563" s="46" t="e">
        <f>INDEX(Calc!$K$1:$K$774,G563)</f>
        <v>#N/A</v>
      </c>
      <c r="I563" s="46" t="e">
        <f>H563+Calc!K563</f>
        <v>#N/A</v>
      </c>
      <c r="J563" s="46" t="e">
        <f>ABS(Show!$A$4-I563)/(Show!$A$4/100)</f>
        <v>#N/A</v>
      </c>
      <c r="K563" s="45">
        <f>INDEX(Calc!L563:P563,Show!$B$4)</f>
        <v>61900</v>
      </c>
      <c r="L563" s="46">
        <f t="shared" si="470"/>
        <v>63400</v>
      </c>
      <c r="M563" s="46">
        <f>L562</f>
        <v>61900</v>
      </c>
      <c r="N563" s="46">
        <f>L562</f>
        <v>61900</v>
      </c>
      <c r="O563" s="46">
        <f t="shared" si="471"/>
        <v>68000</v>
      </c>
      <c r="P563" s="46">
        <f t="shared" ref="P563" si="484">O562</f>
        <v>68000</v>
      </c>
    </row>
    <row r="564" spans="1:16" x14ac:dyDescent="0.25">
      <c r="A564" s="45">
        <f>1/((1/Show!$A$4)-(1/Calc!K564))</f>
        <v>40.025864856126731</v>
      </c>
      <c r="B564" s="45">
        <f>MATCH(A564*Calc!$R$12,Calc!$K$1:$K$774,1)</f>
        <v>256</v>
      </c>
      <c r="C564" s="45">
        <f>INDEX(Calc!$K$1:$K$774,B564)</f>
        <v>38.299999999999997</v>
      </c>
      <c r="D564" s="45">
        <f>1/(1/C564+1/Calc!K564)</f>
        <v>38.276316915381919</v>
      </c>
      <c r="E564" s="45">
        <f>ABS(Show!$A$4-D564)/(Show!$A$4/100)</f>
        <v>4.3092077115452021</v>
      </c>
      <c r="F564" s="46">
        <f>Show!$A$4-Calc!L564</f>
        <v>-64860</v>
      </c>
      <c r="G564" s="46" t="e">
        <f>MATCH(F564*Calc!$R$12,Calc!$K$1:$K$774,1)</f>
        <v>#N/A</v>
      </c>
      <c r="H564" s="46" t="e">
        <f>INDEX(Calc!$K$1:$K$774,G564)</f>
        <v>#N/A</v>
      </c>
      <c r="I564" s="46" t="e">
        <f>H564+Calc!K564</f>
        <v>#N/A</v>
      </c>
      <c r="J564" s="46" t="e">
        <f>ABS(Show!$A$4-I564)/(Show!$A$4/100)</f>
        <v>#N/A</v>
      </c>
      <c r="K564" s="45">
        <f>INDEX(Calc!L564:P564,Show!$B$4)</f>
        <v>61900</v>
      </c>
      <c r="L564" s="46">
        <f t="shared" si="470"/>
        <v>64900</v>
      </c>
      <c r="M564" s="46">
        <f>L564</f>
        <v>64900</v>
      </c>
      <c r="N564" s="46">
        <f>L562</f>
        <v>61900</v>
      </c>
      <c r="O564" s="46">
        <f t="shared" si="471"/>
        <v>68000</v>
      </c>
      <c r="P564" s="46">
        <f t="shared" ref="P564" si="485">O562</f>
        <v>68000</v>
      </c>
    </row>
    <row r="565" spans="1:16" x14ac:dyDescent="0.25">
      <c r="A565" s="45">
        <f>1/((1/Show!$A$4)-(1/Calc!K565))</f>
        <v>40.023508668821627</v>
      </c>
      <c r="B565" s="45">
        <f>MATCH(A565*Calc!$R$12,Calc!$K$1:$K$774,1)</f>
        <v>256</v>
      </c>
      <c r="C565" s="45">
        <f>INDEX(Calc!$K$1:$K$774,B565)</f>
        <v>38.299999999999997</v>
      </c>
      <c r="D565" s="45">
        <f>1/(1/C565+1/Calc!K565)</f>
        <v>38.278471872647245</v>
      </c>
      <c r="E565" s="45">
        <f>ABS(Show!$A$4-D565)/(Show!$A$4/100)</f>
        <v>4.3038203183818879</v>
      </c>
      <c r="F565" s="46">
        <f>Show!$A$4-Calc!L565</f>
        <v>-66460</v>
      </c>
      <c r="G565" s="46" t="e">
        <f>MATCH(F565*Calc!$R$12,Calc!$K$1:$K$774,1)</f>
        <v>#N/A</v>
      </c>
      <c r="H565" s="46" t="e">
        <f>INDEX(Calc!$K$1:$K$774,G565)</f>
        <v>#N/A</v>
      </c>
      <c r="I565" s="46" t="e">
        <f>H565+Calc!K565</f>
        <v>#N/A</v>
      </c>
      <c r="J565" s="46" t="e">
        <f>ABS(Show!$A$4-I565)/(Show!$A$4/100)</f>
        <v>#N/A</v>
      </c>
      <c r="K565" s="45">
        <f>INDEX(Calc!L565:P565,Show!$B$4)</f>
        <v>68100</v>
      </c>
      <c r="L565" s="46">
        <f t="shared" si="470"/>
        <v>66500</v>
      </c>
      <c r="M565" s="46">
        <f>L564</f>
        <v>64900</v>
      </c>
      <c r="N565" s="46">
        <f>L566</f>
        <v>68100</v>
      </c>
      <c r="O565" s="46">
        <f t="shared" si="471"/>
        <v>68000</v>
      </c>
      <c r="P565" s="46">
        <f t="shared" ref="P565" si="486">O562</f>
        <v>68000</v>
      </c>
    </row>
    <row r="566" spans="1:16" x14ac:dyDescent="0.25">
      <c r="A566" s="45">
        <f>1/((1/Show!$A$4)-(1/Calc!K566))</f>
        <v>40.023508668821627</v>
      </c>
      <c r="B566" s="45">
        <f>MATCH(A566*Calc!$R$12,Calc!$K$1:$K$774,1)</f>
        <v>256</v>
      </c>
      <c r="C566" s="45">
        <f>INDEX(Calc!$K$1:$K$774,B566)</f>
        <v>38.299999999999997</v>
      </c>
      <c r="D566" s="45">
        <f>1/(1/C566+1/Calc!K566)</f>
        <v>38.278471872647245</v>
      </c>
      <c r="E566" s="45">
        <f>ABS(Show!$A$4-D566)/(Show!$A$4/100)</f>
        <v>4.3038203183818879</v>
      </c>
      <c r="F566" s="46">
        <f>Show!$A$4-Calc!L566</f>
        <v>-68060</v>
      </c>
      <c r="G566" s="46" t="e">
        <f>MATCH(F566*Calc!$R$12,Calc!$K$1:$K$774,1)</f>
        <v>#N/A</v>
      </c>
      <c r="H566" s="46" t="e">
        <f>INDEX(Calc!$K$1:$K$774,G566)</f>
        <v>#N/A</v>
      </c>
      <c r="I566" s="46" t="e">
        <f>H566+Calc!K566</f>
        <v>#N/A</v>
      </c>
      <c r="J566" s="46" t="e">
        <f>ABS(Show!$A$4-I566)/(Show!$A$4/100)</f>
        <v>#N/A</v>
      </c>
      <c r="K566" s="45">
        <f>INDEX(Calc!L566:P566,Show!$B$4)</f>
        <v>68100</v>
      </c>
      <c r="L566" s="46">
        <f t="shared" si="470"/>
        <v>68100</v>
      </c>
      <c r="M566" s="46">
        <f>L566</f>
        <v>68100</v>
      </c>
      <c r="N566" s="46">
        <f>L566</f>
        <v>68100</v>
      </c>
      <c r="O566" s="46">
        <f t="shared" si="471"/>
        <v>68000</v>
      </c>
      <c r="P566" s="46">
        <f t="shared" ref="P566" si="487">O562</f>
        <v>68000</v>
      </c>
    </row>
    <row r="567" spans="1:16" x14ac:dyDescent="0.25">
      <c r="A567" s="45">
        <f>1/((1/Show!$A$4)-(1/Calc!K567))</f>
        <v>40.023508668821627</v>
      </c>
      <c r="B567" s="45">
        <f>MATCH(A567*Calc!$R$12,Calc!$K$1:$K$774,1)</f>
        <v>256</v>
      </c>
      <c r="C567" s="45">
        <f>INDEX(Calc!$K$1:$K$774,B567)</f>
        <v>38.299999999999997</v>
      </c>
      <c r="D567" s="45">
        <f>1/(1/C567+1/Calc!K567)</f>
        <v>38.278471872647245</v>
      </c>
      <c r="E567" s="45">
        <f>ABS(Show!$A$4-D567)/(Show!$A$4/100)</f>
        <v>4.3038203183818879</v>
      </c>
      <c r="F567" s="46">
        <f>Show!$A$4-Calc!L567</f>
        <v>-69760</v>
      </c>
      <c r="G567" s="46" t="e">
        <f>MATCH(F567*Calc!$R$12,Calc!$K$1:$K$774,1)</f>
        <v>#N/A</v>
      </c>
      <c r="H567" s="46" t="e">
        <f>INDEX(Calc!$K$1:$K$774,G567)</f>
        <v>#N/A</v>
      </c>
      <c r="I567" s="46" t="e">
        <f>H567+Calc!K567</f>
        <v>#N/A</v>
      </c>
      <c r="J567" s="46" t="e">
        <f>ABS(Show!$A$4-I567)/(Show!$A$4/100)</f>
        <v>#N/A</v>
      </c>
      <c r="K567" s="45">
        <f>INDEX(Calc!L567:P567,Show!$B$4)</f>
        <v>68100</v>
      </c>
      <c r="L567" s="46">
        <f t="shared" si="470"/>
        <v>69800</v>
      </c>
      <c r="M567" s="46">
        <f>L566</f>
        <v>68100</v>
      </c>
      <c r="N567" s="46">
        <f>L566</f>
        <v>68100</v>
      </c>
      <c r="O567" s="46">
        <f t="shared" si="471"/>
        <v>68000</v>
      </c>
      <c r="P567" s="46">
        <f t="shared" ref="P567" si="488">O562</f>
        <v>68000</v>
      </c>
    </row>
    <row r="568" spans="1:16" x14ac:dyDescent="0.25">
      <c r="A568" s="45">
        <f>1/((1/Show!$A$4)-(1/Calc!K568))</f>
        <v>40.023508668821627</v>
      </c>
      <c r="B568" s="45">
        <f>MATCH(A568*Calc!$R$12,Calc!$K$1:$K$774,1)</f>
        <v>256</v>
      </c>
      <c r="C568" s="45">
        <f>INDEX(Calc!$K$1:$K$774,B568)</f>
        <v>38.299999999999997</v>
      </c>
      <c r="D568" s="45">
        <f>1/(1/C568+1/Calc!K568)</f>
        <v>38.278471872647245</v>
      </c>
      <c r="E568" s="45">
        <f>ABS(Show!$A$4-D568)/(Show!$A$4/100)</f>
        <v>4.3038203183818879</v>
      </c>
      <c r="F568" s="46">
        <f>Show!$A$4-Calc!L568</f>
        <v>-71460</v>
      </c>
      <c r="G568" s="46" t="e">
        <f>MATCH(F568*Calc!$R$12,Calc!$K$1:$K$774,1)</f>
        <v>#N/A</v>
      </c>
      <c r="H568" s="46" t="e">
        <f>INDEX(Calc!$K$1:$K$774,G568)</f>
        <v>#N/A</v>
      </c>
      <c r="I568" s="46" t="e">
        <f>H568+Calc!K568</f>
        <v>#N/A</v>
      </c>
      <c r="J568" s="46" t="e">
        <f>ABS(Show!$A$4-I568)/(Show!$A$4/100)</f>
        <v>#N/A</v>
      </c>
      <c r="K568" s="45">
        <f>INDEX(Calc!L568:P568,Show!$B$4)</f>
        <v>68100</v>
      </c>
      <c r="L568" s="46">
        <f t="shared" si="470"/>
        <v>71500</v>
      </c>
      <c r="M568" s="46">
        <f>L568</f>
        <v>71500</v>
      </c>
      <c r="N568" s="46">
        <f>L566</f>
        <v>68100</v>
      </c>
      <c r="O568" s="46">
        <f t="shared" si="471"/>
        <v>68000</v>
      </c>
      <c r="P568" s="46">
        <f t="shared" ref="P568" si="489">O562</f>
        <v>68000</v>
      </c>
    </row>
    <row r="569" spans="1:16" x14ac:dyDescent="0.25">
      <c r="A569" s="45">
        <f>1/((1/Show!$A$4)-(1/Calc!K569))</f>
        <v>40.021344717182494</v>
      </c>
      <c r="B569" s="45">
        <f>MATCH(A569*Calc!$R$12,Calc!$K$1:$K$774,1)</f>
        <v>256</v>
      </c>
      <c r="C569" s="45">
        <f>INDEX(Calc!$K$1:$K$774,B569)</f>
        <v>38.299999999999997</v>
      </c>
      <c r="D569" s="45">
        <f>1/(1/C569+1/Calc!K569)</f>
        <v>38.280451449459804</v>
      </c>
      <c r="E569" s="45">
        <f>ABS(Show!$A$4-D569)/(Show!$A$4/100)</f>
        <v>4.2988713763504904</v>
      </c>
      <c r="F569" s="46">
        <f>Show!$A$4-Calc!L569</f>
        <v>-73160</v>
      </c>
      <c r="G569" s="46" t="e">
        <f>MATCH(F569*Calc!$R$12,Calc!$K$1:$K$774,1)</f>
        <v>#N/A</v>
      </c>
      <c r="H569" s="46" t="e">
        <f>INDEX(Calc!$K$1:$K$774,G569)</f>
        <v>#N/A</v>
      </c>
      <c r="I569" s="46" t="e">
        <f>H569+Calc!K569</f>
        <v>#N/A</v>
      </c>
      <c r="J569" s="46" t="e">
        <f>ABS(Show!$A$4-I569)/(Show!$A$4/100)</f>
        <v>#N/A</v>
      </c>
      <c r="K569" s="45">
        <f>INDEX(Calc!L569:P569,Show!$B$4)</f>
        <v>75000</v>
      </c>
      <c r="L569" s="46">
        <f t="shared" si="470"/>
        <v>73200</v>
      </c>
      <c r="M569" s="46">
        <f>L568</f>
        <v>71500</v>
      </c>
      <c r="N569" s="46">
        <f>L570</f>
        <v>75000</v>
      </c>
      <c r="O569" s="46">
        <f t="shared" si="471"/>
        <v>68000</v>
      </c>
      <c r="P569" s="46">
        <f t="shared" ref="P569" si="490">O562</f>
        <v>68000</v>
      </c>
    </row>
    <row r="570" spans="1:16" x14ac:dyDescent="0.25">
      <c r="A570" s="45">
        <f>1/((1/Show!$A$4)-(1/Calc!K570))</f>
        <v>40.021344717182494</v>
      </c>
      <c r="B570" s="45">
        <f>MATCH(A570*Calc!$R$12,Calc!$K$1:$K$774,1)</f>
        <v>256</v>
      </c>
      <c r="C570" s="45">
        <f>INDEX(Calc!$K$1:$K$774,B570)</f>
        <v>38.299999999999997</v>
      </c>
      <c r="D570" s="45">
        <f>1/(1/C570+1/Calc!K570)</f>
        <v>38.280451449459804</v>
      </c>
      <c r="E570" s="45">
        <f>ABS(Show!$A$4-D570)/(Show!$A$4/100)</f>
        <v>4.2988713763504904</v>
      </c>
      <c r="F570" s="46">
        <f>Show!$A$4-Calc!L570</f>
        <v>-74960</v>
      </c>
      <c r="G570" s="46" t="e">
        <f>MATCH(F570*Calc!$R$12,Calc!$K$1:$K$774,1)</f>
        <v>#N/A</v>
      </c>
      <c r="H570" s="46" t="e">
        <f>INDEX(Calc!$K$1:$K$774,G570)</f>
        <v>#N/A</v>
      </c>
      <c r="I570" s="46" t="e">
        <f>H570+Calc!K570</f>
        <v>#N/A</v>
      </c>
      <c r="J570" s="46" t="e">
        <f>ABS(Show!$A$4-I570)/(Show!$A$4/100)</f>
        <v>#N/A</v>
      </c>
      <c r="K570" s="45">
        <f>INDEX(Calc!L570:P570,Show!$B$4)</f>
        <v>75000</v>
      </c>
      <c r="L570" s="46">
        <f t="shared" si="470"/>
        <v>75000</v>
      </c>
      <c r="M570" s="46">
        <f>L570</f>
        <v>75000</v>
      </c>
      <c r="N570" s="46">
        <f>L570</f>
        <v>75000</v>
      </c>
      <c r="O570" s="46">
        <f t="shared" si="471"/>
        <v>82000</v>
      </c>
      <c r="P570" s="46">
        <f t="shared" ref="P570" si="491">O562</f>
        <v>68000</v>
      </c>
    </row>
    <row r="571" spans="1:16" x14ac:dyDescent="0.25">
      <c r="A571" s="45">
        <f>1/((1/Show!$A$4)-(1/Calc!K571))</f>
        <v>40.021344717182494</v>
      </c>
      <c r="B571" s="45">
        <f>MATCH(A571*Calc!$R$12,Calc!$K$1:$K$774,1)</f>
        <v>256</v>
      </c>
      <c r="C571" s="45">
        <f>INDEX(Calc!$K$1:$K$774,B571)</f>
        <v>38.299999999999997</v>
      </c>
      <c r="D571" s="45">
        <f>1/(1/C571+1/Calc!K571)</f>
        <v>38.280451449459804</v>
      </c>
      <c r="E571" s="45">
        <f>ABS(Show!$A$4-D571)/(Show!$A$4/100)</f>
        <v>4.2988713763504904</v>
      </c>
      <c r="F571" s="46">
        <f>Show!$A$4-Calc!L571</f>
        <v>-76760</v>
      </c>
      <c r="G571" s="46" t="e">
        <f>MATCH(F571*Calc!$R$12,Calc!$K$1:$K$774,1)</f>
        <v>#N/A</v>
      </c>
      <c r="H571" s="46" t="e">
        <f>INDEX(Calc!$K$1:$K$774,G571)</f>
        <v>#N/A</v>
      </c>
      <c r="I571" s="46" t="e">
        <f>H571+Calc!K571</f>
        <v>#N/A</v>
      </c>
      <c r="J571" s="46" t="e">
        <f>ABS(Show!$A$4-I571)/(Show!$A$4/100)</f>
        <v>#N/A</v>
      </c>
      <c r="K571" s="45">
        <f>INDEX(Calc!L571:P571,Show!$B$4)</f>
        <v>75000</v>
      </c>
      <c r="L571" s="46">
        <f t="shared" si="470"/>
        <v>76800</v>
      </c>
      <c r="M571" s="46">
        <f>L570</f>
        <v>75000</v>
      </c>
      <c r="N571" s="46">
        <f>L570</f>
        <v>75000</v>
      </c>
      <c r="O571" s="46">
        <f t="shared" si="471"/>
        <v>82000</v>
      </c>
      <c r="P571" s="46">
        <f t="shared" ref="P571" si="492">O562</f>
        <v>68000</v>
      </c>
    </row>
    <row r="572" spans="1:16" x14ac:dyDescent="0.25">
      <c r="A572" s="45">
        <f>1/((1/Show!$A$4)-(1/Calc!K572))</f>
        <v>40.021344717182494</v>
      </c>
      <c r="B572" s="45">
        <f>MATCH(A572*Calc!$R$12,Calc!$K$1:$K$774,1)</f>
        <v>256</v>
      </c>
      <c r="C572" s="45">
        <f>INDEX(Calc!$K$1:$K$774,B572)</f>
        <v>38.299999999999997</v>
      </c>
      <c r="D572" s="45">
        <f>1/(1/C572+1/Calc!K572)</f>
        <v>38.280451449459804</v>
      </c>
      <c r="E572" s="45">
        <f>ABS(Show!$A$4-D572)/(Show!$A$4/100)</f>
        <v>4.2988713763504904</v>
      </c>
      <c r="F572" s="46">
        <f>Show!$A$4-Calc!L572</f>
        <v>-78660</v>
      </c>
      <c r="G572" s="46" t="e">
        <f>MATCH(F572*Calc!$R$12,Calc!$K$1:$K$774,1)</f>
        <v>#N/A</v>
      </c>
      <c r="H572" s="46" t="e">
        <f>INDEX(Calc!$K$1:$K$774,G572)</f>
        <v>#N/A</v>
      </c>
      <c r="I572" s="46" t="e">
        <f>H572+Calc!K572</f>
        <v>#N/A</v>
      </c>
      <c r="J572" s="46" t="e">
        <f>ABS(Show!$A$4-I572)/(Show!$A$4/100)</f>
        <v>#N/A</v>
      </c>
      <c r="K572" s="45">
        <f>INDEX(Calc!L572:P572,Show!$B$4)</f>
        <v>75000</v>
      </c>
      <c r="L572" s="46">
        <f t="shared" si="470"/>
        <v>78700</v>
      </c>
      <c r="M572" s="46">
        <f>L572</f>
        <v>78700</v>
      </c>
      <c r="N572" s="46">
        <f>L570</f>
        <v>75000</v>
      </c>
      <c r="O572" s="46">
        <f t="shared" si="471"/>
        <v>82000</v>
      </c>
      <c r="P572" s="46">
        <f t="shared" ref="P572" si="493">O562</f>
        <v>68000</v>
      </c>
    </row>
    <row r="573" spans="1:16" x14ac:dyDescent="0.25">
      <c r="A573" s="45">
        <f>1/((1/Show!$A$4)-(1/Calc!K573))</f>
        <v>40.019403347077372</v>
      </c>
      <c r="B573" s="45">
        <f>MATCH(A573*Calc!$R$12,Calc!$K$1:$K$774,1)</f>
        <v>256</v>
      </c>
      <c r="C573" s="45">
        <f>INDEX(Calc!$K$1:$K$774,B573)</f>
        <v>38.299999999999997</v>
      </c>
      <c r="D573" s="45">
        <f>1/(1/C573+1/Calc!K573)</f>
        <v>38.282227765776611</v>
      </c>
      <c r="E573" s="45">
        <f>ABS(Show!$A$4-D573)/(Show!$A$4/100)</f>
        <v>4.294430585558473</v>
      </c>
      <c r="F573" s="46">
        <f>Show!$A$4-Calc!L573</f>
        <v>-80560</v>
      </c>
      <c r="G573" s="46" t="e">
        <f>MATCH(F573*Calc!$R$12,Calc!$K$1:$K$774,1)</f>
        <v>#N/A</v>
      </c>
      <c r="H573" s="46" t="e">
        <f>INDEX(Calc!$K$1:$K$774,G573)</f>
        <v>#N/A</v>
      </c>
      <c r="I573" s="46" t="e">
        <f>H573+Calc!K573</f>
        <v>#N/A</v>
      </c>
      <c r="J573" s="46" t="e">
        <f>ABS(Show!$A$4-I573)/(Show!$A$4/100)</f>
        <v>#N/A</v>
      </c>
      <c r="K573" s="45">
        <f>INDEX(Calc!L573:P573,Show!$B$4)</f>
        <v>82500</v>
      </c>
      <c r="L573" s="46">
        <f t="shared" si="470"/>
        <v>80600</v>
      </c>
      <c r="M573" s="46">
        <f>L572</f>
        <v>78700</v>
      </c>
      <c r="N573" s="46">
        <f>L574</f>
        <v>82500</v>
      </c>
      <c r="O573" s="46">
        <f t="shared" si="471"/>
        <v>82000</v>
      </c>
      <c r="P573" s="46">
        <f t="shared" ref="P573" si="494">O562</f>
        <v>68000</v>
      </c>
    </row>
    <row r="574" spans="1:16" x14ac:dyDescent="0.25">
      <c r="A574" s="45">
        <f>1/((1/Show!$A$4)-(1/Calc!K574))</f>
        <v>40.019403347077372</v>
      </c>
      <c r="B574" s="45">
        <f>MATCH(A574*Calc!$R$12,Calc!$K$1:$K$774,1)</f>
        <v>256</v>
      </c>
      <c r="C574" s="45">
        <f>INDEX(Calc!$K$1:$K$774,B574)</f>
        <v>38.299999999999997</v>
      </c>
      <c r="D574" s="45">
        <f>1/(1/C574+1/Calc!K574)</f>
        <v>38.282227765776611</v>
      </c>
      <c r="E574" s="45">
        <f>ABS(Show!$A$4-D574)/(Show!$A$4/100)</f>
        <v>4.294430585558473</v>
      </c>
      <c r="F574" s="46">
        <f>Show!$A$4-Calc!L574</f>
        <v>-82460</v>
      </c>
      <c r="G574" s="46" t="e">
        <f>MATCH(F574*Calc!$R$12,Calc!$K$1:$K$774,1)</f>
        <v>#N/A</v>
      </c>
      <c r="H574" s="46" t="e">
        <f>INDEX(Calc!$K$1:$K$774,G574)</f>
        <v>#N/A</v>
      </c>
      <c r="I574" s="46" t="e">
        <f>H574+Calc!K574</f>
        <v>#N/A</v>
      </c>
      <c r="J574" s="46" t="e">
        <f>ABS(Show!$A$4-I574)/(Show!$A$4/100)</f>
        <v>#N/A</v>
      </c>
      <c r="K574" s="45">
        <f>INDEX(Calc!L574:P574,Show!$B$4)</f>
        <v>82500</v>
      </c>
      <c r="L574" s="46">
        <f t="shared" si="470"/>
        <v>82500</v>
      </c>
      <c r="M574" s="46">
        <f>L574</f>
        <v>82500</v>
      </c>
      <c r="N574" s="46">
        <f>L574</f>
        <v>82500</v>
      </c>
      <c r="O574" s="46">
        <f t="shared" si="471"/>
        <v>82000</v>
      </c>
      <c r="P574" s="46">
        <f t="shared" ref="P574" si="495">O578</f>
        <v>100000</v>
      </c>
    </row>
    <row r="575" spans="1:16" x14ac:dyDescent="0.25">
      <c r="A575" s="45">
        <f>1/((1/Show!$A$4)-(1/Calc!K575))</f>
        <v>40.019403347077372</v>
      </c>
      <c r="B575" s="45">
        <f>MATCH(A575*Calc!$R$12,Calc!$K$1:$K$774,1)</f>
        <v>256</v>
      </c>
      <c r="C575" s="45">
        <f>INDEX(Calc!$K$1:$K$774,B575)</f>
        <v>38.299999999999997</v>
      </c>
      <c r="D575" s="45">
        <f>1/(1/C575+1/Calc!K575)</f>
        <v>38.282227765776611</v>
      </c>
      <c r="E575" s="45">
        <f>ABS(Show!$A$4-D575)/(Show!$A$4/100)</f>
        <v>4.294430585558473</v>
      </c>
      <c r="F575" s="46">
        <f>Show!$A$4-Calc!L575</f>
        <v>-84460</v>
      </c>
      <c r="G575" s="46" t="e">
        <f>MATCH(F575*Calc!$R$12,Calc!$K$1:$K$774,1)</f>
        <v>#N/A</v>
      </c>
      <c r="H575" s="46" t="e">
        <f>INDEX(Calc!$K$1:$K$774,G575)</f>
        <v>#N/A</v>
      </c>
      <c r="I575" s="46" t="e">
        <f>H575+Calc!K575</f>
        <v>#N/A</v>
      </c>
      <c r="J575" s="46" t="e">
        <f>ABS(Show!$A$4-I575)/(Show!$A$4/100)</f>
        <v>#N/A</v>
      </c>
      <c r="K575" s="45">
        <f>INDEX(Calc!L575:P575,Show!$B$4)</f>
        <v>82500</v>
      </c>
      <c r="L575" s="46">
        <f t="shared" si="470"/>
        <v>84500</v>
      </c>
      <c r="M575" s="46">
        <f>L574</f>
        <v>82500</v>
      </c>
      <c r="N575" s="46">
        <f>L574</f>
        <v>82500</v>
      </c>
      <c r="O575" s="46">
        <f t="shared" si="471"/>
        <v>82000</v>
      </c>
      <c r="P575" s="46">
        <f t="shared" ref="P575" si="496">O578</f>
        <v>100000</v>
      </c>
    </row>
    <row r="576" spans="1:16" x14ac:dyDescent="0.25">
      <c r="A576" s="45">
        <f>1/((1/Show!$A$4)-(1/Calc!K576))</f>
        <v>40.019403347077372</v>
      </c>
      <c r="B576" s="45">
        <f>MATCH(A576*Calc!$R$12,Calc!$K$1:$K$774,1)</f>
        <v>256</v>
      </c>
      <c r="C576" s="45">
        <f>INDEX(Calc!$K$1:$K$774,B576)</f>
        <v>38.299999999999997</v>
      </c>
      <c r="D576" s="45">
        <f>1/(1/C576+1/Calc!K576)</f>
        <v>38.282227765776611</v>
      </c>
      <c r="E576" s="45">
        <f>ABS(Show!$A$4-D576)/(Show!$A$4/100)</f>
        <v>4.294430585558473</v>
      </c>
      <c r="F576" s="46">
        <f>Show!$A$4-Calc!L576</f>
        <v>-86560</v>
      </c>
      <c r="G576" s="46" t="e">
        <f>MATCH(F576*Calc!$R$12,Calc!$K$1:$K$774,1)</f>
        <v>#N/A</v>
      </c>
      <c r="H576" s="46" t="e">
        <f>INDEX(Calc!$K$1:$K$774,G576)</f>
        <v>#N/A</v>
      </c>
      <c r="I576" s="46" t="e">
        <f>H576+Calc!K576</f>
        <v>#N/A</v>
      </c>
      <c r="J576" s="46" t="e">
        <f>ABS(Show!$A$4-I576)/(Show!$A$4/100)</f>
        <v>#N/A</v>
      </c>
      <c r="K576" s="45">
        <f>INDEX(Calc!L576:P576,Show!$B$4)</f>
        <v>82500</v>
      </c>
      <c r="L576" s="46">
        <f t="shared" si="470"/>
        <v>86600</v>
      </c>
      <c r="M576" s="46">
        <f>L576</f>
        <v>86600</v>
      </c>
      <c r="N576" s="46">
        <f>L574</f>
        <v>82500</v>
      </c>
      <c r="O576" s="46">
        <f t="shared" si="471"/>
        <v>82000</v>
      </c>
      <c r="P576" s="46">
        <f t="shared" ref="P576" si="497">O578</f>
        <v>100000</v>
      </c>
    </row>
    <row r="577" spans="1:18" x14ac:dyDescent="0.25">
      <c r="A577" s="45">
        <f>1/((1/Show!$A$4)-(1/Calc!K577))</f>
        <v>40.017609509134928</v>
      </c>
      <c r="B577" s="45">
        <f>MATCH(A577*Calc!$R$12,Calc!$K$1:$K$774,1)</f>
        <v>256</v>
      </c>
      <c r="C577" s="45">
        <f>INDEX(Calc!$K$1:$K$774,B577)</f>
        <v>38.299999999999997</v>
      </c>
      <c r="D577" s="45">
        <f>1/(1/C577+1/Calc!K577)</f>
        <v>38.283869392764103</v>
      </c>
      <c r="E577" s="45">
        <f>ABS(Show!$A$4-D577)/(Show!$A$4/100)</f>
        <v>4.2903265180897421</v>
      </c>
      <c r="F577" s="46">
        <f>Show!$A$4-Calc!L577</f>
        <v>-88660</v>
      </c>
      <c r="G577" s="46" t="e">
        <f>MATCH(F577*Calc!$R$12,Calc!$K$1:$K$774,1)</f>
        <v>#N/A</v>
      </c>
      <c r="H577" s="46" t="e">
        <f>INDEX(Calc!$K$1:$K$774,G577)</f>
        <v>#N/A</v>
      </c>
      <c r="I577" s="46" t="e">
        <f>H577+Calc!K577</f>
        <v>#N/A</v>
      </c>
      <c r="J577" s="46" t="e">
        <f>ABS(Show!$A$4-I577)/(Show!$A$4/100)</f>
        <v>#N/A</v>
      </c>
      <c r="K577" s="45">
        <f>INDEX(Calc!L577:P577,Show!$B$4)</f>
        <v>90900</v>
      </c>
      <c r="L577" s="46">
        <f t="shared" si="470"/>
        <v>88700</v>
      </c>
      <c r="M577" s="46">
        <f>L576</f>
        <v>86600</v>
      </c>
      <c r="N577" s="46">
        <f>L578</f>
        <v>90900</v>
      </c>
      <c r="O577" s="46">
        <f t="shared" si="471"/>
        <v>82000</v>
      </c>
      <c r="P577" s="46">
        <f t="shared" ref="P577" si="498">O578</f>
        <v>100000</v>
      </c>
    </row>
    <row r="578" spans="1:18" x14ac:dyDescent="0.25">
      <c r="A578" s="45">
        <f>1/((1/Show!$A$4)-(1/Calc!K578))</f>
        <v>40.017609509134928</v>
      </c>
      <c r="B578" s="45">
        <f>MATCH(A578*Calc!$R$12,Calc!$K$1:$K$774,1)</f>
        <v>256</v>
      </c>
      <c r="C578" s="45">
        <f>INDEX(Calc!$K$1:$K$774,B578)</f>
        <v>38.299999999999997</v>
      </c>
      <c r="D578" s="45">
        <f>1/(1/C578+1/Calc!K578)</f>
        <v>38.283869392764103</v>
      </c>
      <c r="E578" s="45">
        <f>ABS(Show!$A$4-D578)/(Show!$A$4/100)</f>
        <v>4.2903265180897421</v>
      </c>
      <c r="F578" s="46">
        <f>Show!$A$4-Calc!L578</f>
        <v>-90860</v>
      </c>
      <c r="G578" s="46" t="e">
        <f>MATCH(F578*Calc!$R$12,Calc!$K$1:$K$774,1)</f>
        <v>#N/A</v>
      </c>
      <c r="H578" s="46" t="e">
        <f>INDEX(Calc!$K$1:$K$774,G578)</f>
        <v>#N/A</v>
      </c>
      <c r="I578" s="46" t="e">
        <f>H578+Calc!K578</f>
        <v>#N/A</v>
      </c>
      <c r="J578" s="46" t="e">
        <f>ABS(Show!$A$4-I578)/(Show!$A$4/100)</f>
        <v>#N/A</v>
      </c>
      <c r="K578" s="45">
        <f>INDEX(Calc!L578:P578,Show!$B$4)</f>
        <v>90900</v>
      </c>
      <c r="L578" s="46">
        <f t="shared" si="470"/>
        <v>90900</v>
      </c>
      <c r="M578" s="46">
        <f>L578</f>
        <v>90900</v>
      </c>
      <c r="N578" s="46">
        <f>L578</f>
        <v>90900</v>
      </c>
      <c r="O578" s="46">
        <f t="shared" si="471"/>
        <v>100000</v>
      </c>
      <c r="P578" s="46">
        <f t="shared" ref="P578" si="499">O578</f>
        <v>100000</v>
      </c>
    </row>
    <row r="579" spans="1:18" x14ac:dyDescent="0.25">
      <c r="A579" s="45">
        <f>1/((1/Show!$A$4)-(1/Calc!K579))</f>
        <v>40.017609509134928</v>
      </c>
      <c r="B579" s="45">
        <f>MATCH(A579*Calc!$R$12,Calc!$K$1:$K$774,1)</f>
        <v>256</v>
      </c>
      <c r="C579" s="45">
        <f>INDEX(Calc!$K$1:$K$774,B579)</f>
        <v>38.299999999999997</v>
      </c>
      <c r="D579" s="45">
        <f>1/(1/C579+1/Calc!K579)</f>
        <v>38.283869392764103</v>
      </c>
      <c r="E579" s="45">
        <f>ABS(Show!$A$4-D579)/(Show!$A$4/100)</f>
        <v>4.2903265180897421</v>
      </c>
      <c r="F579" s="46">
        <f>Show!$A$4-Calc!L579</f>
        <v>-93060</v>
      </c>
      <c r="G579" s="46" t="e">
        <f>MATCH(F579*Calc!$R$12,Calc!$K$1:$K$774,1)</f>
        <v>#N/A</v>
      </c>
      <c r="H579" s="46" t="e">
        <f>INDEX(Calc!$K$1:$K$774,G579)</f>
        <v>#N/A</v>
      </c>
      <c r="I579" s="46" t="e">
        <f>H579+Calc!K579</f>
        <v>#N/A</v>
      </c>
      <c r="J579" s="46" t="e">
        <f>ABS(Show!$A$4-I579)/(Show!$A$4/100)</f>
        <v>#N/A</v>
      </c>
      <c r="K579" s="45">
        <f>INDEX(Calc!L579:P579,Show!$B$4)</f>
        <v>90900</v>
      </c>
      <c r="L579" s="46">
        <f t="shared" si="470"/>
        <v>93100</v>
      </c>
      <c r="M579" s="46">
        <f>L578</f>
        <v>90900</v>
      </c>
      <c r="N579" s="46">
        <f>L578</f>
        <v>90900</v>
      </c>
      <c r="O579" s="46">
        <f t="shared" si="471"/>
        <v>100000</v>
      </c>
      <c r="P579" s="46">
        <f t="shared" ref="P579" si="500">O578</f>
        <v>100000</v>
      </c>
    </row>
    <row r="580" spans="1:18" x14ac:dyDescent="0.25">
      <c r="A580" s="45">
        <f>1/((1/Show!$A$4)-(1/Calc!K580))</f>
        <v>40.017609509134928</v>
      </c>
      <c r="B580" s="45">
        <f>MATCH(A580*Calc!$R$12,Calc!$K$1:$K$774,1)</f>
        <v>256</v>
      </c>
      <c r="C580" s="45">
        <f>INDEX(Calc!$K$1:$K$774,B580)</f>
        <v>38.299999999999997</v>
      </c>
      <c r="D580" s="45">
        <f>1/(1/C580+1/Calc!K580)</f>
        <v>38.283869392764103</v>
      </c>
      <c r="E580" s="45">
        <f>ABS(Show!$A$4-D580)/(Show!$A$4/100)</f>
        <v>4.2903265180897421</v>
      </c>
      <c r="F580" s="46">
        <f>Show!$A$4-Calc!L580</f>
        <v>-95260</v>
      </c>
      <c r="G580" s="46" t="e">
        <f>MATCH(F580*Calc!$R$12,Calc!$K$1:$K$774,1)</f>
        <v>#N/A</v>
      </c>
      <c r="H580" s="46" t="e">
        <f>INDEX(Calc!$K$1:$K$774,G580)</f>
        <v>#N/A</v>
      </c>
      <c r="I580" s="46" t="e">
        <f>H580+Calc!K580</f>
        <v>#N/A</v>
      </c>
      <c r="J580" s="46" t="e">
        <f>ABS(Show!$A$4-I580)/(Show!$A$4/100)</f>
        <v>#N/A</v>
      </c>
      <c r="K580" s="45">
        <f>INDEX(Calc!L580:P580,Show!$B$4)</f>
        <v>90900</v>
      </c>
      <c r="L580" s="46">
        <f t="shared" si="470"/>
        <v>95300</v>
      </c>
      <c r="M580" s="46">
        <f>L580</f>
        <v>95300</v>
      </c>
      <c r="N580" s="46">
        <f>L578</f>
        <v>90900</v>
      </c>
      <c r="O580" s="46">
        <f t="shared" si="471"/>
        <v>100000</v>
      </c>
      <c r="P580" s="46">
        <f t="shared" ref="P580" si="501">O578</f>
        <v>100000</v>
      </c>
    </row>
    <row r="581" spans="1:18" s="43" customFormat="1" ht="15.75" thickBot="1" x14ac:dyDescent="0.3">
      <c r="A581" s="47">
        <f>1/((1/Show!$A$4)-(1/Calc!K581))</f>
        <v>40.016006402561018</v>
      </c>
      <c r="B581" s="47">
        <f>MATCH(A581*Calc!$R$12,Calc!$K$1:$K$774,1)</f>
        <v>256</v>
      </c>
      <c r="C581" s="47">
        <f>INDEX(Calc!$K$1:$K$774,B581)</f>
        <v>38.299999999999997</v>
      </c>
      <c r="D581" s="47">
        <f>1/(1/C581+1/Calc!K581)</f>
        <v>38.285336716037754</v>
      </c>
      <c r="E581" s="47">
        <f>ABS(Show!$A$4-D581)/(Show!$A$4/100)</f>
        <v>4.2866582099056139</v>
      </c>
      <c r="F581" s="48">
        <f>Show!$A$4-Calc!L581</f>
        <v>-97560</v>
      </c>
      <c r="G581" s="48" t="e">
        <f>MATCH(F581*Calc!$R$12,Calc!$K$1:$K$774,1)</f>
        <v>#N/A</v>
      </c>
      <c r="H581" s="48" t="e">
        <f>INDEX(Calc!$K$1:$K$774,G581)</f>
        <v>#N/A</v>
      </c>
      <c r="I581" s="48" t="e">
        <f>H581+Calc!K581</f>
        <v>#N/A</v>
      </c>
      <c r="J581" s="48" t="e">
        <f>ABS(Show!$A$4-I581)/(Show!$A$4/100)</f>
        <v>#N/A</v>
      </c>
      <c r="K581" s="47">
        <f>INDEX(Calc!L581:P581,Show!$B$4)</f>
        <v>100000</v>
      </c>
      <c r="L581" s="48">
        <f t="shared" si="470"/>
        <v>97600</v>
      </c>
      <c r="M581" s="48">
        <f>L580</f>
        <v>95300</v>
      </c>
      <c r="N581" s="48">
        <f>L582</f>
        <v>100000</v>
      </c>
      <c r="O581" s="48">
        <f t="shared" si="471"/>
        <v>100000</v>
      </c>
      <c r="P581" s="48">
        <f t="shared" ref="P581" si="502">O578</f>
        <v>100000</v>
      </c>
      <c r="Q581" s="47"/>
      <c r="R581" s="47"/>
    </row>
    <row r="582" spans="1:18" ht="15.75" thickTop="1" x14ac:dyDescent="0.25">
      <c r="A582" s="45">
        <f>1/((1/Show!$A$4)-(1/Calc!K582))</f>
        <v>40.016006402561018</v>
      </c>
      <c r="B582" s="45">
        <f>MATCH(A582*Calc!$R$12,Calc!$K$1:$K$774,1)</f>
        <v>256</v>
      </c>
      <c r="C582" s="45">
        <f>INDEX(Calc!$K$1:$K$774,B582)</f>
        <v>38.299999999999997</v>
      </c>
      <c r="D582" s="45">
        <f>1/(1/C582+1/Calc!K582)</f>
        <v>38.285336716037754</v>
      </c>
      <c r="E582" s="45">
        <f>ABS(Show!$A$4-D582)/(Show!$A$4/100)</f>
        <v>4.2866582099056139</v>
      </c>
      <c r="F582" s="46">
        <f>Show!$A$4-Calc!L582</f>
        <v>-99960</v>
      </c>
      <c r="G582" s="46" t="e">
        <f>MATCH(F582*Calc!$R$12,Calc!$K$1:$K$774,1)</f>
        <v>#N/A</v>
      </c>
      <c r="H582" s="46" t="e">
        <f>INDEX(Calc!$K$1:$K$774,G582)</f>
        <v>#N/A</v>
      </c>
      <c r="I582" s="46" t="e">
        <f>H582+Calc!K582</f>
        <v>#N/A</v>
      </c>
      <c r="J582" s="46" t="e">
        <f>ABS(Show!$A$4-I582)/(Show!$A$4/100)</f>
        <v>#N/A</v>
      </c>
      <c r="K582" s="45">
        <f>INDEX(Calc!L582:P582,Show!$B$4)</f>
        <v>100000</v>
      </c>
      <c r="L582" s="46">
        <f>L6*1000000</f>
        <v>100000</v>
      </c>
      <c r="M582" s="46">
        <f>L582</f>
        <v>100000</v>
      </c>
      <c r="N582" s="46">
        <f>L582</f>
        <v>100000</v>
      </c>
      <c r="O582" s="46">
        <f>O6*1000000</f>
        <v>100000</v>
      </c>
      <c r="P582" s="46">
        <f t="shared" ref="P582" si="503">O582</f>
        <v>100000</v>
      </c>
    </row>
    <row r="583" spans="1:18" x14ac:dyDescent="0.25">
      <c r="A583" s="45">
        <f>1/((1/Show!$A$4)-(1/Calc!K583))</f>
        <v>40.016006402561018</v>
      </c>
      <c r="B583" s="45">
        <f>MATCH(A583*Calc!$R$12,Calc!$K$1:$K$774,1)</f>
        <v>256</v>
      </c>
      <c r="C583" s="45">
        <f>INDEX(Calc!$K$1:$K$774,B583)</f>
        <v>38.299999999999997</v>
      </c>
      <c r="D583" s="45">
        <f>1/(1/C583+1/Calc!K583)</f>
        <v>38.285336716037754</v>
      </c>
      <c r="E583" s="45">
        <f>ABS(Show!$A$4-D583)/(Show!$A$4/100)</f>
        <v>4.2866582099056139</v>
      </c>
      <c r="F583" s="46">
        <f>Show!$A$4-Calc!L583</f>
        <v>-101960</v>
      </c>
      <c r="G583" s="46" t="e">
        <f>MATCH(F583*Calc!$R$12,Calc!$K$1:$K$774,1)</f>
        <v>#N/A</v>
      </c>
      <c r="H583" s="46" t="e">
        <f>INDEX(Calc!$K$1:$K$774,G583)</f>
        <v>#N/A</v>
      </c>
      <c r="I583" s="46" t="e">
        <f>H583+Calc!K583</f>
        <v>#N/A</v>
      </c>
      <c r="J583" s="46" t="e">
        <f>ABS(Show!$A$4-I583)/(Show!$A$4/100)</f>
        <v>#N/A</v>
      </c>
      <c r="K583" s="45">
        <f>INDEX(Calc!L583:P583,Show!$B$4)</f>
        <v>100000</v>
      </c>
      <c r="L583" s="46">
        <f t="shared" ref="L583:L646" si="504">L7*1000000</f>
        <v>102000</v>
      </c>
      <c r="M583" s="46">
        <f>L582</f>
        <v>100000</v>
      </c>
      <c r="N583" s="46">
        <f>L582</f>
        <v>100000</v>
      </c>
      <c r="O583" s="46">
        <f t="shared" ref="O583:O646" si="505">O7*1000000</f>
        <v>100000</v>
      </c>
      <c r="P583" s="46">
        <f t="shared" ref="P583" si="506">O582</f>
        <v>100000</v>
      </c>
    </row>
    <row r="584" spans="1:18" x14ac:dyDescent="0.25">
      <c r="A584" s="45">
        <f>1/((1/Show!$A$4)-(1/Calc!K584))</f>
        <v>40.016006402561018</v>
      </c>
      <c r="B584" s="45">
        <f>MATCH(A584*Calc!$R$12,Calc!$K$1:$K$774,1)</f>
        <v>256</v>
      </c>
      <c r="C584" s="45">
        <f>INDEX(Calc!$K$1:$K$774,B584)</f>
        <v>38.299999999999997</v>
      </c>
      <c r="D584" s="45">
        <f>1/(1/C584+1/Calc!K584)</f>
        <v>38.285336716037754</v>
      </c>
      <c r="E584" s="45">
        <f>ABS(Show!$A$4-D584)/(Show!$A$4/100)</f>
        <v>4.2866582099056139</v>
      </c>
      <c r="F584" s="46">
        <f>Show!$A$4-Calc!L584</f>
        <v>-104960</v>
      </c>
      <c r="G584" s="46" t="e">
        <f>MATCH(F584*Calc!$R$12,Calc!$K$1:$K$774,1)</f>
        <v>#N/A</v>
      </c>
      <c r="H584" s="46" t="e">
        <f>INDEX(Calc!$K$1:$K$774,G584)</f>
        <v>#N/A</v>
      </c>
      <c r="I584" s="46" t="e">
        <f>H584+Calc!K584</f>
        <v>#N/A</v>
      </c>
      <c r="J584" s="46" t="e">
        <f>ABS(Show!$A$4-I584)/(Show!$A$4/100)</f>
        <v>#N/A</v>
      </c>
      <c r="K584" s="45">
        <f>INDEX(Calc!L584:P584,Show!$B$4)</f>
        <v>100000</v>
      </c>
      <c r="L584" s="46">
        <f t="shared" si="504"/>
        <v>105000</v>
      </c>
      <c r="M584" s="46">
        <f>L584</f>
        <v>105000</v>
      </c>
      <c r="N584" s="46">
        <f>L582</f>
        <v>100000</v>
      </c>
      <c r="O584" s="46">
        <f t="shared" si="505"/>
        <v>100000</v>
      </c>
      <c r="P584" s="46">
        <f t="shared" ref="P584" si="507">O582</f>
        <v>100000</v>
      </c>
    </row>
    <row r="585" spans="1:18" x14ac:dyDescent="0.25">
      <c r="A585" s="45">
        <f>1/((1/Show!$A$4)-(1/Calc!K585))</f>
        <v>40.014550745725721</v>
      </c>
      <c r="B585" s="45">
        <f>MATCH(A585*Calc!$R$12,Calc!$K$1:$K$774,1)</f>
        <v>256</v>
      </c>
      <c r="C585" s="45">
        <f>INDEX(Calc!$K$1:$K$774,B585)</f>
        <v>38.299999999999997</v>
      </c>
      <c r="D585" s="45">
        <f>1/(1/C585+1/Calc!K585)</f>
        <v>38.286669277878701</v>
      </c>
      <c r="E585" s="45">
        <f>ABS(Show!$A$4-D585)/(Show!$A$4/100)</f>
        <v>4.2833268053032469</v>
      </c>
      <c r="F585" s="46">
        <f>Show!$A$4-Calc!L585</f>
        <v>-106960</v>
      </c>
      <c r="G585" s="46" t="e">
        <f>MATCH(F585*Calc!$R$12,Calc!$K$1:$K$774,1)</f>
        <v>#N/A</v>
      </c>
      <c r="H585" s="46" t="e">
        <f>INDEX(Calc!$K$1:$K$774,G585)</f>
        <v>#N/A</v>
      </c>
      <c r="I585" s="46" t="e">
        <f>H585+Calc!K585</f>
        <v>#N/A</v>
      </c>
      <c r="J585" s="46" t="e">
        <f>ABS(Show!$A$4-I585)/(Show!$A$4/100)</f>
        <v>#N/A</v>
      </c>
      <c r="K585" s="45">
        <f>INDEX(Calc!L585:P585,Show!$B$4)</f>
        <v>110000</v>
      </c>
      <c r="L585" s="46">
        <f t="shared" si="504"/>
        <v>107000</v>
      </c>
      <c r="M585" s="46">
        <f>L584</f>
        <v>105000</v>
      </c>
      <c r="N585" s="46">
        <f>L586</f>
        <v>110000</v>
      </c>
      <c r="O585" s="46">
        <f t="shared" si="505"/>
        <v>100000</v>
      </c>
      <c r="P585" s="46">
        <f t="shared" ref="P585" si="508">O582</f>
        <v>100000</v>
      </c>
    </row>
    <row r="586" spans="1:18" x14ac:dyDescent="0.25">
      <c r="A586" s="45">
        <f>1/((1/Show!$A$4)-(1/Calc!K586))</f>
        <v>40.014550745725721</v>
      </c>
      <c r="B586" s="45">
        <f>MATCH(A586*Calc!$R$12,Calc!$K$1:$K$774,1)</f>
        <v>256</v>
      </c>
      <c r="C586" s="45">
        <f>INDEX(Calc!$K$1:$K$774,B586)</f>
        <v>38.299999999999997</v>
      </c>
      <c r="D586" s="45">
        <f>1/(1/C586+1/Calc!K586)</f>
        <v>38.286669277878701</v>
      </c>
      <c r="E586" s="45">
        <f>ABS(Show!$A$4-D586)/(Show!$A$4/100)</f>
        <v>4.2833268053032469</v>
      </c>
      <c r="F586" s="46">
        <f>Show!$A$4-Calc!L586</f>
        <v>-109960</v>
      </c>
      <c r="G586" s="46" t="e">
        <f>MATCH(F586*Calc!$R$12,Calc!$K$1:$K$774,1)</f>
        <v>#N/A</v>
      </c>
      <c r="H586" s="46" t="e">
        <f>INDEX(Calc!$K$1:$K$774,G586)</f>
        <v>#N/A</v>
      </c>
      <c r="I586" s="46" t="e">
        <f>H586+Calc!K586</f>
        <v>#N/A</v>
      </c>
      <c r="J586" s="46" t="e">
        <f>ABS(Show!$A$4-I586)/(Show!$A$4/100)</f>
        <v>#N/A</v>
      </c>
      <c r="K586" s="45">
        <f>INDEX(Calc!L586:P586,Show!$B$4)</f>
        <v>110000</v>
      </c>
      <c r="L586" s="46">
        <f t="shared" si="504"/>
        <v>110000</v>
      </c>
      <c r="M586" s="46">
        <f>L586</f>
        <v>110000</v>
      </c>
      <c r="N586" s="46">
        <f>L586</f>
        <v>110000</v>
      </c>
      <c r="O586" s="46">
        <f t="shared" si="505"/>
        <v>120000</v>
      </c>
      <c r="P586" s="46">
        <f t="shared" ref="P586" si="509">O582</f>
        <v>100000</v>
      </c>
    </row>
    <row r="587" spans="1:18" x14ac:dyDescent="0.25">
      <c r="A587" s="45">
        <f>1/((1/Show!$A$4)-(1/Calc!K587))</f>
        <v>40.014550745725721</v>
      </c>
      <c r="B587" s="45">
        <f>MATCH(A587*Calc!$R$12,Calc!$K$1:$K$774,1)</f>
        <v>256</v>
      </c>
      <c r="C587" s="45">
        <f>INDEX(Calc!$K$1:$K$774,B587)</f>
        <v>38.299999999999997</v>
      </c>
      <c r="D587" s="45">
        <f>1/(1/C587+1/Calc!K587)</f>
        <v>38.286669277878701</v>
      </c>
      <c r="E587" s="45">
        <f>ABS(Show!$A$4-D587)/(Show!$A$4/100)</f>
        <v>4.2833268053032469</v>
      </c>
      <c r="F587" s="46">
        <f>Show!$A$4-Calc!L587</f>
        <v>-112960</v>
      </c>
      <c r="G587" s="46" t="e">
        <f>MATCH(F587*Calc!$R$12,Calc!$K$1:$K$774,1)</f>
        <v>#N/A</v>
      </c>
      <c r="H587" s="46" t="e">
        <f>INDEX(Calc!$K$1:$K$774,G587)</f>
        <v>#N/A</v>
      </c>
      <c r="I587" s="46" t="e">
        <f>H587+Calc!K587</f>
        <v>#N/A</v>
      </c>
      <c r="J587" s="46" t="e">
        <f>ABS(Show!$A$4-I587)/(Show!$A$4/100)</f>
        <v>#N/A</v>
      </c>
      <c r="K587" s="45">
        <f>INDEX(Calc!L587:P587,Show!$B$4)</f>
        <v>110000</v>
      </c>
      <c r="L587" s="46">
        <f t="shared" si="504"/>
        <v>113000</v>
      </c>
      <c r="M587" s="46">
        <f>L586</f>
        <v>110000</v>
      </c>
      <c r="N587" s="46">
        <f>L586</f>
        <v>110000</v>
      </c>
      <c r="O587" s="46">
        <f t="shared" si="505"/>
        <v>120000</v>
      </c>
      <c r="P587" s="46">
        <f t="shared" ref="P587" si="510">O582</f>
        <v>100000</v>
      </c>
    </row>
    <row r="588" spans="1:18" x14ac:dyDescent="0.25">
      <c r="A588" s="45">
        <f>1/((1/Show!$A$4)-(1/Calc!K588))</f>
        <v>40.014550745725721</v>
      </c>
      <c r="B588" s="45">
        <f>MATCH(A588*Calc!$R$12,Calc!$K$1:$K$774,1)</f>
        <v>256</v>
      </c>
      <c r="C588" s="45">
        <f>INDEX(Calc!$K$1:$K$774,B588)</f>
        <v>38.299999999999997</v>
      </c>
      <c r="D588" s="45">
        <f>1/(1/C588+1/Calc!K588)</f>
        <v>38.286669277878701</v>
      </c>
      <c r="E588" s="45">
        <f>ABS(Show!$A$4-D588)/(Show!$A$4/100)</f>
        <v>4.2833268053032469</v>
      </c>
      <c r="F588" s="46">
        <f>Show!$A$4-Calc!L588</f>
        <v>-114960</v>
      </c>
      <c r="G588" s="46" t="e">
        <f>MATCH(F588*Calc!$R$12,Calc!$K$1:$K$774,1)</f>
        <v>#N/A</v>
      </c>
      <c r="H588" s="46" t="e">
        <f>INDEX(Calc!$K$1:$K$774,G588)</f>
        <v>#N/A</v>
      </c>
      <c r="I588" s="46" t="e">
        <f>H588+Calc!K588</f>
        <v>#N/A</v>
      </c>
      <c r="J588" s="46" t="e">
        <f>ABS(Show!$A$4-I588)/(Show!$A$4/100)</f>
        <v>#N/A</v>
      </c>
      <c r="K588" s="45">
        <f>INDEX(Calc!L588:P588,Show!$B$4)</f>
        <v>110000</v>
      </c>
      <c r="L588" s="46">
        <f t="shared" si="504"/>
        <v>115000</v>
      </c>
      <c r="M588" s="46">
        <f>L588</f>
        <v>115000</v>
      </c>
      <c r="N588" s="46">
        <f>L586</f>
        <v>110000</v>
      </c>
      <c r="O588" s="46">
        <f t="shared" si="505"/>
        <v>120000</v>
      </c>
      <c r="P588" s="46">
        <f t="shared" ref="P588" si="511">O582</f>
        <v>100000</v>
      </c>
    </row>
    <row r="589" spans="1:18" x14ac:dyDescent="0.25">
      <c r="A589" s="45">
        <f>1/((1/Show!$A$4)-(1/Calc!K589))</f>
        <v>40.013227513227513</v>
      </c>
      <c r="B589" s="45">
        <f>MATCH(A589*Calc!$R$12,Calc!$K$1:$K$774,1)</f>
        <v>256</v>
      </c>
      <c r="C589" s="45">
        <f>INDEX(Calc!$K$1:$K$774,B589)</f>
        <v>38.299999999999997</v>
      </c>
      <c r="D589" s="45">
        <f>1/(1/C589+1/Calc!K589)</f>
        <v>38.287880778233003</v>
      </c>
      <c r="E589" s="45">
        <f>ABS(Show!$A$4-D589)/(Show!$A$4/100)</f>
        <v>4.2802980544174929</v>
      </c>
      <c r="F589" s="46">
        <f>Show!$A$4-Calc!L589</f>
        <v>-117960.00000000001</v>
      </c>
      <c r="G589" s="46" t="e">
        <f>MATCH(F589*Calc!$R$12,Calc!$K$1:$K$774,1)</f>
        <v>#N/A</v>
      </c>
      <c r="H589" s="46" t="e">
        <f>INDEX(Calc!$K$1:$K$774,G589)</f>
        <v>#N/A</v>
      </c>
      <c r="I589" s="46" t="e">
        <f>H589+Calc!K589</f>
        <v>#N/A</v>
      </c>
      <c r="J589" s="46" t="e">
        <f>ABS(Show!$A$4-I589)/(Show!$A$4/100)</f>
        <v>#N/A</v>
      </c>
      <c r="K589" s="45">
        <f>INDEX(Calc!L589:P589,Show!$B$4)</f>
        <v>121000</v>
      </c>
      <c r="L589" s="46">
        <f t="shared" si="504"/>
        <v>118000.00000000001</v>
      </c>
      <c r="M589" s="46">
        <f>L588</f>
        <v>115000</v>
      </c>
      <c r="N589" s="46">
        <f>L590</f>
        <v>121000</v>
      </c>
      <c r="O589" s="46">
        <f t="shared" si="505"/>
        <v>120000</v>
      </c>
      <c r="P589" s="46">
        <f t="shared" ref="P589" si="512">O582</f>
        <v>100000</v>
      </c>
    </row>
    <row r="590" spans="1:18" x14ac:dyDescent="0.25">
      <c r="A590" s="45">
        <f>1/((1/Show!$A$4)-(1/Calc!K590))</f>
        <v>40.013227513227513</v>
      </c>
      <c r="B590" s="45">
        <f>MATCH(A590*Calc!$R$12,Calc!$K$1:$K$774,1)</f>
        <v>256</v>
      </c>
      <c r="C590" s="45">
        <f>INDEX(Calc!$K$1:$K$774,B590)</f>
        <v>38.299999999999997</v>
      </c>
      <c r="D590" s="45">
        <f>1/(1/C590+1/Calc!K590)</f>
        <v>38.287880778233003</v>
      </c>
      <c r="E590" s="45">
        <f>ABS(Show!$A$4-D590)/(Show!$A$4/100)</f>
        <v>4.2802980544174929</v>
      </c>
      <c r="F590" s="46">
        <f>Show!$A$4-Calc!L590</f>
        <v>-120960</v>
      </c>
      <c r="G590" s="46" t="e">
        <f>MATCH(F590*Calc!$R$12,Calc!$K$1:$K$774,1)</f>
        <v>#N/A</v>
      </c>
      <c r="H590" s="46" t="e">
        <f>INDEX(Calc!$K$1:$K$774,G590)</f>
        <v>#N/A</v>
      </c>
      <c r="I590" s="46" t="e">
        <f>H590+Calc!K590</f>
        <v>#N/A</v>
      </c>
      <c r="J590" s="46" t="e">
        <f>ABS(Show!$A$4-I590)/(Show!$A$4/100)</f>
        <v>#N/A</v>
      </c>
      <c r="K590" s="45">
        <f>INDEX(Calc!L590:P590,Show!$B$4)</f>
        <v>121000</v>
      </c>
      <c r="L590" s="46">
        <f t="shared" si="504"/>
        <v>121000</v>
      </c>
      <c r="M590" s="46">
        <f>L590</f>
        <v>121000</v>
      </c>
      <c r="N590" s="46">
        <f>L590</f>
        <v>121000</v>
      </c>
      <c r="O590" s="46">
        <f t="shared" si="505"/>
        <v>120000</v>
      </c>
      <c r="P590" s="46">
        <f t="shared" ref="P590" si="513">O594</f>
        <v>150000</v>
      </c>
    </row>
    <row r="591" spans="1:18" x14ac:dyDescent="0.25">
      <c r="A591" s="45">
        <f>1/((1/Show!$A$4)-(1/Calc!K591))</f>
        <v>40.013227513227513</v>
      </c>
      <c r="B591" s="45">
        <f>MATCH(A591*Calc!$R$12,Calc!$K$1:$K$774,1)</f>
        <v>256</v>
      </c>
      <c r="C591" s="45">
        <f>INDEX(Calc!$K$1:$K$774,B591)</f>
        <v>38.299999999999997</v>
      </c>
      <c r="D591" s="45">
        <f>1/(1/C591+1/Calc!K591)</f>
        <v>38.287880778233003</v>
      </c>
      <c r="E591" s="45">
        <f>ABS(Show!$A$4-D591)/(Show!$A$4/100)</f>
        <v>4.2802980544174929</v>
      </c>
      <c r="F591" s="46">
        <f>Show!$A$4-Calc!L591</f>
        <v>-123960</v>
      </c>
      <c r="G591" s="46" t="e">
        <f>MATCH(F591*Calc!$R$12,Calc!$K$1:$K$774,1)</f>
        <v>#N/A</v>
      </c>
      <c r="H591" s="46" t="e">
        <f>INDEX(Calc!$K$1:$K$774,G591)</f>
        <v>#N/A</v>
      </c>
      <c r="I591" s="46" t="e">
        <f>H591+Calc!K591</f>
        <v>#N/A</v>
      </c>
      <c r="J591" s="46" t="e">
        <f>ABS(Show!$A$4-I591)/(Show!$A$4/100)</f>
        <v>#N/A</v>
      </c>
      <c r="K591" s="45">
        <f>INDEX(Calc!L591:P591,Show!$B$4)</f>
        <v>121000</v>
      </c>
      <c r="L591" s="46">
        <f t="shared" si="504"/>
        <v>124000</v>
      </c>
      <c r="M591" s="46">
        <f>L590</f>
        <v>121000</v>
      </c>
      <c r="N591" s="46">
        <f>L590</f>
        <v>121000</v>
      </c>
      <c r="O591" s="46">
        <f t="shared" si="505"/>
        <v>120000</v>
      </c>
      <c r="P591" s="46">
        <f t="shared" ref="P591" si="514">O594</f>
        <v>150000</v>
      </c>
    </row>
    <row r="592" spans="1:18" x14ac:dyDescent="0.25">
      <c r="A592" s="45">
        <f>1/((1/Show!$A$4)-(1/Calc!K592))</f>
        <v>40.013227513227513</v>
      </c>
      <c r="B592" s="45">
        <f>MATCH(A592*Calc!$R$12,Calc!$K$1:$K$774,1)</f>
        <v>256</v>
      </c>
      <c r="C592" s="45">
        <f>INDEX(Calc!$K$1:$K$774,B592)</f>
        <v>38.299999999999997</v>
      </c>
      <c r="D592" s="45">
        <f>1/(1/C592+1/Calc!K592)</f>
        <v>38.287880778233003</v>
      </c>
      <c r="E592" s="45">
        <f>ABS(Show!$A$4-D592)/(Show!$A$4/100)</f>
        <v>4.2802980544174929</v>
      </c>
      <c r="F592" s="46">
        <f>Show!$A$4-Calc!L592</f>
        <v>-126960</v>
      </c>
      <c r="G592" s="46" t="e">
        <f>MATCH(F592*Calc!$R$12,Calc!$K$1:$K$774,1)</f>
        <v>#N/A</v>
      </c>
      <c r="H592" s="46" t="e">
        <f>INDEX(Calc!$K$1:$K$774,G592)</f>
        <v>#N/A</v>
      </c>
      <c r="I592" s="46" t="e">
        <f>H592+Calc!K592</f>
        <v>#N/A</v>
      </c>
      <c r="J592" s="46" t="e">
        <f>ABS(Show!$A$4-I592)/(Show!$A$4/100)</f>
        <v>#N/A</v>
      </c>
      <c r="K592" s="45">
        <f>INDEX(Calc!L592:P592,Show!$B$4)</f>
        <v>121000</v>
      </c>
      <c r="L592" s="46">
        <f t="shared" si="504"/>
        <v>127000</v>
      </c>
      <c r="M592" s="46">
        <f>L592</f>
        <v>127000</v>
      </c>
      <c r="N592" s="46">
        <f>L590</f>
        <v>121000</v>
      </c>
      <c r="O592" s="46">
        <f t="shared" si="505"/>
        <v>120000</v>
      </c>
      <c r="P592" s="46">
        <f t="shared" ref="P592" si="515">O594</f>
        <v>150000</v>
      </c>
    </row>
    <row r="593" spans="1:16" x14ac:dyDescent="0.25">
      <c r="A593" s="45">
        <f>1/((1/Show!$A$4)-(1/Calc!K593))</f>
        <v>40.012033694344161</v>
      </c>
      <c r="B593" s="45">
        <f>MATCH(A593*Calc!$R$12,Calc!$K$1:$K$774,1)</f>
        <v>256</v>
      </c>
      <c r="C593" s="45">
        <f>INDEX(Calc!$K$1:$K$774,B593)</f>
        <v>38.299999999999997</v>
      </c>
      <c r="D593" s="45">
        <f>1/(1/C593+1/Calc!K593)</f>
        <v>38.288973927057093</v>
      </c>
      <c r="E593" s="45">
        <f>ABS(Show!$A$4-D593)/(Show!$A$4/100)</f>
        <v>4.277565182357268</v>
      </c>
      <c r="F593" s="46">
        <f>Show!$A$4-Calc!L593</f>
        <v>-129960</v>
      </c>
      <c r="G593" s="46" t="e">
        <f>MATCH(F593*Calc!$R$12,Calc!$K$1:$K$774,1)</f>
        <v>#N/A</v>
      </c>
      <c r="H593" s="46" t="e">
        <f>INDEX(Calc!$K$1:$K$774,G593)</f>
        <v>#N/A</v>
      </c>
      <c r="I593" s="46" t="e">
        <f>H593+Calc!K593</f>
        <v>#N/A</v>
      </c>
      <c r="J593" s="46" t="e">
        <f>ABS(Show!$A$4-I593)/(Show!$A$4/100)</f>
        <v>#N/A</v>
      </c>
      <c r="K593" s="45">
        <f>INDEX(Calc!L593:P593,Show!$B$4)</f>
        <v>133000</v>
      </c>
      <c r="L593" s="46">
        <f t="shared" si="504"/>
        <v>130000</v>
      </c>
      <c r="M593" s="46">
        <f>L592</f>
        <v>127000</v>
      </c>
      <c r="N593" s="46">
        <f>L594</f>
        <v>133000</v>
      </c>
      <c r="O593" s="46">
        <f t="shared" si="505"/>
        <v>120000</v>
      </c>
      <c r="P593" s="46">
        <f t="shared" ref="P593" si="516">O594</f>
        <v>150000</v>
      </c>
    </row>
    <row r="594" spans="1:16" x14ac:dyDescent="0.25">
      <c r="A594" s="45">
        <f>1/((1/Show!$A$4)-(1/Calc!K594))</f>
        <v>40.012033694344161</v>
      </c>
      <c r="B594" s="45">
        <f>MATCH(A594*Calc!$R$12,Calc!$K$1:$K$774,1)</f>
        <v>256</v>
      </c>
      <c r="C594" s="45">
        <f>INDEX(Calc!$K$1:$K$774,B594)</f>
        <v>38.299999999999997</v>
      </c>
      <c r="D594" s="45">
        <f>1/(1/C594+1/Calc!K594)</f>
        <v>38.288973927057093</v>
      </c>
      <c r="E594" s="45">
        <f>ABS(Show!$A$4-D594)/(Show!$A$4/100)</f>
        <v>4.277565182357268</v>
      </c>
      <c r="F594" s="46">
        <f>Show!$A$4-Calc!L594</f>
        <v>-132960</v>
      </c>
      <c r="G594" s="46" t="e">
        <f>MATCH(F594*Calc!$R$12,Calc!$K$1:$K$774,1)</f>
        <v>#N/A</v>
      </c>
      <c r="H594" s="46" t="e">
        <f>INDEX(Calc!$K$1:$K$774,G594)</f>
        <v>#N/A</v>
      </c>
      <c r="I594" s="46" t="e">
        <f>H594+Calc!K594</f>
        <v>#N/A</v>
      </c>
      <c r="J594" s="46" t="e">
        <f>ABS(Show!$A$4-I594)/(Show!$A$4/100)</f>
        <v>#N/A</v>
      </c>
      <c r="K594" s="45">
        <f>INDEX(Calc!L594:P594,Show!$B$4)</f>
        <v>133000</v>
      </c>
      <c r="L594" s="46">
        <f t="shared" si="504"/>
        <v>133000</v>
      </c>
      <c r="M594" s="46">
        <f>L594</f>
        <v>133000</v>
      </c>
      <c r="N594" s="46">
        <f>L594</f>
        <v>133000</v>
      </c>
      <c r="O594" s="46">
        <f t="shared" si="505"/>
        <v>150000</v>
      </c>
      <c r="P594" s="46">
        <f t="shared" ref="P594" si="517">O594</f>
        <v>150000</v>
      </c>
    </row>
    <row r="595" spans="1:16" x14ac:dyDescent="0.25">
      <c r="A595" s="45">
        <f>1/((1/Show!$A$4)-(1/Calc!K595))</f>
        <v>40.012033694344161</v>
      </c>
      <c r="B595" s="45">
        <f>MATCH(A595*Calc!$R$12,Calc!$K$1:$K$774,1)</f>
        <v>256</v>
      </c>
      <c r="C595" s="45">
        <f>INDEX(Calc!$K$1:$K$774,B595)</f>
        <v>38.299999999999997</v>
      </c>
      <c r="D595" s="45">
        <f>1/(1/C595+1/Calc!K595)</f>
        <v>38.288973927057093</v>
      </c>
      <c r="E595" s="45">
        <f>ABS(Show!$A$4-D595)/(Show!$A$4/100)</f>
        <v>4.277565182357268</v>
      </c>
      <c r="F595" s="46">
        <f>Show!$A$4-Calc!L595</f>
        <v>-136959.99999999997</v>
      </c>
      <c r="G595" s="46" t="e">
        <f>MATCH(F595*Calc!$R$12,Calc!$K$1:$K$774,1)</f>
        <v>#N/A</v>
      </c>
      <c r="H595" s="46" t="e">
        <f>INDEX(Calc!$K$1:$K$774,G595)</f>
        <v>#N/A</v>
      </c>
      <c r="I595" s="46" t="e">
        <f>H595+Calc!K595</f>
        <v>#N/A</v>
      </c>
      <c r="J595" s="46" t="e">
        <f>ABS(Show!$A$4-I595)/(Show!$A$4/100)</f>
        <v>#N/A</v>
      </c>
      <c r="K595" s="45">
        <f>INDEX(Calc!L595:P595,Show!$B$4)</f>
        <v>133000</v>
      </c>
      <c r="L595" s="46">
        <f t="shared" si="504"/>
        <v>136999.99999999997</v>
      </c>
      <c r="M595" s="46">
        <f>L594</f>
        <v>133000</v>
      </c>
      <c r="N595" s="46">
        <f>L594</f>
        <v>133000</v>
      </c>
      <c r="O595" s="46">
        <f t="shared" si="505"/>
        <v>150000</v>
      </c>
      <c r="P595" s="46">
        <f t="shared" ref="P595" si="518">O594</f>
        <v>150000</v>
      </c>
    </row>
    <row r="596" spans="1:16" x14ac:dyDescent="0.25">
      <c r="A596" s="45">
        <f>1/((1/Show!$A$4)-(1/Calc!K596))</f>
        <v>40.012033694344161</v>
      </c>
      <c r="B596" s="45">
        <f>MATCH(A596*Calc!$R$12,Calc!$K$1:$K$774,1)</f>
        <v>256</v>
      </c>
      <c r="C596" s="45">
        <f>INDEX(Calc!$K$1:$K$774,B596)</f>
        <v>38.299999999999997</v>
      </c>
      <c r="D596" s="45">
        <f>1/(1/C596+1/Calc!K596)</f>
        <v>38.288973927057093</v>
      </c>
      <c r="E596" s="45">
        <f>ABS(Show!$A$4-D596)/(Show!$A$4/100)</f>
        <v>4.277565182357268</v>
      </c>
      <c r="F596" s="46">
        <f>Show!$A$4-Calc!L596</f>
        <v>-139960</v>
      </c>
      <c r="G596" s="46" t="e">
        <f>MATCH(F596*Calc!$R$12,Calc!$K$1:$K$774,1)</f>
        <v>#N/A</v>
      </c>
      <c r="H596" s="46" t="e">
        <f>INDEX(Calc!$K$1:$K$774,G596)</f>
        <v>#N/A</v>
      </c>
      <c r="I596" s="46" t="e">
        <f>H596+Calc!K596</f>
        <v>#N/A</v>
      </c>
      <c r="J596" s="46" t="e">
        <f>ABS(Show!$A$4-I596)/(Show!$A$4/100)</f>
        <v>#N/A</v>
      </c>
      <c r="K596" s="45">
        <f>INDEX(Calc!L596:P596,Show!$B$4)</f>
        <v>133000</v>
      </c>
      <c r="L596" s="46">
        <f t="shared" si="504"/>
        <v>140000</v>
      </c>
      <c r="M596" s="46">
        <f>L596</f>
        <v>140000</v>
      </c>
      <c r="N596" s="46">
        <f>L594</f>
        <v>133000</v>
      </c>
      <c r="O596" s="46">
        <f t="shared" si="505"/>
        <v>150000</v>
      </c>
      <c r="P596" s="46">
        <f t="shared" ref="P596" si="519">O594</f>
        <v>150000</v>
      </c>
    </row>
    <row r="597" spans="1:16" x14ac:dyDescent="0.25">
      <c r="A597" s="45">
        <f>1/((1/Show!$A$4)-(1/Calc!K597))</f>
        <v>40.010887316276538</v>
      </c>
      <c r="B597" s="45">
        <f>MATCH(A597*Calc!$R$12,Calc!$K$1:$K$774,1)</f>
        <v>256</v>
      </c>
      <c r="C597" s="45">
        <f>INDEX(Calc!$K$1:$K$774,B597)</f>
        <v>38.299999999999997</v>
      </c>
      <c r="D597" s="45">
        <f>1/(1/C597+1/Calc!K597)</f>
        <v>38.290023755715346</v>
      </c>
      <c r="E597" s="45">
        <f>ABS(Show!$A$4-D597)/(Show!$A$4/100)</f>
        <v>4.274940610711635</v>
      </c>
      <c r="F597" s="46">
        <f>Show!$A$4-Calc!L597</f>
        <v>-142960.00000000003</v>
      </c>
      <c r="G597" s="46" t="e">
        <f>MATCH(F597*Calc!$R$12,Calc!$K$1:$K$774,1)</f>
        <v>#N/A</v>
      </c>
      <c r="H597" s="46" t="e">
        <f>INDEX(Calc!$K$1:$K$774,G597)</f>
        <v>#N/A</v>
      </c>
      <c r="I597" s="46" t="e">
        <f>H597+Calc!K597</f>
        <v>#N/A</v>
      </c>
      <c r="J597" s="46" t="e">
        <f>ABS(Show!$A$4-I597)/(Show!$A$4/100)</f>
        <v>#N/A</v>
      </c>
      <c r="K597" s="45">
        <f>INDEX(Calc!L597:P597,Show!$B$4)</f>
        <v>147000</v>
      </c>
      <c r="L597" s="46">
        <f t="shared" si="504"/>
        <v>143000.00000000003</v>
      </c>
      <c r="M597" s="46">
        <f>L596</f>
        <v>140000</v>
      </c>
      <c r="N597" s="46">
        <f>L598</f>
        <v>147000</v>
      </c>
      <c r="O597" s="46">
        <f t="shared" si="505"/>
        <v>150000</v>
      </c>
      <c r="P597" s="46">
        <f t="shared" ref="P597" si="520">O594</f>
        <v>150000</v>
      </c>
    </row>
    <row r="598" spans="1:16" x14ac:dyDescent="0.25">
      <c r="A598" s="45">
        <f>1/((1/Show!$A$4)-(1/Calc!K598))</f>
        <v>40.010887316276538</v>
      </c>
      <c r="B598" s="45">
        <f>MATCH(A598*Calc!$R$12,Calc!$K$1:$K$774,1)</f>
        <v>256</v>
      </c>
      <c r="C598" s="45">
        <f>INDEX(Calc!$K$1:$K$774,B598)</f>
        <v>38.299999999999997</v>
      </c>
      <c r="D598" s="45">
        <f>1/(1/C598+1/Calc!K598)</f>
        <v>38.290023755715346</v>
      </c>
      <c r="E598" s="45">
        <f>ABS(Show!$A$4-D598)/(Show!$A$4/100)</f>
        <v>4.274940610711635</v>
      </c>
      <c r="F598" s="46">
        <f>Show!$A$4-Calc!L598</f>
        <v>-146960</v>
      </c>
      <c r="G598" s="46" t="e">
        <f>MATCH(F598*Calc!$R$12,Calc!$K$1:$K$774,1)</f>
        <v>#N/A</v>
      </c>
      <c r="H598" s="46" t="e">
        <f>INDEX(Calc!$K$1:$K$774,G598)</f>
        <v>#N/A</v>
      </c>
      <c r="I598" s="46" t="e">
        <f>H598+Calc!K598</f>
        <v>#N/A</v>
      </c>
      <c r="J598" s="46" t="e">
        <f>ABS(Show!$A$4-I598)/(Show!$A$4/100)</f>
        <v>#N/A</v>
      </c>
      <c r="K598" s="45">
        <f>INDEX(Calc!L598:P598,Show!$B$4)</f>
        <v>147000</v>
      </c>
      <c r="L598" s="46">
        <f t="shared" si="504"/>
        <v>147000</v>
      </c>
      <c r="M598" s="46">
        <f>L598</f>
        <v>147000</v>
      </c>
      <c r="N598" s="46">
        <f>L598</f>
        <v>147000</v>
      </c>
      <c r="O598" s="46">
        <f t="shared" si="505"/>
        <v>150000</v>
      </c>
      <c r="P598" s="46">
        <f t="shared" ref="P598" si="521">O594</f>
        <v>150000</v>
      </c>
    </row>
    <row r="599" spans="1:16" x14ac:dyDescent="0.25">
      <c r="A599" s="45">
        <f>1/((1/Show!$A$4)-(1/Calc!K599))</f>
        <v>40.010887316276538</v>
      </c>
      <c r="B599" s="45">
        <f>MATCH(A599*Calc!$R$12,Calc!$K$1:$K$774,1)</f>
        <v>256</v>
      </c>
      <c r="C599" s="45">
        <f>INDEX(Calc!$K$1:$K$774,B599)</f>
        <v>38.299999999999997</v>
      </c>
      <c r="D599" s="45">
        <f>1/(1/C599+1/Calc!K599)</f>
        <v>38.290023755715346</v>
      </c>
      <c r="E599" s="45">
        <f>ABS(Show!$A$4-D599)/(Show!$A$4/100)</f>
        <v>4.274940610711635</v>
      </c>
      <c r="F599" s="46">
        <f>Show!$A$4-Calc!L599</f>
        <v>-149960</v>
      </c>
      <c r="G599" s="46" t="e">
        <f>MATCH(F599*Calc!$R$12,Calc!$K$1:$K$774,1)</f>
        <v>#N/A</v>
      </c>
      <c r="H599" s="46" t="e">
        <f>INDEX(Calc!$K$1:$K$774,G599)</f>
        <v>#N/A</v>
      </c>
      <c r="I599" s="46" t="e">
        <f>H599+Calc!K599</f>
        <v>#N/A</v>
      </c>
      <c r="J599" s="46" t="e">
        <f>ABS(Show!$A$4-I599)/(Show!$A$4/100)</f>
        <v>#N/A</v>
      </c>
      <c r="K599" s="45">
        <f>INDEX(Calc!L599:P599,Show!$B$4)</f>
        <v>147000</v>
      </c>
      <c r="L599" s="46">
        <f t="shared" si="504"/>
        <v>150000</v>
      </c>
      <c r="M599" s="46">
        <f>L598</f>
        <v>147000</v>
      </c>
      <c r="N599" s="46">
        <f>L598</f>
        <v>147000</v>
      </c>
      <c r="O599" s="46">
        <f t="shared" si="505"/>
        <v>150000</v>
      </c>
      <c r="P599" s="46">
        <f t="shared" ref="P599" si="522">O594</f>
        <v>150000</v>
      </c>
    </row>
    <row r="600" spans="1:16" x14ac:dyDescent="0.25">
      <c r="A600" s="45">
        <f>1/((1/Show!$A$4)-(1/Calc!K600))</f>
        <v>40.010887316276538</v>
      </c>
      <c r="B600" s="45">
        <f>MATCH(A600*Calc!$R$12,Calc!$K$1:$K$774,1)</f>
        <v>256</v>
      </c>
      <c r="C600" s="45">
        <f>INDEX(Calc!$K$1:$K$774,B600)</f>
        <v>38.299999999999997</v>
      </c>
      <c r="D600" s="45">
        <f>1/(1/C600+1/Calc!K600)</f>
        <v>38.290023755715346</v>
      </c>
      <c r="E600" s="45">
        <f>ABS(Show!$A$4-D600)/(Show!$A$4/100)</f>
        <v>4.274940610711635</v>
      </c>
      <c r="F600" s="46">
        <f>Show!$A$4-Calc!L600</f>
        <v>-153960</v>
      </c>
      <c r="G600" s="46" t="e">
        <f>MATCH(F600*Calc!$R$12,Calc!$K$1:$K$774,1)</f>
        <v>#N/A</v>
      </c>
      <c r="H600" s="46" t="e">
        <f>INDEX(Calc!$K$1:$K$774,G600)</f>
        <v>#N/A</v>
      </c>
      <c r="I600" s="46" t="e">
        <f>H600+Calc!K600</f>
        <v>#N/A</v>
      </c>
      <c r="J600" s="46" t="e">
        <f>ABS(Show!$A$4-I600)/(Show!$A$4/100)</f>
        <v>#N/A</v>
      </c>
      <c r="K600" s="45">
        <f>INDEX(Calc!L600:P600,Show!$B$4)</f>
        <v>147000</v>
      </c>
      <c r="L600" s="46">
        <f t="shared" si="504"/>
        <v>154000</v>
      </c>
      <c r="M600" s="46">
        <f>L600</f>
        <v>154000</v>
      </c>
      <c r="N600" s="46">
        <f>L598</f>
        <v>147000</v>
      </c>
      <c r="O600" s="46">
        <f t="shared" si="505"/>
        <v>150000</v>
      </c>
      <c r="P600" s="46">
        <f t="shared" ref="P600" si="523">O594</f>
        <v>150000</v>
      </c>
    </row>
    <row r="601" spans="1:16" x14ac:dyDescent="0.25">
      <c r="A601" s="45">
        <f>1/((1/Show!$A$4)-(1/Calc!K601))</f>
        <v>40.009878982464805</v>
      </c>
      <c r="B601" s="45">
        <f>MATCH(A601*Calc!$R$12,Calc!$K$1:$K$774,1)</f>
        <v>256</v>
      </c>
      <c r="C601" s="45">
        <f>INDEX(Calc!$K$1:$K$774,B601)</f>
        <v>38.299999999999997</v>
      </c>
      <c r="D601" s="45">
        <f>1/(1/C601+1/Calc!K601)</f>
        <v>38.290947263702471</v>
      </c>
      <c r="E601" s="45">
        <f>ABS(Show!$A$4-D601)/(Show!$A$4/100)</f>
        <v>4.2726318407438235</v>
      </c>
      <c r="F601" s="46">
        <f>Show!$A$4-Calc!L601</f>
        <v>-157960</v>
      </c>
      <c r="G601" s="46" t="e">
        <f>MATCH(F601*Calc!$R$12,Calc!$K$1:$K$774,1)</f>
        <v>#N/A</v>
      </c>
      <c r="H601" s="46" t="e">
        <f>INDEX(Calc!$K$1:$K$774,G601)</f>
        <v>#N/A</v>
      </c>
      <c r="I601" s="46" t="e">
        <f>H601+Calc!K601</f>
        <v>#N/A</v>
      </c>
      <c r="J601" s="46" t="e">
        <f>ABS(Show!$A$4-I601)/(Show!$A$4/100)</f>
        <v>#N/A</v>
      </c>
      <c r="K601" s="45">
        <f>INDEX(Calc!L601:P601,Show!$B$4)</f>
        <v>162000</v>
      </c>
      <c r="L601" s="46">
        <f t="shared" si="504"/>
        <v>158000</v>
      </c>
      <c r="M601" s="46">
        <f>L600</f>
        <v>154000</v>
      </c>
      <c r="N601" s="46">
        <f>L602</f>
        <v>162000</v>
      </c>
      <c r="O601" s="46">
        <f t="shared" si="505"/>
        <v>150000</v>
      </c>
      <c r="P601" s="46">
        <f t="shared" ref="P601" si="524">O594</f>
        <v>150000</v>
      </c>
    </row>
    <row r="602" spans="1:16" x14ac:dyDescent="0.25">
      <c r="A602" s="45">
        <f>1/((1/Show!$A$4)-(1/Calc!K602))</f>
        <v>40.009878982464805</v>
      </c>
      <c r="B602" s="45">
        <f>MATCH(A602*Calc!$R$12,Calc!$K$1:$K$774,1)</f>
        <v>256</v>
      </c>
      <c r="C602" s="45">
        <f>INDEX(Calc!$K$1:$K$774,B602)</f>
        <v>38.299999999999997</v>
      </c>
      <c r="D602" s="45">
        <f>1/(1/C602+1/Calc!K602)</f>
        <v>38.290947263702471</v>
      </c>
      <c r="E602" s="45">
        <f>ABS(Show!$A$4-D602)/(Show!$A$4/100)</f>
        <v>4.2726318407438235</v>
      </c>
      <c r="F602" s="46">
        <f>Show!$A$4-Calc!L602</f>
        <v>-161960</v>
      </c>
      <c r="G602" s="46" t="e">
        <f>MATCH(F602*Calc!$R$12,Calc!$K$1:$K$774,1)</f>
        <v>#N/A</v>
      </c>
      <c r="H602" s="46" t="e">
        <f>INDEX(Calc!$K$1:$K$774,G602)</f>
        <v>#N/A</v>
      </c>
      <c r="I602" s="46" t="e">
        <f>H602+Calc!K602</f>
        <v>#N/A</v>
      </c>
      <c r="J602" s="46" t="e">
        <f>ABS(Show!$A$4-I602)/(Show!$A$4/100)</f>
        <v>#N/A</v>
      </c>
      <c r="K602" s="45">
        <f>INDEX(Calc!L602:P602,Show!$B$4)</f>
        <v>162000</v>
      </c>
      <c r="L602" s="46">
        <f t="shared" si="504"/>
        <v>162000</v>
      </c>
      <c r="M602" s="46">
        <f>L602</f>
        <v>162000</v>
      </c>
      <c r="N602" s="46">
        <f>L602</f>
        <v>162000</v>
      </c>
      <c r="O602" s="46">
        <f t="shared" si="505"/>
        <v>180000</v>
      </c>
      <c r="P602" s="46">
        <f t="shared" ref="P602" si="525">O594</f>
        <v>150000</v>
      </c>
    </row>
    <row r="603" spans="1:16" x14ac:dyDescent="0.25">
      <c r="A603" s="45">
        <f>1/((1/Show!$A$4)-(1/Calc!K603))</f>
        <v>40.009878982464805</v>
      </c>
      <c r="B603" s="45">
        <f>MATCH(A603*Calc!$R$12,Calc!$K$1:$K$774,1)</f>
        <v>256</v>
      </c>
      <c r="C603" s="45">
        <f>INDEX(Calc!$K$1:$K$774,B603)</f>
        <v>38.299999999999997</v>
      </c>
      <c r="D603" s="45">
        <f>1/(1/C603+1/Calc!K603)</f>
        <v>38.290947263702471</v>
      </c>
      <c r="E603" s="45">
        <f>ABS(Show!$A$4-D603)/(Show!$A$4/100)</f>
        <v>4.2726318407438235</v>
      </c>
      <c r="F603" s="46">
        <f>Show!$A$4-Calc!L603</f>
        <v>-164960</v>
      </c>
      <c r="G603" s="46" t="e">
        <f>MATCH(F603*Calc!$R$12,Calc!$K$1:$K$774,1)</f>
        <v>#N/A</v>
      </c>
      <c r="H603" s="46" t="e">
        <f>INDEX(Calc!$K$1:$K$774,G603)</f>
        <v>#N/A</v>
      </c>
      <c r="I603" s="46" t="e">
        <f>H603+Calc!K603</f>
        <v>#N/A</v>
      </c>
      <c r="J603" s="46" t="e">
        <f>ABS(Show!$A$4-I603)/(Show!$A$4/100)</f>
        <v>#N/A</v>
      </c>
      <c r="K603" s="45">
        <f>INDEX(Calc!L603:P603,Show!$B$4)</f>
        <v>162000</v>
      </c>
      <c r="L603" s="46">
        <f t="shared" si="504"/>
        <v>165000</v>
      </c>
      <c r="M603" s="46">
        <f>L602</f>
        <v>162000</v>
      </c>
      <c r="N603" s="46">
        <f>L602</f>
        <v>162000</v>
      </c>
      <c r="O603" s="46">
        <f t="shared" si="505"/>
        <v>180000</v>
      </c>
      <c r="P603" s="46">
        <f t="shared" ref="P603" si="526">O594</f>
        <v>150000</v>
      </c>
    </row>
    <row r="604" spans="1:16" x14ac:dyDescent="0.25">
      <c r="A604" s="45">
        <f>1/((1/Show!$A$4)-(1/Calc!K604))</f>
        <v>40.009878982464805</v>
      </c>
      <c r="B604" s="45">
        <f>MATCH(A604*Calc!$R$12,Calc!$K$1:$K$774,1)</f>
        <v>256</v>
      </c>
      <c r="C604" s="45">
        <f>INDEX(Calc!$K$1:$K$774,B604)</f>
        <v>38.299999999999997</v>
      </c>
      <c r="D604" s="45">
        <f>1/(1/C604+1/Calc!K604)</f>
        <v>38.290947263702471</v>
      </c>
      <c r="E604" s="45">
        <f>ABS(Show!$A$4-D604)/(Show!$A$4/100)</f>
        <v>4.2726318407438235</v>
      </c>
      <c r="F604" s="46">
        <f>Show!$A$4-Calc!L604</f>
        <v>-168959.99999999997</v>
      </c>
      <c r="G604" s="46" t="e">
        <f>MATCH(F604*Calc!$R$12,Calc!$K$1:$K$774,1)</f>
        <v>#N/A</v>
      </c>
      <c r="H604" s="46" t="e">
        <f>INDEX(Calc!$K$1:$K$774,G604)</f>
        <v>#N/A</v>
      </c>
      <c r="I604" s="46" t="e">
        <f>H604+Calc!K604</f>
        <v>#N/A</v>
      </c>
      <c r="J604" s="46" t="e">
        <f>ABS(Show!$A$4-I604)/(Show!$A$4/100)</f>
        <v>#N/A</v>
      </c>
      <c r="K604" s="45">
        <f>INDEX(Calc!L604:P604,Show!$B$4)</f>
        <v>162000</v>
      </c>
      <c r="L604" s="46">
        <f t="shared" si="504"/>
        <v>168999.99999999997</v>
      </c>
      <c r="M604" s="46">
        <f>L604</f>
        <v>168999.99999999997</v>
      </c>
      <c r="N604" s="46">
        <f>L602</f>
        <v>162000</v>
      </c>
      <c r="O604" s="46">
        <f t="shared" si="505"/>
        <v>180000</v>
      </c>
      <c r="P604" s="46">
        <f t="shared" ref="P604" si="527">O594</f>
        <v>150000</v>
      </c>
    </row>
    <row r="605" spans="1:16" x14ac:dyDescent="0.25">
      <c r="A605" s="45">
        <f>1/((1/Show!$A$4)-(1/Calc!K605))</f>
        <v>40.008990784445942</v>
      </c>
      <c r="B605" s="45">
        <f>MATCH(A605*Calc!$R$12,Calc!$K$1:$K$774,1)</f>
        <v>256</v>
      </c>
      <c r="C605" s="45">
        <f>INDEX(Calc!$K$1:$K$774,B605)</f>
        <v>38.299999999999997</v>
      </c>
      <c r="D605" s="45">
        <f>1/(1/C605+1/Calc!K605)</f>
        <v>38.291760817756625</v>
      </c>
      <c r="E605" s="45">
        <f>ABS(Show!$A$4-D605)/(Show!$A$4/100)</f>
        <v>4.2705979556084372</v>
      </c>
      <c r="F605" s="46">
        <f>Show!$A$4-Calc!L605</f>
        <v>-173960</v>
      </c>
      <c r="G605" s="46" t="e">
        <f>MATCH(F605*Calc!$R$12,Calc!$K$1:$K$774,1)</f>
        <v>#N/A</v>
      </c>
      <c r="H605" s="46" t="e">
        <f>INDEX(Calc!$K$1:$K$774,G605)</f>
        <v>#N/A</v>
      </c>
      <c r="I605" s="46" t="e">
        <f>H605+Calc!K605</f>
        <v>#N/A</v>
      </c>
      <c r="J605" s="46" t="e">
        <f>ABS(Show!$A$4-I605)/(Show!$A$4/100)</f>
        <v>#N/A</v>
      </c>
      <c r="K605" s="45">
        <f>INDEX(Calc!L605:P605,Show!$B$4)</f>
        <v>178000.00000000003</v>
      </c>
      <c r="L605" s="46">
        <f t="shared" si="504"/>
        <v>174000</v>
      </c>
      <c r="M605" s="46">
        <f>L604</f>
        <v>168999.99999999997</v>
      </c>
      <c r="N605" s="46">
        <f>L606</f>
        <v>178000.00000000003</v>
      </c>
      <c r="O605" s="46">
        <f t="shared" si="505"/>
        <v>180000</v>
      </c>
      <c r="P605" s="46">
        <f t="shared" ref="P605" si="528">O594</f>
        <v>150000</v>
      </c>
    </row>
    <row r="606" spans="1:16" x14ac:dyDescent="0.25">
      <c r="A606" s="45">
        <f>1/((1/Show!$A$4)-(1/Calc!K606))</f>
        <v>40.008990784445942</v>
      </c>
      <c r="B606" s="45">
        <f>MATCH(A606*Calc!$R$12,Calc!$K$1:$K$774,1)</f>
        <v>256</v>
      </c>
      <c r="C606" s="45">
        <f>INDEX(Calc!$K$1:$K$774,B606)</f>
        <v>38.299999999999997</v>
      </c>
      <c r="D606" s="45">
        <f>1/(1/C606+1/Calc!K606)</f>
        <v>38.291760817756625</v>
      </c>
      <c r="E606" s="45">
        <f>ABS(Show!$A$4-D606)/(Show!$A$4/100)</f>
        <v>4.2705979556084372</v>
      </c>
      <c r="F606" s="46">
        <f>Show!$A$4-Calc!L606</f>
        <v>-177960.00000000003</v>
      </c>
      <c r="G606" s="46" t="e">
        <f>MATCH(F606*Calc!$R$12,Calc!$K$1:$K$774,1)</f>
        <v>#N/A</v>
      </c>
      <c r="H606" s="46" t="e">
        <f>INDEX(Calc!$K$1:$K$774,G606)</f>
        <v>#N/A</v>
      </c>
      <c r="I606" s="46" t="e">
        <f>H606+Calc!K606</f>
        <v>#N/A</v>
      </c>
      <c r="J606" s="46" t="e">
        <f>ABS(Show!$A$4-I606)/(Show!$A$4/100)</f>
        <v>#N/A</v>
      </c>
      <c r="K606" s="45">
        <f>INDEX(Calc!L606:P606,Show!$B$4)</f>
        <v>178000.00000000003</v>
      </c>
      <c r="L606" s="46">
        <f t="shared" si="504"/>
        <v>178000.00000000003</v>
      </c>
      <c r="M606" s="46">
        <f>L606</f>
        <v>178000.00000000003</v>
      </c>
      <c r="N606" s="46">
        <f>L606</f>
        <v>178000.00000000003</v>
      </c>
      <c r="O606" s="46">
        <f t="shared" si="505"/>
        <v>180000</v>
      </c>
      <c r="P606" s="46">
        <f t="shared" ref="P606" si="529">O610</f>
        <v>220000</v>
      </c>
    </row>
    <row r="607" spans="1:16" x14ac:dyDescent="0.25">
      <c r="A607" s="45">
        <f>1/((1/Show!$A$4)-(1/Calc!K607))</f>
        <v>40.008990784445942</v>
      </c>
      <c r="B607" s="45">
        <f>MATCH(A607*Calc!$R$12,Calc!$K$1:$K$774,1)</f>
        <v>256</v>
      </c>
      <c r="C607" s="45">
        <f>INDEX(Calc!$K$1:$K$774,B607)</f>
        <v>38.299999999999997</v>
      </c>
      <c r="D607" s="45">
        <f>1/(1/C607+1/Calc!K607)</f>
        <v>38.291760817756625</v>
      </c>
      <c r="E607" s="45">
        <f>ABS(Show!$A$4-D607)/(Show!$A$4/100)</f>
        <v>4.2705979556084372</v>
      </c>
      <c r="F607" s="46">
        <f>Show!$A$4-Calc!L607</f>
        <v>-181960</v>
      </c>
      <c r="G607" s="46" t="e">
        <f>MATCH(F607*Calc!$R$12,Calc!$K$1:$K$774,1)</f>
        <v>#N/A</v>
      </c>
      <c r="H607" s="46" t="e">
        <f>INDEX(Calc!$K$1:$K$774,G607)</f>
        <v>#N/A</v>
      </c>
      <c r="I607" s="46" t="e">
        <f>H607+Calc!K607</f>
        <v>#N/A</v>
      </c>
      <c r="J607" s="46" t="e">
        <f>ABS(Show!$A$4-I607)/(Show!$A$4/100)</f>
        <v>#N/A</v>
      </c>
      <c r="K607" s="45">
        <f>INDEX(Calc!L607:P607,Show!$B$4)</f>
        <v>178000.00000000003</v>
      </c>
      <c r="L607" s="46">
        <f t="shared" si="504"/>
        <v>182000</v>
      </c>
      <c r="M607" s="46">
        <f>L606</f>
        <v>178000.00000000003</v>
      </c>
      <c r="N607" s="46">
        <f>L606</f>
        <v>178000.00000000003</v>
      </c>
      <c r="O607" s="46">
        <f t="shared" si="505"/>
        <v>180000</v>
      </c>
      <c r="P607" s="46">
        <f t="shared" ref="P607" si="530">O610</f>
        <v>220000</v>
      </c>
    </row>
    <row r="608" spans="1:16" x14ac:dyDescent="0.25">
      <c r="A608" s="45">
        <f>1/((1/Show!$A$4)-(1/Calc!K608))</f>
        <v>40.008990784445942</v>
      </c>
      <c r="B608" s="45">
        <f>MATCH(A608*Calc!$R$12,Calc!$K$1:$K$774,1)</f>
        <v>256</v>
      </c>
      <c r="C608" s="45">
        <f>INDEX(Calc!$K$1:$K$774,B608)</f>
        <v>38.299999999999997</v>
      </c>
      <c r="D608" s="45">
        <f>1/(1/C608+1/Calc!K608)</f>
        <v>38.291760817756625</v>
      </c>
      <c r="E608" s="45">
        <f>ABS(Show!$A$4-D608)/(Show!$A$4/100)</f>
        <v>4.2705979556084372</v>
      </c>
      <c r="F608" s="46">
        <f>Show!$A$4-Calc!L608</f>
        <v>-186960</v>
      </c>
      <c r="G608" s="46" t="e">
        <f>MATCH(F608*Calc!$R$12,Calc!$K$1:$K$774,1)</f>
        <v>#N/A</v>
      </c>
      <c r="H608" s="46" t="e">
        <f>INDEX(Calc!$K$1:$K$774,G608)</f>
        <v>#N/A</v>
      </c>
      <c r="I608" s="46" t="e">
        <f>H608+Calc!K608</f>
        <v>#N/A</v>
      </c>
      <c r="J608" s="46" t="e">
        <f>ABS(Show!$A$4-I608)/(Show!$A$4/100)</f>
        <v>#N/A</v>
      </c>
      <c r="K608" s="45">
        <f>INDEX(Calc!L608:P608,Show!$B$4)</f>
        <v>178000.00000000003</v>
      </c>
      <c r="L608" s="46">
        <f t="shared" si="504"/>
        <v>187000</v>
      </c>
      <c r="M608" s="46">
        <f>L608</f>
        <v>187000</v>
      </c>
      <c r="N608" s="46">
        <f>L606</f>
        <v>178000.00000000003</v>
      </c>
      <c r="O608" s="46">
        <f t="shared" si="505"/>
        <v>180000</v>
      </c>
      <c r="P608" s="46">
        <f t="shared" ref="P608" si="531">O610</f>
        <v>220000</v>
      </c>
    </row>
    <row r="609" spans="1:16" x14ac:dyDescent="0.25">
      <c r="A609" s="45">
        <f>1/((1/Show!$A$4)-(1/Calc!K609))</f>
        <v>40.008164931618694</v>
      </c>
      <c r="B609" s="45">
        <f>MATCH(A609*Calc!$R$12,Calc!$K$1:$K$774,1)</f>
        <v>256</v>
      </c>
      <c r="C609" s="45">
        <f>INDEX(Calc!$K$1:$K$774,B609)</f>
        <v>38.299999999999997</v>
      </c>
      <c r="D609" s="45">
        <f>1/(1/C609+1/Calc!K609)</f>
        <v>38.292517329521829</v>
      </c>
      <c r="E609" s="45">
        <f>ABS(Show!$A$4-D609)/(Show!$A$4/100)</f>
        <v>4.2687066761954284</v>
      </c>
      <c r="F609" s="46">
        <f>Show!$A$4-Calc!L609</f>
        <v>-190960</v>
      </c>
      <c r="G609" s="46" t="e">
        <f>MATCH(F609*Calc!$R$12,Calc!$K$1:$K$774,1)</f>
        <v>#N/A</v>
      </c>
      <c r="H609" s="46" t="e">
        <f>INDEX(Calc!$K$1:$K$774,G609)</f>
        <v>#N/A</v>
      </c>
      <c r="I609" s="46" t="e">
        <f>H609+Calc!K609</f>
        <v>#N/A</v>
      </c>
      <c r="J609" s="46" t="e">
        <f>ABS(Show!$A$4-I609)/(Show!$A$4/100)</f>
        <v>#N/A</v>
      </c>
      <c r="K609" s="45">
        <f>INDEX(Calc!L609:P609,Show!$B$4)</f>
        <v>196000</v>
      </c>
      <c r="L609" s="46">
        <f t="shared" si="504"/>
        <v>191000</v>
      </c>
      <c r="M609" s="46">
        <f>L608</f>
        <v>187000</v>
      </c>
      <c r="N609" s="46">
        <f>L610</f>
        <v>196000</v>
      </c>
      <c r="O609" s="46">
        <f t="shared" si="505"/>
        <v>180000</v>
      </c>
      <c r="P609" s="46">
        <f t="shared" ref="P609" si="532">O610</f>
        <v>220000</v>
      </c>
    </row>
    <row r="610" spans="1:16" x14ac:dyDescent="0.25">
      <c r="A610" s="45">
        <f>1/((1/Show!$A$4)-(1/Calc!K610))</f>
        <v>40.008164931618694</v>
      </c>
      <c r="B610" s="45">
        <f>MATCH(A610*Calc!$R$12,Calc!$K$1:$K$774,1)</f>
        <v>256</v>
      </c>
      <c r="C610" s="45">
        <f>INDEX(Calc!$K$1:$K$774,B610)</f>
        <v>38.299999999999997</v>
      </c>
      <c r="D610" s="45">
        <f>1/(1/C610+1/Calc!K610)</f>
        <v>38.292517329521829</v>
      </c>
      <c r="E610" s="45">
        <f>ABS(Show!$A$4-D610)/(Show!$A$4/100)</f>
        <v>4.2687066761954284</v>
      </c>
      <c r="F610" s="46">
        <f>Show!$A$4-Calc!L610</f>
        <v>-195960</v>
      </c>
      <c r="G610" s="46" t="e">
        <f>MATCH(F610*Calc!$R$12,Calc!$K$1:$K$774,1)</f>
        <v>#N/A</v>
      </c>
      <c r="H610" s="46" t="e">
        <f>INDEX(Calc!$K$1:$K$774,G610)</f>
        <v>#N/A</v>
      </c>
      <c r="I610" s="46" t="e">
        <f>H610+Calc!K610</f>
        <v>#N/A</v>
      </c>
      <c r="J610" s="46" t="e">
        <f>ABS(Show!$A$4-I610)/(Show!$A$4/100)</f>
        <v>#N/A</v>
      </c>
      <c r="K610" s="45">
        <f>INDEX(Calc!L610:P610,Show!$B$4)</f>
        <v>196000</v>
      </c>
      <c r="L610" s="46">
        <f t="shared" si="504"/>
        <v>196000</v>
      </c>
      <c r="M610" s="46">
        <f>L610</f>
        <v>196000</v>
      </c>
      <c r="N610" s="46">
        <f>L610</f>
        <v>196000</v>
      </c>
      <c r="O610" s="46">
        <f t="shared" si="505"/>
        <v>220000</v>
      </c>
      <c r="P610" s="46">
        <f t="shared" ref="P610" si="533">O610</f>
        <v>220000</v>
      </c>
    </row>
    <row r="611" spans="1:16" x14ac:dyDescent="0.25">
      <c r="A611" s="45">
        <f>1/((1/Show!$A$4)-(1/Calc!K611))</f>
        <v>40.008164931618694</v>
      </c>
      <c r="B611" s="45">
        <f>MATCH(A611*Calc!$R$12,Calc!$K$1:$K$774,1)</f>
        <v>256</v>
      </c>
      <c r="C611" s="45">
        <f>INDEX(Calc!$K$1:$K$774,B611)</f>
        <v>38.299999999999997</v>
      </c>
      <c r="D611" s="45">
        <f>1/(1/C611+1/Calc!K611)</f>
        <v>38.292517329521829</v>
      </c>
      <c r="E611" s="45">
        <f>ABS(Show!$A$4-D611)/(Show!$A$4/100)</f>
        <v>4.2687066761954284</v>
      </c>
      <c r="F611" s="46">
        <f>Show!$A$4-Calc!L611</f>
        <v>-199960</v>
      </c>
      <c r="G611" s="46" t="e">
        <f>MATCH(F611*Calc!$R$12,Calc!$K$1:$K$774,1)</f>
        <v>#N/A</v>
      </c>
      <c r="H611" s="46" t="e">
        <f>INDEX(Calc!$K$1:$K$774,G611)</f>
        <v>#N/A</v>
      </c>
      <c r="I611" s="46" t="e">
        <f>H611+Calc!K611</f>
        <v>#N/A</v>
      </c>
      <c r="J611" s="46" t="e">
        <f>ABS(Show!$A$4-I611)/(Show!$A$4/100)</f>
        <v>#N/A</v>
      </c>
      <c r="K611" s="45">
        <f>INDEX(Calc!L611:P611,Show!$B$4)</f>
        <v>196000</v>
      </c>
      <c r="L611" s="46">
        <f t="shared" si="504"/>
        <v>200000</v>
      </c>
      <c r="M611" s="46">
        <f>L610</f>
        <v>196000</v>
      </c>
      <c r="N611" s="46">
        <f>L610</f>
        <v>196000</v>
      </c>
      <c r="O611" s="46">
        <f t="shared" si="505"/>
        <v>220000</v>
      </c>
      <c r="P611" s="46">
        <f t="shared" ref="P611" si="534">O610</f>
        <v>220000</v>
      </c>
    </row>
    <row r="612" spans="1:16" x14ac:dyDescent="0.25">
      <c r="A612" s="45">
        <f>1/((1/Show!$A$4)-(1/Calc!K612))</f>
        <v>40.008164931618694</v>
      </c>
      <c r="B612" s="45">
        <f>MATCH(A612*Calc!$R$12,Calc!$K$1:$K$774,1)</f>
        <v>256</v>
      </c>
      <c r="C612" s="45">
        <f>INDEX(Calc!$K$1:$K$774,B612)</f>
        <v>38.299999999999997</v>
      </c>
      <c r="D612" s="45">
        <f>1/(1/C612+1/Calc!K612)</f>
        <v>38.292517329521829</v>
      </c>
      <c r="E612" s="45">
        <f>ABS(Show!$A$4-D612)/(Show!$A$4/100)</f>
        <v>4.2687066761954284</v>
      </c>
      <c r="F612" s="46">
        <f>Show!$A$4-Calc!L612</f>
        <v>-204960</v>
      </c>
      <c r="G612" s="46" t="e">
        <f>MATCH(F612*Calc!$R$12,Calc!$K$1:$K$774,1)</f>
        <v>#N/A</v>
      </c>
      <c r="H612" s="46" t="e">
        <f>INDEX(Calc!$K$1:$K$774,G612)</f>
        <v>#N/A</v>
      </c>
      <c r="I612" s="46" t="e">
        <f>H612+Calc!K612</f>
        <v>#N/A</v>
      </c>
      <c r="J612" s="46" t="e">
        <f>ABS(Show!$A$4-I612)/(Show!$A$4/100)</f>
        <v>#N/A</v>
      </c>
      <c r="K612" s="45">
        <f>INDEX(Calc!L612:P612,Show!$B$4)</f>
        <v>196000</v>
      </c>
      <c r="L612" s="46">
        <f t="shared" si="504"/>
        <v>205000</v>
      </c>
      <c r="M612" s="46">
        <f>L612</f>
        <v>205000</v>
      </c>
      <c r="N612" s="46">
        <f>L610</f>
        <v>196000</v>
      </c>
      <c r="O612" s="46">
        <f t="shared" si="505"/>
        <v>220000</v>
      </c>
      <c r="P612" s="46">
        <f t="shared" ref="P612" si="535">O610</f>
        <v>220000</v>
      </c>
    </row>
    <row r="613" spans="1:16" x14ac:dyDescent="0.25">
      <c r="A613" s="45">
        <f>1/((1/Show!$A$4)-(1/Calc!K613))</f>
        <v>40.007443245254933</v>
      </c>
      <c r="B613" s="45">
        <f>MATCH(A613*Calc!$R$12,Calc!$K$1:$K$774,1)</f>
        <v>256</v>
      </c>
      <c r="C613" s="45">
        <f>INDEX(Calc!$K$1:$K$774,B613)</f>
        <v>38.299999999999997</v>
      </c>
      <c r="D613" s="45">
        <f>1/(1/C613+1/Calc!K613)</f>
        <v>38.293178470997951</v>
      </c>
      <c r="E613" s="45">
        <f>ABS(Show!$A$4-D613)/(Show!$A$4/100)</f>
        <v>4.2670538225051224</v>
      </c>
      <c r="F613" s="46">
        <f>Show!$A$4-Calc!L613</f>
        <v>-209960</v>
      </c>
      <c r="G613" s="46" t="e">
        <f>MATCH(F613*Calc!$R$12,Calc!$K$1:$K$774,1)</f>
        <v>#N/A</v>
      </c>
      <c r="H613" s="46" t="e">
        <f>INDEX(Calc!$K$1:$K$774,G613)</f>
        <v>#N/A</v>
      </c>
      <c r="I613" s="46" t="e">
        <f>H613+Calc!K613</f>
        <v>#N/A</v>
      </c>
      <c r="J613" s="46" t="e">
        <f>ABS(Show!$A$4-I613)/(Show!$A$4/100)</f>
        <v>#N/A</v>
      </c>
      <c r="K613" s="45">
        <f>INDEX(Calc!L613:P613,Show!$B$4)</f>
        <v>215000</v>
      </c>
      <c r="L613" s="46">
        <f t="shared" si="504"/>
        <v>210000</v>
      </c>
      <c r="M613" s="46">
        <f>L612</f>
        <v>205000</v>
      </c>
      <c r="N613" s="46">
        <f>L614</f>
        <v>215000</v>
      </c>
      <c r="O613" s="46">
        <f t="shared" si="505"/>
        <v>220000</v>
      </c>
      <c r="P613" s="46">
        <f t="shared" ref="P613" si="536">O610</f>
        <v>220000</v>
      </c>
    </row>
    <row r="614" spans="1:16" x14ac:dyDescent="0.25">
      <c r="A614" s="45">
        <f>1/((1/Show!$A$4)-(1/Calc!K614))</f>
        <v>40.007443245254933</v>
      </c>
      <c r="B614" s="45">
        <f>MATCH(A614*Calc!$R$12,Calc!$K$1:$K$774,1)</f>
        <v>256</v>
      </c>
      <c r="C614" s="45">
        <f>INDEX(Calc!$K$1:$K$774,B614)</f>
        <v>38.299999999999997</v>
      </c>
      <c r="D614" s="45">
        <f>1/(1/C614+1/Calc!K614)</f>
        <v>38.293178470997951</v>
      </c>
      <c r="E614" s="45">
        <f>ABS(Show!$A$4-D614)/(Show!$A$4/100)</f>
        <v>4.2670538225051224</v>
      </c>
      <c r="F614" s="46">
        <f>Show!$A$4-Calc!L614</f>
        <v>-214960</v>
      </c>
      <c r="G614" s="46" t="e">
        <f>MATCH(F614*Calc!$R$12,Calc!$K$1:$K$774,1)</f>
        <v>#N/A</v>
      </c>
      <c r="H614" s="46" t="e">
        <f>INDEX(Calc!$K$1:$K$774,G614)</f>
        <v>#N/A</v>
      </c>
      <c r="I614" s="46" t="e">
        <f>H614+Calc!K614</f>
        <v>#N/A</v>
      </c>
      <c r="J614" s="46" t="e">
        <f>ABS(Show!$A$4-I614)/(Show!$A$4/100)</f>
        <v>#N/A</v>
      </c>
      <c r="K614" s="45">
        <f>INDEX(Calc!L614:P614,Show!$B$4)</f>
        <v>215000</v>
      </c>
      <c r="L614" s="46">
        <f t="shared" si="504"/>
        <v>215000</v>
      </c>
      <c r="M614" s="46">
        <f>L614</f>
        <v>215000</v>
      </c>
      <c r="N614" s="46">
        <f>L614</f>
        <v>215000</v>
      </c>
      <c r="O614" s="46">
        <f t="shared" si="505"/>
        <v>220000</v>
      </c>
      <c r="P614" s="46">
        <f t="shared" ref="P614" si="537">O610</f>
        <v>220000</v>
      </c>
    </row>
    <row r="615" spans="1:16" x14ac:dyDescent="0.25">
      <c r="A615" s="45">
        <f>1/((1/Show!$A$4)-(1/Calc!K615))</f>
        <v>40.007443245254933</v>
      </c>
      <c r="B615" s="45">
        <f>MATCH(A615*Calc!$R$12,Calc!$K$1:$K$774,1)</f>
        <v>256</v>
      </c>
      <c r="C615" s="45">
        <f>INDEX(Calc!$K$1:$K$774,B615)</f>
        <v>38.299999999999997</v>
      </c>
      <c r="D615" s="45">
        <f>1/(1/C615+1/Calc!K615)</f>
        <v>38.293178470997951</v>
      </c>
      <c r="E615" s="45">
        <f>ABS(Show!$A$4-D615)/(Show!$A$4/100)</f>
        <v>4.2670538225051224</v>
      </c>
      <c r="F615" s="46">
        <f>Show!$A$4-Calc!L615</f>
        <v>-220960</v>
      </c>
      <c r="G615" s="46" t="e">
        <f>MATCH(F615*Calc!$R$12,Calc!$K$1:$K$774,1)</f>
        <v>#N/A</v>
      </c>
      <c r="H615" s="46" t="e">
        <f>INDEX(Calc!$K$1:$K$774,G615)</f>
        <v>#N/A</v>
      </c>
      <c r="I615" s="46" t="e">
        <f>H615+Calc!K615</f>
        <v>#N/A</v>
      </c>
      <c r="J615" s="46" t="e">
        <f>ABS(Show!$A$4-I615)/(Show!$A$4/100)</f>
        <v>#N/A</v>
      </c>
      <c r="K615" s="45">
        <f>INDEX(Calc!L615:P615,Show!$B$4)</f>
        <v>215000</v>
      </c>
      <c r="L615" s="46">
        <f t="shared" si="504"/>
        <v>221000</v>
      </c>
      <c r="M615" s="46">
        <f>L614</f>
        <v>215000</v>
      </c>
      <c r="N615" s="46">
        <f>L614</f>
        <v>215000</v>
      </c>
      <c r="O615" s="46">
        <f t="shared" si="505"/>
        <v>220000</v>
      </c>
      <c r="P615" s="46">
        <f t="shared" ref="P615" si="538">O610</f>
        <v>220000</v>
      </c>
    </row>
    <row r="616" spans="1:16" x14ac:dyDescent="0.25">
      <c r="A616" s="45">
        <f>1/((1/Show!$A$4)-(1/Calc!K616))</f>
        <v>40.007443245254933</v>
      </c>
      <c r="B616" s="45">
        <f>MATCH(A616*Calc!$R$12,Calc!$K$1:$K$774,1)</f>
        <v>256</v>
      </c>
      <c r="C616" s="45">
        <f>INDEX(Calc!$K$1:$K$774,B616)</f>
        <v>38.299999999999997</v>
      </c>
      <c r="D616" s="45">
        <f>1/(1/C616+1/Calc!K616)</f>
        <v>38.293178470997951</v>
      </c>
      <c r="E616" s="45">
        <f>ABS(Show!$A$4-D616)/(Show!$A$4/100)</f>
        <v>4.2670538225051224</v>
      </c>
      <c r="F616" s="46">
        <f>Show!$A$4-Calc!L616</f>
        <v>-225960</v>
      </c>
      <c r="G616" s="46" t="e">
        <f>MATCH(F616*Calc!$R$12,Calc!$K$1:$K$774,1)</f>
        <v>#N/A</v>
      </c>
      <c r="H616" s="46" t="e">
        <f>INDEX(Calc!$K$1:$K$774,G616)</f>
        <v>#N/A</v>
      </c>
      <c r="I616" s="46" t="e">
        <f>H616+Calc!K616</f>
        <v>#N/A</v>
      </c>
      <c r="J616" s="46" t="e">
        <f>ABS(Show!$A$4-I616)/(Show!$A$4/100)</f>
        <v>#N/A</v>
      </c>
      <c r="K616" s="45">
        <f>INDEX(Calc!L616:P616,Show!$B$4)</f>
        <v>215000</v>
      </c>
      <c r="L616" s="46">
        <f t="shared" si="504"/>
        <v>226000</v>
      </c>
      <c r="M616" s="46">
        <f>L616</f>
        <v>226000</v>
      </c>
      <c r="N616" s="46">
        <f>L614</f>
        <v>215000</v>
      </c>
      <c r="O616" s="46">
        <f t="shared" si="505"/>
        <v>220000</v>
      </c>
      <c r="P616" s="46">
        <f t="shared" ref="P616" si="539">O610</f>
        <v>220000</v>
      </c>
    </row>
    <row r="617" spans="1:16" x14ac:dyDescent="0.25">
      <c r="A617" s="45">
        <f>1/((1/Show!$A$4)-(1/Calc!K617))</f>
        <v>40.006752194463196</v>
      </c>
      <c r="B617" s="45">
        <f>MATCH(A617*Calc!$R$12,Calc!$K$1:$K$774,1)</f>
        <v>256</v>
      </c>
      <c r="C617" s="45">
        <f>INDEX(Calc!$K$1:$K$774,B617)</f>
        <v>38.299999999999997</v>
      </c>
      <c r="D617" s="45">
        <f>1/(1/C617+1/Calc!K617)</f>
        <v>38.293811590785111</v>
      </c>
      <c r="E617" s="45">
        <f>ABS(Show!$A$4-D617)/(Show!$A$4/100)</f>
        <v>4.2654710230372217</v>
      </c>
      <c r="F617" s="46">
        <f>Show!$A$4-Calc!L617</f>
        <v>-231959.99999999997</v>
      </c>
      <c r="G617" s="46" t="e">
        <f>MATCH(F617*Calc!$R$12,Calc!$K$1:$K$774,1)</f>
        <v>#N/A</v>
      </c>
      <c r="H617" s="46" t="e">
        <f>INDEX(Calc!$K$1:$K$774,G617)</f>
        <v>#N/A</v>
      </c>
      <c r="I617" s="46" t="e">
        <f>H617+Calc!K617</f>
        <v>#N/A</v>
      </c>
      <c r="J617" s="46" t="e">
        <f>ABS(Show!$A$4-I617)/(Show!$A$4/100)</f>
        <v>#N/A</v>
      </c>
      <c r="K617" s="45">
        <f>INDEX(Calc!L617:P617,Show!$B$4)</f>
        <v>237000</v>
      </c>
      <c r="L617" s="46">
        <f t="shared" si="504"/>
        <v>231999.99999999997</v>
      </c>
      <c r="M617" s="46">
        <f>L616</f>
        <v>226000</v>
      </c>
      <c r="N617" s="46">
        <f>L618</f>
        <v>237000</v>
      </c>
      <c r="O617" s="46">
        <f t="shared" si="505"/>
        <v>220000</v>
      </c>
      <c r="P617" s="46">
        <f t="shared" ref="P617" si="540">O610</f>
        <v>220000</v>
      </c>
    </row>
    <row r="618" spans="1:16" x14ac:dyDescent="0.25">
      <c r="A618" s="45">
        <f>1/((1/Show!$A$4)-(1/Calc!K618))</f>
        <v>40.006752194463196</v>
      </c>
      <c r="B618" s="45">
        <f>MATCH(A618*Calc!$R$12,Calc!$K$1:$K$774,1)</f>
        <v>256</v>
      </c>
      <c r="C618" s="45">
        <f>INDEX(Calc!$K$1:$K$774,B618)</f>
        <v>38.299999999999997</v>
      </c>
      <c r="D618" s="45">
        <f>1/(1/C618+1/Calc!K618)</f>
        <v>38.293811590785111</v>
      </c>
      <c r="E618" s="45">
        <f>ABS(Show!$A$4-D618)/(Show!$A$4/100)</f>
        <v>4.2654710230372217</v>
      </c>
      <c r="F618" s="46">
        <f>Show!$A$4-Calc!L618</f>
        <v>-236960</v>
      </c>
      <c r="G618" s="46" t="e">
        <f>MATCH(F618*Calc!$R$12,Calc!$K$1:$K$774,1)</f>
        <v>#N/A</v>
      </c>
      <c r="H618" s="46" t="e">
        <f>INDEX(Calc!$K$1:$K$774,G618)</f>
        <v>#N/A</v>
      </c>
      <c r="I618" s="46" t="e">
        <f>H618+Calc!K618</f>
        <v>#N/A</v>
      </c>
      <c r="J618" s="46" t="e">
        <f>ABS(Show!$A$4-I618)/(Show!$A$4/100)</f>
        <v>#N/A</v>
      </c>
      <c r="K618" s="45">
        <f>INDEX(Calc!L618:P618,Show!$B$4)</f>
        <v>237000</v>
      </c>
      <c r="L618" s="46">
        <f t="shared" si="504"/>
        <v>237000</v>
      </c>
      <c r="M618" s="46">
        <f>L618</f>
        <v>237000</v>
      </c>
      <c r="N618" s="46">
        <f>L618</f>
        <v>237000</v>
      </c>
      <c r="O618" s="46">
        <f t="shared" si="505"/>
        <v>270000</v>
      </c>
      <c r="P618" s="46">
        <f t="shared" ref="P618" si="541">O610</f>
        <v>220000</v>
      </c>
    </row>
    <row r="619" spans="1:16" x14ac:dyDescent="0.25">
      <c r="A619" s="45">
        <f>1/((1/Show!$A$4)-(1/Calc!K619))</f>
        <v>40.006752194463196</v>
      </c>
      <c r="B619" s="45">
        <f>MATCH(A619*Calc!$R$12,Calc!$K$1:$K$774,1)</f>
        <v>256</v>
      </c>
      <c r="C619" s="45">
        <f>INDEX(Calc!$K$1:$K$774,B619)</f>
        <v>38.299999999999997</v>
      </c>
      <c r="D619" s="45">
        <f>1/(1/C619+1/Calc!K619)</f>
        <v>38.293811590785111</v>
      </c>
      <c r="E619" s="45">
        <f>ABS(Show!$A$4-D619)/(Show!$A$4/100)</f>
        <v>4.2654710230372217</v>
      </c>
      <c r="F619" s="46">
        <f>Show!$A$4-Calc!L619</f>
        <v>-242960</v>
      </c>
      <c r="G619" s="46" t="e">
        <f>MATCH(F619*Calc!$R$12,Calc!$K$1:$K$774,1)</f>
        <v>#N/A</v>
      </c>
      <c r="H619" s="46" t="e">
        <f>INDEX(Calc!$K$1:$K$774,G619)</f>
        <v>#N/A</v>
      </c>
      <c r="I619" s="46" t="e">
        <f>H619+Calc!K619</f>
        <v>#N/A</v>
      </c>
      <c r="J619" s="46" t="e">
        <f>ABS(Show!$A$4-I619)/(Show!$A$4/100)</f>
        <v>#N/A</v>
      </c>
      <c r="K619" s="45">
        <f>INDEX(Calc!L619:P619,Show!$B$4)</f>
        <v>237000</v>
      </c>
      <c r="L619" s="46">
        <f t="shared" si="504"/>
        <v>243000</v>
      </c>
      <c r="M619" s="46">
        <f>L618</f>
        <v>237000</v>
      </c>
      <c r="N619" s="46">
        <f>L618</f>
        <v>237000</v>
      </c>
      <c r="O619" s="46">
        <f t="shared" si="505"/>
        <v>270000</v>
      </c>
      <c r="P619" s="46">
        <f t="shared" ref="P619" si="542">O610</f>
        <v>220000</v>
      </c>
    </row>
    <row r="620" spans="1:16" x14ac:dyDescent="0.25">
      <c r="A620" s="45">
        <f>1/((1/Show!$A$4)-(1/Calc!K620))</f>
        <v>40.006752194463196</v>
      </c>
      <c r="B620" s="45">
        <f>MATCH(A620*Calc!$R$12,Calc!$K$1:$K$774,1)</f>
        <v>256</v>
      </c>
      <c r="C620" s="45">
        <f>INDEX(Calc!$K$1:$K$774,B620)</f>
        <v>38.299999999999997</v>
      </c>
      <c r="D620" s="45">
        <f>1/(1/C620+1/Calc!K620)</f>
        <v>38.293811590785111</v>
      </c>
      <c r="E620" s="45">
        <f>ABS(Show!$A$4-D620)/(Show!$A$4/100)</f>
        <v>4.2654710230372217</v>
      </c>
      <c r="F620" s="46">
        <f>Show!$A$4-Calc!L620</f>
        <v>-248960</v>
      </c>
      <c r="G620" s="46" t="e">
        <f>MATCH(F620*Calc!$R$12,Calc!$K$1:$K$774,1)</f>
        <v>#N/A</v>
      </c>
      <c r="H620" s="46" t="e">
        <f>INDEX(Calc!$K$1:$K$774,G620)</f>
        <v>#N/A</v>
      </c>
      <c r="I620" s="46" t="e">
        <f>H620+Calc!K620</f>
        <v>#N/A</v>
      </c>
      <c r="J620" s="46" t="e">
        <f>ABS(Show!$A$4-I620)/(Show!$A$4/100)</f>
        <v>#N/A</v>
      </c>
      <c r="K620" s="45">
        <f>INDEX(Calc!L620:P620,Show!$B$4)</f>
        <v>237000</v>
      </c>
      <c r="L620" s="46">
        <f t="shared" si="504"/>
        <v>249000</v>
      </c>
      <c r="M620" s="46">
        <f>L620</f>
        <v>249000</v>
      </c>
      <c r="N620" s="46">
        <f>L618</f>
        <v>237000</v>
      </c>
      <c r="O620" s="46">
        <f t="shared" si="505"/>
        <v>270000</v>
      </c>
      <c r="P620" s="46">
        <f t="shared" ref="P620" si="543">O610</f>
        <v>220000</v>
      </c>
    </row>
    <row r="621" spans="1:16" x14ac:dyDescent="0.25">
      <c r="A621" s="45">
        <f>1/((1/Show!$A$4)-(1/Calc!K621))</f>
        <v>40.006131207847943</v>
      </c>
      <c r="B621" s="45">
        <f>MATCH(A621*Calc!$R$12,Calc!$K$1:$K$774,1)</f>
        <v>256</v>
      </c>
      <c r="C621" s="45">
        <f>INDEX(Calc!$K$1:$K$774,B621)</f>
        <v>38.299999999999997</v>
      </c>
      <c r="D621" s="45">
        <f>1/(1/C621+1/Calc!K621)</f>
        <v>38.294380556416428</v>
      </c>
      <c r="E621" s="45">
        <f>ABS(Show!$A$4-D621)/(Show!$A$4/100)</f>
        <v>4.2640486089589302</v>
      </c>
      <c r="F621" s="46">
        <f>Show!$A$4-Calc!L621</f>
        <v>-254960</v>
      </c>
      <c r="G621" s="46" t="e">
        <f>MATCH(F621*Calc!$R$12,Calc!$K$1:$K$774,1)</f>
        <v>#N/A</v>
      </c>
      <c r="H621" s="46" t="e">
        <f>INDEX(Calc!$K$1:$K$774,G621)</f>
        <v>#N/A</v>
      </c>
      <c r="I621" s="46" t="e">
        <f>H621+Calc!K621</f>
        <v>#N/A</v>
      </c>
      <c r="J621" s="46" t="e">
        <f>ABS(Show!$A$4-I621)/(Show!$A$4/100)</f>
        <v>#N/A</v>
      </c>
      <c r="K621" s="45">
        <f>INDEX(Calc!L621:P621,Show!$B$4)</f>
        <v>261000</v>
      </c>
      <c r="L621" s="46">
        <f t="shared" si="504"/>
        <v>255000</v>
      </c>
      <c r="M621" s="46">
        <f>L620</f>
        <v>249000</v>
      </c>
      <c r="N621" s="46">
        <f>L622</f>
        <v>261000</v>
      </c>
      <c r="O621" s="46">
        <f t="shared" si="505"/>
        <v>270000</v>
      </c>
      <c r="P621" s="46">
        <f t="shared" ref="P621" si="544">O610</f>
        <v>220000</v>
      </c>
    </row>
    <row r="622" spans="1:16" x14ac:dyDescent="0.25">
      <c r="A622" s="45">
        <f>1/((1/Show!$A$4)-(1/Calc!K622))</f>
        <v>40.006131207847943</v>
      </c>
      <c r="B622" s="45">
        <f>MATCH(A622*Calc!$R$12,Calc!$K$1:$K$774,1)</f>
        <v>256</v>
      </c>
      <c r="C622" s="45">
        <f>INDEX(Calc!$K$1:$K$774,B622)</f>
        <v>38.299999999999997</v>
      </c>
      <c r="D622" s="45">
        <f>1/(1/C622+1/Calc!K622)</f>
        <v>38.294380556416428</v>
      </c>
      <c r="E622" s="45">
        <f>ABS(Show!$A$4-D622)/(Show!$A$4/100)</f>
        <v>4.2640486089589302</v>
      </c>
      <c r="F622" s="46">
        <f>Show!$A$4-Calc!L622</f>
        <v>-260960</v>
      </c>
      <c r="G622" s="46" t="e">
        <f>MATCH(F622*Calc!$R$12,Calc!$K$1:$K$774,1)</f>
        <v>#N/A</v>
      </c>
      <c r="H622" s="46" t="e">
        <f>INDEX(Calc!$K$1:$K$774,G622)</f>
        <v>#N/A</v>
      </c>
      <c r="I622" s="46" t="e">
        <f>H622+Calc!K622</f>
        <v>#N/A</v>
      </c>
      <c r="J622" s="46" t="e">
        <f>ABS(Show!$A$4-I622)/(Show!$A$4/100)</f>
        <v>#N/A</v>
      </c>
      <c r="K622" s="45">
        <f>INDEX(Calc!L622:P622,Show!$B$4)</f>
        <v>261000</v>
      </c>
      <c r="L622" s="46">
        <f t="shared" si="504"/>
        <v>261000</v>
      </c>
      <c r="M622" s="46">
        <f>L622</f>
        <v>261000</v>
      </c>
      <c r="N622" s="46">
        <f>L622</f>
        <v>261000</v>
      </c>
      <c r="O622" s="46">
        <f t="shared" si="505"/>
        <v>270000</v>
      </c>
      <c r="P622" s="46">
        <f t="shared" ref="P622" si="545">O626</f>
        <v>330000</v>
      </c>
    </row>
    <row r="623" spans="1:16" x14ac:dyDescent="0.25">
      <c r="A623" s="45">
        <f>1/((1/Show!$A$4)-(1/Calc!K623))</f>
        <v>40.006131207847943</v>
      </c>
      <c r="B623" s="45">
        <f>MATCH(A623*Calc!$R$12,Calc!$K$1:$K$774,1)</f>
        <v>256</v>
      </c>
      <c r="C623" s="45">
        <f>INDEX(Calc!$K$1:$K$774,B623)</f>
        <v>38.299999999999997</v>
      </c>
      <c r="D623" s="45">
        <f>1/(1/C623+1/Calc!K623)</f>
        <v>38.294380556416428</v>
      </c>
      <c r="E623" s="45">
        <f>ABS(Show!$A$4-D623)/(Show!$A$4/100)</f>
        <v>4.2640486089589302</v>
      </c>
      <c r="F623" s="46">
        <f>Show!$A$4-Calc!L623</f>
        <v>-266960</v>
      </c>
      <c r="G623" s="46" t="e">
        <f>MATCH(F623*Calc!$R$12,Calc!$K$1:$K$774,1)</f>
        <v>#N/A</v>
      </c>
      <c r="H623" s="46" t="e">
        <f>INDEX(Calc!$K$1:$K$774,G623)</f>
        <v>#N/A</v>
      </c>
      <c r="I623" s="46" t="e">
        <f>H623+Calc!K623</f>
        <v>#N/A</v>
      </c>
      <c r="J623" s="46" t="e">
        <f>ABS(Show!$A$4-I623)/(Show!$A$4/100)</f>
        <v>#N/A</v>
      </c>
      <c r="K623" s="45">
        <f>INDEX(Calc!L623:P623,Show!$B$4)</f>
        <v>261000</v>
      </c>
      <c r="L623" s="46">
        <f t="shared" si="504"/>
        <v>267000</v>
      </c>
      <c r="M623" s="46">
        <f>L622</f>
        <v>261000</v>
      </c>
      <c r="N623" s="46">
        <f>L622</f>
        <v>261000</v>
      </c>
      <c r="O623" s="46">
        <f t="shared" si="505"/>
        <v>270000</v>
      </c>
      <c r="P623" s="46">
        <f t="shared" ref="P623" si="546">O626</f>
        <v>330000</v>
      </c>
    </row>
    <row r="624" spans="1:16" x14ac:dyDescent="0.25">
      <c r="A624" s="45">
        <f>1/((1/Show!$A$4)-(1/Calc!K624))</f>
        <v>40.006131207847943</v>
      </c>
      <c r="B624" s="45">
        <f>MATCH(A624*Calc!$R$12,Calc!$K$1:$K$774,1)</f>
        <v>256</v>
      </c>
      <c r="C624" s="45">
        <f>INDEX(Calc!$K$1:$K$774,B624)</f>
        <v>38.299999999999997</v>
      </c>
      <c r="D624" s="45">
        <f>1/(1/C624+1/Calc!K624)</f>
        <v>38.294380556416428</v>
      </c>
      <c r="E624" s="45">
        <f>ABS(Show!$A$4-D624)/(Show!$A$4/100)</f>
        <v>4.2640486089589302</v>
      </c>
      <c r="F624" s="46">
        <f>Show!$A$4-Calc!L624</f>
        <v>-273959.99999999994</v>
      </c>
      <c r="G624" s="46" t="e">
        <f>MATCH(F624*Calc!$R$12,Calc!$K$1:$K$774,1)</f>
        <v>#N/A</v>
      </c>
      <c r="H624" s="46" t="e">
        <f>INDEX(Calc!$K$1:$K$774,G624)</f>
        <v>#N/A</v>
      </c>
      <c r="I624" s="46" t="e">
        <f>H624+Calc!K624</f>
        <v>#N/A</v>
      </c>
      <c r="J624" s="46" t="e">
        <f>ABS(Show!$A$4-I624)/(Show!$A$4/100)</f>
        <v>#N/A</v>
      </c>
      <c r="K624" s="45">
        <f>INDEX(Calc!L624:P624,Show!$B$4)</f>
        <v>261000</v>
      </c>
      <c r="L624" s="46">
        <f t="shared" si="504"/>
        <v>273999.99999999994</v>
      </c>
      <c r="M624" s="46">
        <f>L624</f>
        <v>273999.99999999994</v>
      </c>
      <c r="N624" s="46">
        <f>L622</f>
        <v>261000</v>
      </c>
      <c r="O624" s="46">
        <f t="shared" si="505"/>
        <v>270000</v>
      </c>
      <c r="P624" s="46">
        <f t="shared" ref="P624" si="547">O626</f>
        <v>330000</v>
      </c>
    </row>
    <row r="625" spans="1:16" x14ac:dyDescent="0.25">
      <c r="A625" s="45">
        <f>1/((1/Show!$A$4)-(1/Calc!K625))</f>
        <v>40.005575689991637</v>
      </c>
      <c r="B625" s="45">
        <f>MATCH(A625*Calc!$R$12,Calc!$K$1:$K$774,1)</f>
        <v>256</v>
      </c>
      <c r="C625" s="45">
        <f>INDEX(Calc!$K$1:$K$774,B625)</f>
        <v>38.299999999999997</v>
      </c>
      <c r="D625" s="45">
        <f>1/(1/C625+1/Calc!K625)</f>
        <v>38.294889567002031</v>
      </c>
      <c r="E625" s="45">
        <f>ABS(Show!$A$4-D625)/(Show!$A$4/100)</f>
        <v>4.2627760824949235</v>
      </c>
      <c r="F625" s="46">
        <f>Show!$A$4-Calc!L625</f>
        <v>-279960</v>
      </c>
      <c r="G625" s="46" t="e">
        <f>MATCH(F625*Calc!$R$12,Calc!$K$1:$K$774,1)</f>
        <v>#N/A</v>
      </c>
      <c r="H625" s="46" t="e">
        <f>INDEX(Calc!$K$1:$K$774,G625)</f>
        <v>#N/A</v>
      </c>
      <c r="I625" s="46" t="e">
        <f>H625+Calc!K625</f>
        <v>#N/A</v>
      </c>
      <c r="J625" s="46" t="e">
        <f>ABS(Show!$A$4-I625)/(Show!$A$4/100)</f>
        <v>#N/A</v>
      </c>
      <c r="K625" s="45">
        <f>INDEX(Calc!L625:P625,Show!$B$4)</f>
        <v>287000</v>
      </c>
      <c r="L625" s="46">
        <f t="shared" si="504"/>
        <v>280000</v>
      </c>
      <c r="M625" s="46">
        <f>L624</f>
        <v>273999.99999999994</v>
      </c>
      <c r="N625" s="46">
        <f>L626</f>
        <v>287000</v>
      </c>
      <c r="O625" s="46">
        <f t="shared" si="505"/>
        <v>270000</v>
      </c>
      <c r="P625" s="46">
        <f t="shared" ref="P625" si="548">O626</f>
        <v>330000</v>
      </c>
    </row>
    <row r="626" spans="1:16" x14ac:dyDescent="0.25">
      <c r="A626" s="45">
        <f>1/((1/Show!$A$4)-(1/Calc!K626))</f>
        <v>40.005575689991637</v>
      </c>
      <c r="B626" s="45">
        <f>MATCH(A626*Calc!$R$12,Calc!$K$1:$K$774,1)</f>
        <v>256</v>
      </c>
      <c r="C626" s="45">
        <f>INDEX(Calc!$K$1:$K$774,B626)</f>
        <v>38.299999999999997</v>
      </c>
      <c r="D626" s="45">
        <f>1/(1/C626+1/Calc!K626)</f>
        <v>38.294889567002031</v>
      </c>
      <c r="E626" s="45">
        <f>ABS(Show!$A$4-D626)/(Show!$A$4/100)</f>
        <v>4.2627760824949235</v>
      </c>
      <c r="F626" s="46">
        <f>Show!$A$4-Calc!L626</f>
        <v>-286960</v>
      </c>
      <c r="G626" s="46" t="e">
        <f>MATCH(F626*Calc!$R$12,Calc!$K$1:$K$774,1)</f>
        <v>#N/A</v>
      </c>
      <c r="H626" s="46" t="e">
        <f>INDEX(Calc!$K$1:$K$774,G626)</f>
        <v>#N/A</v>
      </c>
      <c r="I626" s="46" t="e">
        <f>H626+Calc!K626</f>
        <v>#N/A</v>
      </c>
      <c r="J626" s="46" t="e">
        <f>ABS(Show!$A$4-I626)/(Show!$A$4/100)</f>
        <v>#N/A</v>
      </c>
      <c r="K626" s="45">
        <f>INDEX(Calc!L626:P626,Show!$B$4)</f>
        <v>287000</v>
      </c>
      <c r="L626" s="46">
        <f t="shared" si="504"/>
        <v>287000</v>
      </c>
      <c r="M626" s="46">
        <f>L626</f>
        <v>287000</v>
      </c>
      <c r="N626" s="46">
        <f>L626</f>
        <v>287000</v>
      </c>
      <c r="O626" s="46">
        <f t="shared" si="505"/>
        <v>330000</v>
      </c>
      <c r="P626" s="46">
        <f t="shared" ref="P626" si="549">O626</f>
        <v>330000</v>
      </c>
    </row>
    <row r="627" spans="1:16" x14ac:dyDescent="0.25">
      <c r="A627" s="45">
        <f>1/((1/Show!$A$4)-(1/Calc!K627))</f>
        <v>40.005575689991637</v>
      </c>
      <c r="B627" s="45">
        <f>MATCH(A627*Calc!$R$12,Calc!$K$1:$K$774,1)</f>
        <v>256</v>
      </c>
      <c r="C627" s="45">
        <f>INDEX(Calc!$K$1:$K$774,B627)</f>
        <v>38.299999999999997</v>
      </c>
      <c r="D627" s="45">
        <f>1/(1/C627+1/Calc!K627)</f>
        <v>38.294889567002031</v>
      </c>
      <c r="E627" s="45">
        <f>ABS(Show!$A$4-D627)/(Show!$A$4/100)</f>
        <v>4.2627760824949235</v>
      </c>
      <c r="F627" s="46">
        <f>Show!$A$4-Calc!L627</f>
        <v>-293960</v>
      </c>
      <c r="G627" s="46" t="e">
        <f>MATCH(F627*Calc!$R$12,Calc!$K$1:$K$774,1)</f>
        <v>#N/A</v>
      </c>
      <c r="H627" s="46" t="e">
        <f>INDEX(Calc!$K$1:$K$774,G627)</f>
        <v>#N/A</v>
      </c>
      <c r="I627" s="46" t="e">
        <f>H627+Calc!K627</f>
        <v>#N/A</v>
      </c>
      <c r="J627" s="46" t="e">
        <f>ABS(Show!$A$4-I627)/(Show!$A$4/100)</f>
        <v>#N/A</v>
      </c>
      <c r="K627" s="45">
        <f>INDEX(Calc!L627:P627,Show!$B$4)</f>
        <v>287000</v>
      </c>
      <c r="L627" s="46">
        <f t="shared" si="504"/>
        <v>294000</v>
      </c>
      <c r="M627" s="46">
        <f>L626</f>
        <v>287000</v>
      </c>
      <c r="N627" s="46">
        <f>L626</f>
        <v>287000</v>
      </c>
      <c r="O627" s="46">
        <f t="shared" si="505"/>
        <v>330000</v>
      </c>
      <c r="P627" s="46">
        <f t="shared" ref="P627" si="550">O626</f>
        <v>330000</v>
      </c>
    </row>
    <row r="628" spans="1:16" x14ac:dyDescent="0.25">
      <c r="A628" s="45">
        <f>1/((1/Show!$A$4)-(1/Calc!K628))</f>
        <v>40.005575689991637</v>
      </c>
      <c r="B628" s="45">
        <f>MATCH(A628*Calc!$R$12,Calc!$K$1:$K$774,1)</f>
        <v>256</v>
      </c>
      <c r="C628" s="45">
        <f>INDEX(Calc!$K$1:$K$774,B628)</f>
        <v>38.299999999999997</v>
      </c>
      <c r="D628" s="45">
        <f>1/(1/C628+1/Calc!K628)</f>
        <v>38.294889567002031</v>
      </c>
      <c r="E628" s="45">
        <f>ABS(Show!$A$4-D628)/(Show!$A$4/100)</f>
        <v>4.2627760824949235</v>
      </c>
      <c r="F628" s="46">
        <f>Show!$A$4-Calc!L628</f>
        <v>-300960</v>
      </c>
      <c r="G628" s="46" t="e">
        <f>MATCH(F628*Calc!$R$12,Calc!$K$1:$K$774,1)</f>
        <v>#N/A</v>
      </c>
      <c r="H628" s="46" t="e">
        <f>INDEX(Calc!$K$1:$K$774,G628)</f>
        <v>#N/A</v>
      </c>
      <c r="I628" s="46" t="e">
        <f>H628+Calc!K628</f>
        <v>#N/A</v>
      </c>
      <c r="J628" s="46" t="e">
        <f>ABS(Show!$A$4-I628)/(Show!$A$4/100)</f>
        <v>#N/A</v>
      </c>
      <c r="K628" s="45">
        <f>INDEX(Calc!L628:P628,Show!$B$4)</f>
        <v>287000</v>
      </c>
      <c r="L628" s="46">
        <f t="shared" si="504"/>
        <v>301000</v>
      </c>
      <c r="M628" s="46">
        <f>L628</f>
        <v>301000</v>
      </c>
      <c r="N628" s="46">
        <f>L626</f>
        <v>287000</v>
      </c>
      <c r="O628" s="46">
        <f t="shared" si="505"/>
        <v>330000</v>
      </c>
      <c r="P628" s="46">
        <f t="shared" ref="P628" si="551">O626</f>
        <v>330000</v>
      </c>
    </row>
    <row r="629" spans="1:16" x14ac:dyDescent="0.25">
      <c r="A629" s="45">
        <f>1/((1/Show!$A$4)-(1/Calc!K629))</f>
        <v>40.005063932143308</v>
      </c>
      <c r="B629" s="45">
        <f>MATCH(A629*Calc!$R$12,Calc!$K$1:$K$774,1)</f>
        <v>256</v>
      </c>
      <c r="C629" s="45">
        <f>INDEX(Calc!$K$1:$K$774,B629)</f>
        <v>38.299999999999997</v>
      </c>
      <c r="D629" s="45">
        <f>1/(1/C629+1/Calc!K629)</f>
        <v>38.295358505598841</v>
      </c>
      <c r="E629" s="45">
        <f>ABS(Show!$A$4-D629)/(Show!$A$4/100)</f>
        <v>4.2616037360028969</v>
      </c>
      <c r="F629" s="46">
        <f>Show!$A$4-Calc!L629</f>
        <v>-308960</v>
      </c>
      <c r="G629" s="46" t="e">
        <f>MATCH(F629*Calc!$R$12,Calc!$K$1:$K$774,1)</f>
        <v>#N/A</v>
      </c>
      <c r="H629" s="46" t="e">
        <f>INDEX(Calc!$K$1:$K$774,G629)</f>
        <v>#N/A</v>
      </c>
      <c r="I629" s="46" t="e">
        <f>H629+Calc!K629</f>
        <v>#N/A</v>
      </c>
      <c r="J629" s="46" t="e">
        <f>ABS(Show!$A$4-I629)/(Show!$A$4/100)</f>
        <v>#N/A</v>
      </c>
      <c r="K629" s="45">
        <f>INDEX(Calc!L629:P629,Show!$B$4)</f>
        <v>316000</v>
      </c>
      <c r="L629" s="46">
        <f t="shared" si="504"/>
        <v>309000</v>
      </c>
      <c r="M629" s="46">
        <f>L628</f>
        <v>301000</v>
      </c>
      <c r="N629" s="46">
        <f>L630</f>
        <v>316000</v>
      </c>
      <c r="O629" s="46">
        <f t="shared" si="505"/>
        <v>330000</v>
      </c>
      <c r="P629" s="46">
        <f t="shared" ref="P629" si="552">O626</f>
        <v>330000</v>
      </c>
    </row>
    <row r="630" spans="1:16" x14ac:dyDescent="0.25">
      <c r="A630" s="45">
        <f>1/((1/Show!$A$4)-(1/Calc!K630))</f>
        <v>40.005063932143308</v>
      </c>
      <c r="B630" s="45">
        <f>MATCH(A630*Calc!$R$12,Calc!$K$1:$K$774,1)</f>
        <v>256</v>
      </c>
      <c r="C630" s="45">
        <f>INDEX(Calc!$K$1:$K$774,B630)</f>
        <v>38.299999999999997</v>
      </c>
      <c r="D630" s="45">
        <f>1/(1/C630+1/Calc!K630)</f>
        <v>38.295358505598841</v>
      </c>
      <c r="E630" s="45">
        <f>ABS(Show!$A$4-D630)/(Show!$A$4/100)</f>
        <v>4.2616037360028969</v>
      </c>
      <c r="F630" s="46">
        <f>Show!$A$4-Calc!L630</f>
        <v>-315960</v>
      </c>
      <c r="G630" s="46" t="e">
        <f>MATCH(F630*Calc!$R$12,Calc!$K$1:$K$774,1)</f>
        <v>#N/A</v>
      </c>
      <c r="H630" s="46" t="e">
        <f>INDEX(Calc!$K$1:$K$774,G630)</f>
        <v>#N/A</v>
      </c>
      <c r="I630" s="46" t="e">
        <f>H630+Calc!K630</f>
        <v>#N/A</v>
      </c>
      <c r="J630" s="46" t="e">
        <f>ABS(Show!$A$4-I630)/(Show!$A$4/100)</f>
        <v>#N/A</v>
      </c>
      <c r="K630" s="45">
        <f>INDEX(Calc!L630:P630,Show!$B$4)</f>
        <v>316000</v>
      </c>
      <c r="L630" s="46">
        <f t="shared" si="504"/>
        <v>316000</v>
      </c>
      <c r="M630" s="46">
        <f>L630</f>
        <v>316000</v>
      </c>
      <c r="N630" s="46">
        <f>L630</f>
        <v>316000</v>
      </c>
      <c r="O630" s="46">
        <f t="shared" si="505"/>
        <v>330000</v>
      </c>
      <c r="P630" s="46">
        <f t="shared" ref="P630" si="553">O626</f>
        <v>330000</v>
      </c>
    </row>
    <row r="631" spans="1:16" x14ac:dyDescent="0.25">
      <c r="A631" s="45">
        <f>1/((1/Show!$A$4)-(1/Calc!K631))</f>
        <v>40.005063932143308</v>
      </c>
      <c r="B631" s="45">
        <f>MATCH(A631*Calc!$R$12,Calc!$K$1:$K$774,1)</f>
        <v>256</v>
      </c>
      <c r="C631" s="45">
        <f>INDEX(Calc!$K$1:$K$774,B631)</f>
        <v>38.299999999999997</v>
      </c>
      <c r="D631" s="45">
        <f>1/(1/C631+1/Calc!K631)</f>
        <v>38.295358505598841</v>
      </c>
      <c r="E631" s="45">
        <f>ABS(Show!$A$4-D631)/(Show!$A$4/100)</f>
        <v>4.2616037360028969</v>
      </c>
      <c r="F631" s="46">
        <f>Show!$A$4-Calc!L631</f>
        <v>-323960</v>
      </c>
      <c r="G631" s="46" t="e">
        <f>MATCH(F631*Calc!$R$12,Calc!$K$1:$K$774,1)</f>
        <v>#N/A</v>
      </c>
      <c r="H631" s="46" t="e">
        <f>INDEX(Calc!$K$1:$K$774,G631)</f>
        <v>#N/A</v>
      </c>
      <c r="I631" s="46" t="e">
        <f>H631+Calc!K631</f>
        <v>#N/A</v>
      </c>
      <c r="J631" s="46" t="e">
        <f>ABS(Show!$A$4-I631)/(Show!$A$4/100)</f>
        <v>#N/A</v>
      </c>
      <c r="K631" s="45">
        <f>INDEX(Calc!L631:P631,Show!$B$4)</f>
        <v>316000</v>
      </c>
      <c r="L631" s="46">
        <f t="shared" si="504"/>
        <v>324000</v>
      </c>
      <c r="M631" s="46">
        <f>L630</f>
        <v>316000</v>
      </c>
      <c r="N631" s="46">
        <f>L630</f>
        <v>316000</v>
      </c>
      <c r="O631" s="46">
        <f t="shared" si="505"/>
        <v>330000</v>
      </c>
      <c r="P631" s="46">
        <f t="shared" ref="P631" si="554">O626</f>
        <v>330000</v>
      </c>
    </row>
    <row r="632" spans="1:16" x14ac:dyDescent="0.25">
      <c r="A632" s="45">
        <f>1/((1/Show!$A$4)-(1/Calc!K632))</f>
        <v>40.005063932143308</v>
      </c>
      <c r="B632" s="45">
        <f>MATCH(A632*Calc!$R$12,Calc!$K$1:$K$774,1)</f>
        <v>256</v>
      </c>
      <c r="C632" s="45">
        <f>INDEX(Calc!$K$1:$K$774,B632)</f>
        <v>38.299999999999997</v>
      </c>
      <c r="D632" s="45">
        <f>1/(1/C632+1/Calc!K632)</f>
        <v>38.295358505598841</v>
      </c>
      <c r="E632" s="45">
        <f>ABS(Show!$A$4-D632)/(Show!$A$4/100)</f>
        <v>4.2616037360028969</v>
      </c>
      <c r="F632" s="46">
        <f>Show!$A$4-Calc!L632</f>
        <v>-331960</v>
      </c>
      <c r="G632" s="46" t="e">
        <f>MATCH(F632*Calc!$R$12,Calc!$K$1:$K$774,1)</f>
        <v>#N/A</v>
      </c>
      <c r="H632" s="46" t="e">
        <f>INDEX(Calc!$K$1:$K$774,G632)</f>
        <v>#N/A</v>
      </c>
      <c r="I632" s="46" t="e">
        <f>H632+Calc!K632</f>
        <v>#N/A</v>
      </c>
      <c r="J632" s="46" t="e">
        <f>ABS(Show!$A$4-I632)/(Show!$A$4/100)</f>
        <v>#N/A</v>
      </c>
      <c r="K632" s="45">
        <f>INDEX(Calc!L632:P632,Show!$B$4)</f>
        <v>316000</v>
      </c>
      <c r="L632" s="46">
        <f t="shared" si="504"/>
        <v>332000</v>
      </c>
      <c r="M632" s="46">
        <f>L632</f>
        <v>332000</v>
      </c>
      <c r="N632" s="46">
        <f>L630</f>
        <v>316000</v>
      </c>
      <c r="O632" s="46">
        <f t="shared" si="505"/>
        <v>330000</v>
      </c>
      <c r="P632" s="46">
        <f t="shared" ref="P632" si="555">O626</f>
        <v>330000</v>
      </c>
    </row>
    <row r="633" spans="1:16" x14ac:dyDescent="0.25">
      <c r="A633" s="45">
        <f>1/((1/Show!$A$4)-(1/Calc!K633))</f>
        <v>40.004598229681577</v>
      </c>
      <c r="B633" s="45">
        <f>MATCH(A633*Calc!$R$12,Calc!$K$1:$K$774,1)</f>
        <v>256</v>
      </c>
      <c r="C633" s="45">
        <f>INDEX(Calc!$K$1:$K$774,B633)</f>
        <v>38.299999999999997</v>
      </c>
      <c r="D633" s="45">
        <f>1/(1/C633+1/Calc!K633)</f>
        <v>38.295785262713899</v>
      </c>
      <c r="E633" s="45">
        <f>ABS(Show!$A$4-D633)/(Show!$A$4/100)</f>
        <v>4.2605368432152524</v>
      </c>
      <c r="F633" s="46">
        <f>Show!$A$4-Calc!L633</f>
        <v>-339960</v>
      </c>
      <c r="G633" s="46" t="e">
        <f>MATCH(F633*Calc!$R$12,Calc!$K$1:$K$774,1)</f>
        <v>#N/A</v>
      </c>
      <c r="H633" s="46" t="e">
        <f>INDEX(Calc!$K$1:$K$774,G633)</f>
        <v>#N/A</v>
      </c>
      <c r="I633" s="46" t="e">
        <f>H633+Calc!K633</f>
        <v>#N/A</v>
      </c>
      <c r="J633" s="46" t="e">
        <f>ABS(Show!$A$4-I633)/(Show!$A$4/100)</f>
        <v>#N/A</v>
      </c>
      <c r="K633" s="45">
        <f>INDEX(Calc!L633:P633,Show!$B$4)</f>
        <v>348000</v>
      </c>
      <c r="L633" s="46">
        <f t="shared" si="504"/>
        <v>340000</v>
      </c>
      <c r="M633" s="46">
        <f>L632</f>
        <v>332000</v>
      </c>
      <c r="N633" s="46">
        <f>L634</f>
        <v>348000</v>
      </c>
      <c r="O633" s="46">
        <f t="shared" si="505"/>
        <v>330000</v>
      </c>
      <c r="P633" s="46">
        <f t="shared" ref="P633" si="556">O626</f>
        <v>330000</v>
      </c>
    </row>
    <row r="634" spans="1:16" x14ac:dyDescent="0.25">
      <c r="A634" s="45">
        <f>1/((1/Show!$A$4)-(1/Calc!K634))</f>
        <v>40.004598229681577</v>
      </c>
      <c r="B634" s="45">
        <f>MATCH(A634*Calc!$R$12,Calc!$K$1:$K$774,1)</f>
        <v>256</v>
      </c>
      <c r="C634" s="45">
        <f>INDEX(Calc!$K$1:$K$774,B634)</f>
        <v>38.299999999999997</v>
      </c>
      <c r="D634" s="45">
        <f>1/(1/C634+1/Calc!K634)</f>
        <v>38.295785262713899</v>
      </c>
      <c r="E634" s="45">
        <f>ABS(Show!$A$4-D634)/(Show!$A$4/100)</f>
        <v>4.2605368432152524</v>
      </c>
      <c r="F634" s="46">
        <f>Show!$A$4-Calc!L634</f>
        <v>-347960</v>
      </c>
      <c r="G634" s="46" t="e">
        <f>MATCH(F634*Calc!$R$12,Calc!$K$1:$K$774,1)</f>
        <v>#N/A</v>
      </c>
      <c r="H634" s="46" t="e">
        <f>INDEX(Calc!$K$1:$K$774,G634)</f>
        <v>#N/A</v>
      </c>
      <c r="I634" s="46" t="e">
        <f>H634+Calc!K634</f>
        <v>#N/A</v>
      </c>
      <c r="J634" s="46" t="e">
        <f>ABS(Show!$A$4-I634)/(Show!$A$4/100)</f>
        <v>#N/A</v>
      </c>
      <c r="K634" s="45">
        <f>INDEX(Calc!L634:P634,Show!$B$4)</f>
        <v>348000</v>
      </c>
      <c r="L634" s="46">
        <f t="shared" si="504"/>
        <v>348000</v>
      </c>
      <c r="M634" s="46">
        <f>L634</f>
        <v>348000</v>
      </c>
      <c r="N634" s="46">
        <f>L634</f>
        <v>348000</v>
      </c>
      <c r="O634" s="46">
        <f t="shared" si="505"/>
        <v>390000</v>
      </c>
      <c r="P634" s="46">
        <f t="shared" ref="P634" si="557">O626</f>
        <v>330000</v>
      </c>
    </row>
    <row r="635" spans="1:16" x14ac:dyDescent="0.25">
      <c r="A635" s="45">
        <f>1/((1/Show!$A$4)-(1/Calc!K635))</f>
        <v>40.004598229681577</v>
      </c>
      <c r="B635" s="45">
        <f>MATCH(A635*Calc!$R$12,Calc!$K$1:$K$774,1)</f>
        <v>256</v>
      </c>
      <c r="C635" s="45">
        <f>INDEX(Calc!$K$1:$K$774,B635)</f>
        <v>38.299999999999997</v>
      </c>
      <c r="D635" s="45">
        <f>1/(1/C635+1/Calc!K635)</f>
        <v>38.295785262713899</v>
      </c>
      <c r="E635" s="45">
        <f>ABS(Show!$A$4-D635)/(Show!$A$4/100)</f>
        <v>4.2605368432152524</v>
      </c>
      <c r="F635" s="46">
        <f>Show!$A$4-Calc!L635</f>
        <v>-356960.00000000006</v>
      </c>
      <c r="G635" s="46" t="e">
        <f>MATCH(F635*Calc!$R$12,Calc!$K$1:$K$774,1)</f>
        <v>#N/A</v>
      </c>
      <c r="H635" s="46" t="e">
        <f>INDEX(Calc!$K$1:$K$774,G635)</f>
        <v>#N/A</v>
      </c>
      <c r="I635" s="46" t="e">
        <f>H635+Calc!K635</f>
        <v>#N/A</v>
      </c>
      <c r="J635" s="46" t="e">
        <f>ABS(Show!$A$4-I635)/(Show!$A$4/100)</f>
        <v>#N/A</v>
      </c>
      <c r="K635" s="45">
        <f>INDEX(Calc!L635:P635,Show!$B$4)</f>
        <v>348000</v>
      </c>
      <c r="L635" s="46">
        <f t="shared" si="504"/>
        <v>357000.00000000006</v>
      </c>
      <c r="M635" s="46">
        <f>L634</f>
        <v>348000</v>
      </c>
      <c r="N635" s="46">
        <f>L634</f>
        <v>348000</v>
      </c>
      <c r="O635" s="46">
        <f t="shared" si="505"/>
        <v>390000</v>
      </c>
      <c r="P635" s="46">
        <f t="shared" ref="P635" si="558">O626</f>
        <v>330000</v>
      </c>
    </row>
    <row r="636" spans="1:16" x14ac:dyDescent="0.25">
      <c r="A636" s="45">
        <f>1/((1/Show!$A$4)-(1/Calc!K636))</f>
        <v>40.004598229681577</v>
      </c>
      <c r="B636" s="45">
        <f>MATCH(A636*Calc!$R$12,Calc!$K$1:$K$774,1)</f>
        <v>256</v>
      </c>
      <c r="C636" s="45">
        <f>INDEX(Calc!$K$1:$K$774,B636)</f>
        <v>38.299999999999997</v>
      </c>
      <c r="D636" s="45">
        <f>1/(1/C636+1/Calc!K636)</f>
        <v>38.295785262713899</v>
      </c>
      <c r="E636" s="45">
        <f>ABS(Show!$A$4-D636)/(Show!$A$4/100)</f>
        <v>4.2605368432152524</v>
      </c>
      <c r="F636" s="46">
        <f>Show!$A$4-Calc!L636</f>
        <v>-364960</v>
      </c>
      <c r="G636" s="46" t="e">
        <f>MATCH(F636*Calc!$R$12,Calc!$K$1:$K$774,1)</f>
        <v>#N/A</v>
      </c>
      <c r="H636" s="46" t="e">
        <f>INDEX(Calc!$K$1:$K$774,G636)</f>
        <v>#N/A</v>
      </c>
      <c r="I636" s="46" t="e">
        <f>H636+Calc!K636</f>
        <v>#N/A</v>
      </c>
      <c r="J636" s="46" t="e">
        <f>ABS(Show!$A$4-I636)/(Show!$A$4/100)</f>
        <v>#N/A</v>
      </c>
      <c r="K636" s="45">
        <f>INDEX(Calc!L636:P636,Show!$B$4)</f>
        <v>348000</v>
      </c>
      <c r="L636" s="46">
        <f t="shared" si="504"/>
        <v>365000</v>
      </c>
      <c r="M636" s="46">
        <f>L636</f>
        <v>365000</v>
      </c>
      <c r="N636" s="46">
        <f>L634</f>
        <v>348000</v>
      </c>
      <c r="O636" s="46">
        <f t="shared" si="505"/>
        <v>390000</v>
      </c>
      <c r="P636" s="46">
        <f t="shared" ref="P636" si="559">O626</f>
        <v>330000</v>
      </c>
    </row>
    <row r="637" spans="1:16" x14ac:dyDescent="0.25">
      <c r="A637" s="45">
        <f>1/((1/Show!$A$4)-(1/Calc!K637))</f>
        <v>40.004177982034676</v>
      </c>
      <c r="B637" s="45">
        <f>MATCH(A637*Calc!$R$12,Calc!$K$1:$K$774,1)</f>
        <v>256</v>
      </c>
      <c r="C637" s="45">
        <f>INDEX(Calc!$K$1:$K$774,B637)</f>
        <v>38.299999999999997</v>
      </c>
      <c r="D637" s="45">
        <f>1/(1/C637+1/Calc!K637)</f>
        <v>38.296170382961698</v>
      </c>
      <c r="E637" s="45">
        <f>ABS(Show!$A$4-D637)/(Show!$A$4/100)</f>
        <v>4.2595740425957551</v>
      </c>
      <c r="F637" s="46">
        <f>Show!$A$4-Calc!L637</f>
        <v>-373960</v>
      </c>
      <c r="G637" s="46" t="e">
        <f>MATCH(F637*Calc!$R$12,Calc!$K$1:$K$774,1)</f>
        <v>#N/A</v>
      </c>
      <c r="H637" s="46" t="e">
        <f>INDEX(Calc!$K$1:$K$774,G637)</f>
        <v>#N/A</v>
      </c>
      <c r="I637" s="46" t="e">
        <f>H637+Calc!K637</f>
        <v>#N/A</v>
      </c>
      <c r="J637" s="46" t="e">
        <f>ABS(Show!$A$4-I637)/(Show!$A$4/100)</f>
        <v>#N/A</v>
      </c>
      <c r="K637" s="45">
        <f>INDEX(Calc!L637:P637,Show!$B$4)</f>
        <v>382999.99999999994</v>
      </c>
      <c r="L637" s="46">
        <f t="shared" si="504"/>
        <v>374000</v>
      </c>
      <c r="M637" s="46">
        <f>L636</f>
        <v>365000</v>
      </c>
      <c r="N637" s="46">
        <f>L638</f>
        <v>382999.99999999994</v>
      </c>
      <c r="O637" s="46">
        <f t="shared" si="505"/>
        <v>390000</v>
      </c>
      <c r="P637" s="46">
        <f t="shared" ref="P637" si="560">O626</f>
        <v>330000</v>
      </c>
    </row>
    <row r="638" spans="1:16" x14ac:dyDescent="0.25">
      <c r="A638" s="45">
        <f>1/((1/Show!$A$4)-(1/Calc!K638))</f>
        <v>40.004177982034676</v>
      </c>
      <c r="B638" s="45">
        <f>MATCH(A638*Calc!$R$12,Calc!$K$1:$K$774,1)</f>
        <v>256</v>
      </c>
      <c r="C638" s="45">
        <f>INDEX(Calc!$K$1:$K$774,B638)</f>
        <v>38.299999999999997</v>
      </c>
      <c r="D638" s="45">
        <f>1/(1/C638+1/Calc!K638)</f>
        <v>38.296170382961698</v>
      </c>
      <c r="E638" s="45">
        <f>ABS(Show!$A$4-D638)/(Show!$A$4/100)</f>
        <v>4.2595740425957551</v>
      </c>
      <c r="F638" s="46">
        <f>Show!$A$4-Calc!L638</f>
        <v>-382959.99999999994</v>
      </c>
      <c r="G638" s="46" t="e">
        <f>MATCH(F638*Calc!$R$12,Calc!$K$1:$K$774,1)</f>
        <v>#N/A</v>
      </c>
      <c r="H638" s="46" t="e">
        <f>INDEX(Calc!$K$1:$K$774,G638)</f>
        <v>#N/A</v>
      </c>
      <c r="I638" s="46" t="e">
        <f>H638+Calc!K638</f>
        <v>#N/A</v>
      </c>
      <c r="J638" s="46" t="e">
        <f>ABS(Show!$A$4-I638)/(Show!$A$4/100)</f>
        <v>#N/A</v>
      </c>
      <c r="K638" s="45">
        <f>INDEX(Calc!L638:P638,Show!$B$4)</f>
        <v>382999.99999999994</v>
      </c>
      <c r="L638" s="46">
        <f t="shared" si="504"/>
        <v>382999.99999999994</v>
      </c>
      <c r="M638" s="46">
        <f>L638</f>
        <v>382999.99999999994</v>
      </c>
      <c r="N638" s="46">
        <f>L638</f>
        <v>382999.99999999994</v>
      </c>
      <c r="O638" s="46">
        <f t="shared" si="505"/>
        <v>390000</v>
      </c>
      <c r="P638" s="46">
        <f t="shared" ref="P638" si="561">O642</f>
        <v>470000</v>
      </c>
    </row>
    <row r="639" spans="1:16" x14ac:dyDescent="0.25">
      <c r="A639" s="45">
        <f>1/((1/Show!$A$4)-(1/Calc!K639))</f>
        <v>40.004177982034676</v>
      </c>
      <c r="B639" s="45">
        <f>MATCH(A639*Calc!$R$12,Calc!$K$1:$K$774,1)</f>
        <v>256</v>
      </c>
      <c r="C639" s="45">
        <f>INDEX(Calc!$K$1:$K$774,B639)</f>
        <v>38.299999999999997</v>
      </c>
      <c r="D639" s="45">
        <f>1/(1/C639+1/Calc!K639)</f>
        <v>38.296170382961698</v>
      </c>
      <c r="E639" s="45">
        <f>ABS(Show!$A$4-D639)/(Show!$A$4/100)</f>
        <v>4.2595740425957551</v>
      </c>
      <c r="F639" s="46">
        <f>Show!$A$4-Calc!L639</f>
        <v>-391960</v>
      </c>
      <c r="G639" s="46" t="e">
        <f>MATCH(F639*Calc!$R$12,Calc!$K$1:$K$774,1)</f>
        <v>#N/A</v>
      </c>
      <c r="H639" s="46" t="e">
        <f>INDEX(Calc!$K$1:$K$774,G639)</f>
        <v>#N/A</v>
      </c>
      <c r="I639" s="46" t="e">
        <f>H639+Calc!K639</f>
        <v>#N/A</v>
      </c>
      <c r="J639" s="46" t="e">
        <f>ABS(Show!$A$4-I639)/(Show!$A$4/100)</f>
        <v>#N/A</v>
      </c>
      <c r="K639" s="45">
        <f>INDEX(Calc!L639:P639,Show!$B$4)</f>
        <v>382999.99999999994</v>
      </c>
      <c r="L639" s="46">
        <f t="shared" si="504"/>
        <v>392000</v>
      </c>
      <c r="M639" s="46">
        <f>L638</f>
        <v>382999.99999999994</v>
      </c>
      <c r="N639" s="46">
        <f>L638</f>
        <v>382999.99999999994</v>
      </c>
      <c r="O639" s="46">
        <f t="shared" si="505"/>
        <v>390000</v>
      </c>
      <c r="P639" s="46">
        <f t="shared" ref="P639" si="562">O642</f>
        <v>470000</v>
      </c>
    </row>
    <row r="640" spans="1:16" x14ac:dyDescent="0.25">
      <c r="A640" s="45">
        <f>1/((1/Show!$A$4)-(1/Calc!K640))</f>
        <v>40.004177982034676</v>
      </c>
      <c r="B640" s="45">
        <f>MATCH(A640*Calc!$R$12,Calc!$K$1:$K$774,1)</f>
        <v>256</v>
      </c>
      <c r="C640" s="45">
        <f>INDEX(Calc!$K$1:$K$774,B640)</f>
        <v>38.299999999999997</v>
      </c>
      <c r="D640" s="45">
        <f>1/(1/C640+1/Calc!K640)</f>
        <v>38.296170382961698</v>
      </c>
      <c r="E640" s="45">
        <f>ABS(Show!$A$4-D640)/(Show!$A$4/100)</f>
        <v>4.2595740425957551</v>
      </c>
      <c r="F640" s="46">
        <f>Show!$A$4-Calc!L640</f>
        <v>-401960</v>
      </c>
      <c r="G640" s="46" t="e">
        <f>MATCH(F640*Calc!$R$12,Calc!$K$1:$K$774,1)</f>
        <v>#N/A</v>
      </c>
      <c r="H640" s="46" t="e">
        <f>INDEX(Calc!$K$1:$K$774,G640)</f>
        <v>#N/A</v>
      </c>
      <c r="I640" s="46" t="e">
        <f>H640+Calc!K640</f>
        <v>#N/A</v>
      </c>
      <c r="J640" s="46" t="e">
        <f>ABS(Show!$A$4-I640)/(Show!$A$4/100)</f>
        <v>#N/A</v>
      </c>
      <c r="K640" s="45">
        <f>INDEX(Calc!L640:P640,Show!$B$4)</f>
        <v>382999.99999999994</v>
      </c>
      <c r="L640" s="46">
        <f t="shared" si="504"/>
        <v>402000</v>
      </c>
      <c r="M640" s="46">
        <f>L640</f>
        <v>402000</v>
      </c>
      <c r="N640" s="46">
        <f>L638</f>
        <v>382999.99999999994</v>
      </c>
      <c r="O640" s="46">
        <f t="shared" si="505"/>
        <v>390000</v>
      </c>
      <c r="P640" s="46">
        <f t="shared" ref="P640" si="563">O642</f>
        <v>470000</v>
      </c>
    </row>
    <row r="641" spans="1:16" x14ac:dyDescent="0.25">
      <c r="A641" s="45">
        <f>1/((1/Show!$A$4)-(1/Calc!K641))</f>
        <v>40.003791828609344</v>
      </c>
      <c r="B641" s="45">
        <f>MATCH(A641*Calc!$R$12,Calc!$K$1:$K$774,1)</f>
        <v>256</v>
      </c>
      <c r="C641" s="45">
        <f>INDEX(Calc!$K$1:$K$774,B641)</f>
        <v>38.299999999999997</v>
      </c>
      <c r="D641" s="45">
        <f>1/(1/C641+1/Calc!K641)</f>
        <v>38.296524272797036</v>
      </c>
      <c r="E641" s="45">
        <f>ABS(Show!$A$4-D641)/(Show!$A$4/100)</f>
        <v>4.2586893180074092</v>
      </c>
      <c r="F641" s="46">
        <f>Show!$A$4-Calc!L641</f>
        <v>-411960.00000000006</v>
      </c>
      <c r="G641" s="46" t="e">
        <f>MATCH(F641*Calc!$R$12,Calc!$K$1:$K$774,1)</f>
        <v>#N/A</v>
      </c>
      <c r="H641" s="46" t="e">
        <f>INDEX(Calc!$K$1:$K$774,G641)</f>
        <v>#N/A</v>
      </c>
      <c r="I641" s="46" t="e">
        <f>H641+Calc!K641</f>
        <v>#N/A</v>
      </c>
      <c r="J641" s="46" t="e">
        <f>ABS(Show!$A$4-I641)/(Show!$A$4/100)</f>
        <v>#N/A</v>
      </c>
      <c r="K641" s="45">
        <f>INDEX(Calc!L641:P641,Show!$B$4)</f>
        <v>422000.00000000006</v>
      </c>
      <c r="L641" s="46">
        <f t="shared" si="504"/>
        <v>412000.00000000006</v>
      </c>
      <c r="M641" s="46">
        <f>L640</f>
        <v>402000</v>
      </c>
      <c r="N641" s="46">
        <f>L642</f>
        <v>422000.00000000006</v>
      </c>
      <c r="O641" s="46">
        <f t="shared" si="505"/>
        <v>390000</v>
      </c>
      <c r="P641" s="46">
        <f t="shared" ref="P641" si="564">O642</f>
        <v>470000</v>
      </c>
    </row>
    <row r="642" spans="1:16" x14ac:dyDescent="0.25">
      <c r="A642" s="45">
        <f>1/((1/Show!$A$4)-(1/Calc!K642))</f>
        <v>40.003791828609344</v>
      </c>
      <c r="B642" s="45">
        <f>MATCH(A642*Calc!$R$12,Calc!$K$1:$K$774,1)</f>
        <v>256</v>
      </c>
      <c r="C642" s="45">
        <f>INDEX(Calc!$K$1:$K$774,B642)</f>
        <v>38.299999999999997</v>
      </c>
      <c r="D642" s="45">
        <f>1/(1/C642+1/Calc!K642)</f>
        <v>38.296524272797036</v>
      </c>
      <c r="E642" s="45">
        <f>ABS(Show!$A$4-D642)/(Show!$A$4/100)</f>
        <v>4.2586893180074092</v>
      </c>
      <c r="F642" s="46">
        <f>Show!$A$4-Calc!L642</f>
        <v>-421960.00000000006</v>
      </c>
      <c r="G642" s="46" t="e">
        <f>MATCH(F642*Calc!$R$12,Calc!$K$1:$K$774,1)</f>
        <v>#N/A</v>
      </c>
      <c r="H642" s="46" t="e">
        <f>INDEX(Calc!$K$1:$K$774,G642)</f>
        <v>#N/A</v>
      </c>
      <c r="I642" s="46" t="e">
        <f>H642+Calc!K642</f>
        <v>#N/A</v>
      </c>
      <c r="J642" s="46" t="e">
        <f>ABS(Show!$A$4-I642)/(Show!$A$4/100)</f>
        <v>#N/A</v>
      </c>
      <c r="K642" s="45">
        <f>INDEX(Calc!L642:P642,Show!$B$4)</f>
        <v>422000.00000000006</v>
      </c>
      <c r="L642" s="46">
        <f t="shared" si="504"/>
        <v>422000.00000000006</v>
      </c>
      <c r="M642" s="46">
        <f>L642</f>
        <v>422000.00000000006</v>
      </c>
      <c r="N642" s="46">
        <f>L642</f>
        <v>422000.00000000006</v>
      </c>
      <c r="O642" s="46">
        <f t="shared" si="505"/>
        <v>470000</v>
      </c>
      <c r="P642" s="46">
        <f t="shared" ref="P642" si="565">O642</f>
        <v>470000</v>
      </c>
    </row>
    <row r="643" spans="1:16" x14ac:dyDescent="0.25">
      <c r="A643" s="45">
        <f>1/((1/Show!$A$4)-(1/Calc!K643))</f>
        <v>40.003791828609344</v>
      </c>
      <c r="B643" s="45">
        <f>MATCH(A643*Calc!$R$12,Calc!$K$1:$K$774,1)</f>
        <v>256</v>
      </c>
      <c r="C643" s="45">
        <f>INDEX(Calc!$K$1:$K$774,B643)</f>
        <v>38.299999999999997</v>
      </c>
      <c r="D643" s="45">
        <f>1/(1/C643+1/Calc!K643)</f>
        <v>38.296524272797036</v>
      </c>
      <c r="E643" s="45">
        <f>ABS(Show!$A$4-D643)/(Show!$A$4/100)</f>
        <v>4.2586893180074092</v>
      </c>
      <c r="F643" s="46">
        <f>Show!$A$4-Calc!L643</f>
        <v>-431960.00000000006</v>
      </c>
      <c r="G643" s="46" t="e">
        <f>MATCH(F643*Calc!$R$12,Calc!$K$1:$K$774,1)</f>
        <v>#N/A</v>
      </c>
      <c r="H643" s="46" t="e">
        <f>INDEX(Calc!$K$1:$K$774,G643)</f>
        <v>#N/A</v>
      </c>
      <c r="I643" s="46" t="e">
        <f>H643+Calc!K643</f>
        <v>#N/A</v>
      </c>
      <c r="J643" s="46" t="e">
        <f>ABS(Show!$A$4-I643)/(Show!$A$4/100)</f>
        <v>#N/A</v>
      </c>
      <c r="K643" s="45">
        <f>INDEX(Calc!L643:P643,Show!$B$4)</f>
        <v>422000.00000000006</v>
      </c>
      <c r="L643" s="46">
        <f t="shared" si="504"/>
        <v>432000.00000000006</v>
      </c>
      <c r="M643" s="46">
        <f>L642</f>
        <v>422000.00000000006</v>
      </c>
      <c r="N643" s="46">
        <f>L642</f>
        <v>422000.00000000006</v>
      </c>
      <c r="O643" s="46">
        <f t="shared" si="505"/>
        <v>470000</v>
      </c>
      <c r="P643" s="46">
        <f t="shared" ref="P643" si="566">O642</f>
        <v>470000</v>
      </c>
    </row>
    <row r="644" spans="1:16" x14ac:dyDescent="0.25">
      <c r="A644" s="45">
        <f>1/((1/Show!$A$4)-(1/Calc!K644))</f>
        <v>40.003791828609344</v>
      </c>
      <c r="B644" s="45">
        <f>MATCH(A644*Calc!$R$12,Calc!$K$1:$K$774,1)</f>
        <v>256</v>
      </c>
      <c r="C644" s="45">
        <f>INDEX(Calc!$K$1:$K$774,B644)</f>
        <v>38.299999999999997</v>
      </c>
      <c r="D644" s="45">
        <f>1/(1/C644+1/Calc!K644)</f>
        <v>38.296524272797036</v>
      </c>
      <c r="E644" s="45">
        <f>ABS(Show!$A$4-D644)/(Show!$A$4/100)</f>
        <v>4.2586893180074092</v>
      </c>
      <c r="F644" s="46">
        <f>Show!$A$4-Calc!L644</f>
        <v>-441960</v>
      </c>
      <c r="G644" s="46" t="e">
        <f>MATCH(F644*Calc!$R$12,Calc!$K$1:$K$774,1)</f>
        <v>#N/A</v>
      </c>
      <c r="H644" s="46" t="e">
        <f>INDEX(Calc!$K$1:$K$774,G644)</f>
        <v>#N/A</v>
      </c>
      <c r="I644" s="46" t="e">
        <f>H644+Calc!K644</f>
        <v>#N/A</v>
      </c>
      <c r="J644" s="46" t="e">
        <f>ABS(Show!$A$4-I644)/(Show!$A$4/100)</f>
        <v>#N/A</v>
      </c>
      <c r="K644" s="45">
        <f>INDEX(Calc!L644:P644,Show!$B$4)</f>
        <v>422000.00000000006</v>
      </c>
      <c r="L644" s="46">
        <f t="shared" si="504"/>
        <v>442000</v>
      </c>
      <c r="M644" s="46">
        <f>L644</f>
        <v>442000</v>
      </c>
      <c r="N644" s="46">
        <f>L642</f>
        <v>422000.00000000006</v>
      </c>
      <c r="O644" s="46">
        <f t="shared" si="505"/>
        <v>470000</v>
      </c>
      <c r="P644" s="46">
        <f t="shared" ref="P644" si="567">O642</f>
        <v>470000</v>
      </c>
    </row>
    <row r="645" spans="1:16" x14ac:dyDescent="0.25">
      <c r="A645" s="45">
        <f>1/((1/Show!$A$4)-(1/Calc!K645))</f>
        <v>40.003448573152852</v>
      </c>
      <c r="B645" s="45">
        <f>MATCH(A645*Calc!$R$12,Calc!$K$1:$K$774,1)</f>
        <v>256</v>
      </c>
      <c r="C645" s="45">
        <f>INDEX(Calc!$K$1:$K$774,B645)</f>
        <v>38.299999999999997</v>
      </c>
      <c r="D645" s="45">
        <f>1/(1/C645+1/Calc!K645)</f>
        <v>38.296838860068227</v>
      </c>
      <c r="E645" s="45">
        <f>ABS(Show!$A$4-D645)/(Show!$A$4/100)</f>
        <v>4.2579028498294313</v>
      </c>
      <c r="F645" s="46">
        <f>Show!$A$4-Calc!L645</f>
        <v>-452959.99999999994</v>
      </c>
      <c r="G645" s="46" t="e">
        <f>MATCH(F645*Calc!$R$12,Calc!$K$1:$K$774,1)</f>
        <v>#N/A</v>
      </c>
      <c r="H645" s="46" t="e">
        <f>INDEX(Calc!$K$1:$K$774,G645)</f>
        <v>#N/A</v>
      </c>
      <c r="I645" s="46" t="e">
        <f>H645+Calc!K645</f>
        <v>#N/A</v>
      </c>
      <c r="J645" s="46" t="e">
        <f>ABS(Show!$A$4-I645)/(Show!$A$4/100)</f>
        <v>#N/A</v>
      </c>
      <c r="K645" s="45">
        <f>INDEX(Calc!L645:P645,Show!$B$4)</f>
        <v>463999.99999999994</v>
      </c>
      <c r="L645" s="46">
        <f t="shared" si="504"/>
        <v>452999.99999999994</v>
      </c>
      <c r="M645" s="46">
        <f>L644</f>
        <v>442000</v>
      </c>
      <c r="N645" s="46">
        <f>L646</f>
        <v>463999.99999999994</v>
      </c>
      <c r="O645" s="46">
        <f t="shared" si="505"/>
        <v>470000</v>
      </c>
      <c r="P645" s="46">
        <f t="shared" ref="P645" si="568">O642</f>
        <v>470000</v>
      </c>
    </row>
    <row r="646" spans="1:16" x14ac:dyDescent="0.25">
      <c r="A646" s="45">
        <f>1/((1/Show!$A$4)-(1/Calc!K646))</f>
        <v>40.003448573152852</v>
      </c>
      <c r="B646" s="45">
        <f>MATCH(A646*Calc!$R$12,Calc!$K$1:$K$774,1)</f>
        <v>256</v>
      </c>
      <c r="C646" s="45">
        <f>INDEX(Calc!$K$1:$K$774,B646)</f>
        <v>38.299999999999997</v>
      </c>
      <c r="D646" s="45">
        <f>1/(1/C646+1/Calc!K646)</f>
        <v>38.296838860068227</v>
      </c>
      <c r="E646" s="45">
        <f>ABS(Show!$A$4-D646)/(Show!$A$4/100)</f>
        <v>4.2579028498294313</v>
      </c>
      <c r="F646" s="46">
        <f>Show!$A$4-Calc!L646</f>
        <v>-463959.99999999994</v>
      </c>
      <c r="G646" s="46" t="e">
        <f>MATCH(F646*Calc!$R$12,Calc!$K$1:$K$774,1)</f>
        <v>#N/A</v>
      </c>
      <c r="H646" s="46" t="e">
        <f>INDEX(Calc!$K$1:$K$774,G646)</f>
        <v>#N/A</v>
      </c>
      <c r="I646" s="46" t="e">
        <f>H646+Calc!K646</f>
        <v>#N/A</v>
      </c>
      <c r="J646" s="46" t="e">
        <f>ABS(Show!$A$4-I646)/(Show!$A$4/100)</f>
        <v>#N/A</v>
      </c>
      <c r="K646" s="45">
        <f>INDEX(Calc!L646:P646,Show!$B$4)</f>
        <v>463999.99999999994</v>
      </c>
      <c r="L646" s="46">
        <f t="shared" si="504"/>
        <v>463999.99999999994</v>
      </c>
      <c r="M646" s="46">
        <f>L646</f>
        <v>463999.99999999994</v>
      </c>
      <c r="N646" s="46">
        <f>L646</f>
        <v>463999.99999999994</v>
      </c>
      <c r="O646" s="46">
        <f t="shared" si="505"/>
        <v>470000</v>
      </c>
      <c r="P646" s="46">
        <f t="shared" ref="P646" si="569">O642</f>
        <v>470000</v>
      </c>
    </row>
    <row r="647" spans="1:16" x14ac:dyDescent="0.25">
      <c r="A647" s="45">
        <f>1/((1/Show!$A$4)-(1/Calc!K647))</f>
        <v>40.003448573152852</v>
      </c>
      <c r="B647" s="45">
        <f>MATCH(A647*Calc!$R$12,Calc!$K$1:$K$774,1)</f>
        <v>256</v>
      </c>
      <c r="C647" s="45">
        <f>INDEX(Calc!$K$1:$K$774,B647)</f>
        <v>38.299999999999997</v>
      </c>
      <c r="D647" s="45">
        <f>1/(1/C647+1/Calc!K647)</f>
        <v>38.296838860068227</v>
      </c>
      <c r="E647" s="45">
        <f>ABS(Show!$A$4-D647)/(Show!$A$4/100)</f>
        <v>4.2579028498294313</v>
      </c>
      <c r="F647" s="46">
        <f>Show!$A$4-Calc!L647</f>
        <v>-474960</v>
      </c>
      <c r="G647" s="46" t="e">
        <f>MATCH(F647*Calc!$R$12,Calc!$K$1:$K$774,1)</f>
        <v>#N/A</v>
      </c>
      <c r="H647" s="46" t="e">
        <f>INDEX(Calc!$K$1:$K$774,G647)</f>
        <v>#N/A</v>
      </c>
      <c r="I647" s="46" t="e">
        <f>H647+Calc!K647</f>
        <v>#N/A</v>
      </c>
      <c r="J647" s="46" t="e">
        <f>ABS(Show!$A$4-I647)/(Show!$A$4/100)</f>
        <v>#N/A</v>
      </c>
      <c r="K647" s="45">
        <f>INDEX(Calc!L647:P647,Show!$B$4)</f>
        <v>463999.99999999994</v>
      </c>
      <c r="L647" s="46">
        <f t="shared" ref="L647:L677" si="570">L71*1000000</f>
        <v>475000</v>
      </c>
      <c r="M647" s="46">
        <f>L646</f>
        <v>463999.99999999994</v>
      </c>
      <c r="N647" s="46">
        <f>L646</f>
        <v>463999.99999999994</v>
      </c>
      <c r="O647" s="46">
        <f t="shared" ref="O647:O677" si="571">O71*1000000</f>
        <v>470000</v>
      </c>
      <c r="P647" s="46">
        <f t="shared" ref="P647" si="572">O642</f>
        <v>470000</v>
      </c>
    </row>
    <row r="648" spans="1:16" x14ac:dyDescent="0.25">
      <c r="A648" s="45">
        <f>1/((1/Show!$A$4)-(1/Calc!K648))</f>
        <v>40.003448573152852</v>
      </c>
      <c r="B648" s="45">
        <f>MATCH(A648*Calc!$R$12,Calc!$K$1:$K$774,1)</f>
        <v>256</v>
      </c>
      <c r="C648" s="45">
        <f>INDEX(Calc!$K$1:$K$774,B648)</f>
        <v>38.299999999999997</v>
      </c>
      <c r="D648" s="45">
        <f>1/(1/C648+1/Calc!K648)</f>
        <v>38.296838860068227</v>
      </c>
      <c r="E648" s="45">
        <f>ABS(Show!$A$4-D648)/(Show!$A$4/100)</f>
        <v>4.2579028498294313</v>
      </c>
      <c r="F648" s="46">
        <f>Show!$A$4-Calc!L648</f>
        <v>-486960.00000000006</v>
      </c>
      <c r="G648" s="46" t="e">
        <f>MATCH(F648*Calc!$R$12,Calc!$K$1:$K$774,1)</f>
        <v>#N/A</v>
      </c>
      <c r="H648" s="46" t="e">
        <f>INDEX(Calc!$K$1:$K$774,G648)</f>
        <v>#N/A</v>
      </c>
      <c r="I648" s="46" t="e">
        <f>H648+Calc!K648</f>
        <v>#N/A</v>
      </c>
      <c r="J648" s="46" t="e">
        <f>ABS(Show!$A$4-I648)/(Show!$A$4/100)</f>
        <v>#N/A</v>
      </c>
      <c r="K648" s="45">
        <f>INDEX(Calc!L648:P648,Show!$B$4)</f>
        <v>463999.99999999994</v>
      </c>
      <c r="L648" s="46">
        <f t="shared" si="570"/>
        <v>487000.00000000006</v>
      </c>
      <c r="M648" s="46">
        <f>L648</f>
        <v>487000.00000000006</v>
      </c>
      <c r="N648" s="46">
        <f>L646</f>
        <v>463999.99999999994</v>
      </c>
      <c r="O648" s="46">
        <f t="shared" si="571"/>
        <v>470000</v>
      </c>
      <c r="P648" s="46">
        <f t="shared" ref="P648" si="573">O642</f>
        <v>470000</v>
      </c>
    </row>
    <row r="649" spans="1:16" x14ac:dyDescent="0.25">
      <c r="A649" s="45">
        <f>1/((1/Show!$A$4)-(1/Calc!K649))</f>
        <v>40.00313136057617</v>
      </c>
      <c r="B649" s="45">
        <f>MATCH(A649*Calc!$R$12,Calc!$K$1:$K$774,1)</f>
        <v>256</v>
      </c>
      <c r="C649" s="45">
        <f>INDEX(Calc!$K$1:$K$774,B649)</f>
        <v>38.299999999999997</v>
      </c>
      <c r="D649" s="45">
        <f>1/(1/C649+1/Calc!K649)</f>
        <v>38.297129588917308</v>
      </c>
      <c r="E649" s="45">
        <f>ABS(Show!$A$4-D649)/(Show!$A$4/100)</f>
        <v>4.2571760277067305</v>
      </c>
      <c r="F649" s="46">
        <f>Show!$A$4-Calc!L649</f>
        <v>-498960</v>
      </c>
      <c r="G649" s="46" t="e">
        <f>MATCH(F649*Calc!$R$12,Calc!$K$1:$K$774,1)</f>
        <v>#N/A</v>
      </c>
      <c r="H649" s="46" t="e">
        <f>INDEX(Calc!$K$1:$K$774,G649)</f>
        <v>#N/A</v>
      </c>
      <c r="I649" s="46" t="e">
        <f>H649+Calc!K649</f>
        <v>#N/A</v>
      </c>
      <c r="J649" s="46" t="e">
        <f>ABS(Show!$A$4-I649)/(Show!$A$4/100)</f>
        <v>#N/A</v>
      </c>
      <c r="K649" s="45">
        <f>INDEX(Calc!L649:P649,Show!$B$4)</f>
        <v>511000</v>
      </c>
      <c r="L649" s="46">
        <f t="shared" si="570"/>
        <v>499000</v>
      </c>
      <c r="M649" s="46">
        <f>L648</f>
        <v>487000.00000000006</v>
      </c>
      <c r="N649" s="46">
        <f>L650</f>
        <v>511000</v>
      </c>
      <c r="O649" s="46">
        <f t="shared" si="571"/>
        <v>470000</v>
      </c>
      <c r="P649" s="46">
        <f t="shared" ref="P649" si="574">O642</f>
        <v>470000</v>
      </c>
    </row>
    <row r="650" spans="1:16" x14ac:dyDescent="0.25">
      <c r="A650" s="45">
        <f>1/((1/Show!$A$4)-(1/Calc!K650))</f>
        <v>40.00313136057617</v>
      </c>
      <c r="B650" s="45">
        <f>MATCH(A650*Calc!$R$12,Calc!$K$1:$K$774,1)</f>
        <v>256</v>
      </c>
      <c r="C650" s="45">
        <f>INDEX(Calc!$K$1:$K$774,B650)</f>
        <v>38.299999999999997</v>
      </c>
      <c r="D650" s="45">
        <f>1/(1/C650+1/Calc!K650)</f>
        <v>38.297129588917308</v>
      </c>
      <c r="E650" s="45">
        <f>ABS(Show!$A$4-D650)/(Show!$A$4/100)</f>
        <v>4.2571760277067305</v>
      </c>
      <c r="F650" s="46">
        <f>Show!$A$4-Calc!L650</f>
        <v>-510960</v>
      </c>
      <c r="G650" s="46" t="e">
        <f>MATCH(F650*Calc!$R$12,Calc!$K$1:$K$774,1)</f>
        <v>#N/A</v>
      </c>
      <c r="H650" s="46" t="e">
        <f>INDEX(Calc!$K$1:$K$774,G650)</f>
        <v>#N/A</v>
      </c>
      <c r="I650" s="46" t="e">
        <f>H650+Calc!K650</f>
        <v>#N/A</v>
      </c>
      <c r="J650" s="46" t="e">
        <f>ABS(Show!$A$4-I650)/(Show!$A$4/100)</f>
        <v>#N/A</v>
      </c>
      <c r="K650" s="45">
        <f>INDEX(Calc!L650:P650,Show!$B$4)</f>
        <v>511000</v>
      </c>
      <c r="L650" s="46">
        <f t="shared" si="570"/>
        <v>511000</v>
      </c>
      <c r="M650" s="46">
        <f>L650</f>
        <v>511000</v>
      </c>
      <c r="N650" s="46">
        <f>L650</f>
        <v>511000</v>
      </c>
      <c r="O650" s="46">
        <f t="shared" si="571"/>
        <v>560000</v>
      </c>
      <c r="P650" s="46">
        <f t="shared" ref="P650" si="575">O642</f>
        <v>470000</v>
      </c>
    </row>
    <row r="651" spans="1:16" x14ac:dyDescent="0.25">
      <c r="A651" s="45">
        <f>1/((1/Show!$A$4)-(1/Calc!K651))</f>
        <v>40.00313136057617</v>
      </c>
      <c r="B651" s="45">
        <f>MATCH(A651*Calc!$R$12,Calc!$K$1:$K$774,1)</f>
        <v>256</v>
      </c>
      <c r="C651" s="45">
        <f>INDEX(Calc!$K$1:$K$774,B651)</f>
        <v>38.299999999999997</v>
      </c>
      <c r="D651" s="45">
        <f>1/(1/C651+1/Calc!K651)</f>
        <v>38.297129588917308</v>
      </c>
      <c r="E651" s="45">
        <f>ABS(Show!$A$4-D651)/(Show!$A$4/100)</f>
        <v>4.2571760277067305</v>
      </c>
      <c r="F651" s="46">
        <f>Show!$A$4-Calc!L651</f>
        <v>-522960</v>
      </c>
      <c r="G651" s="46" t="e">
        <f>MATCH(F651*Calc!$R$12,Calc!$K$1:$K$774,1)</f>
        <v>#N/A</v>
      </c>
      <c r="H651" s="46" t="e">
        <f>INDEX(Calc!$K$1:$K$774,G651)</f>
        <v>#N/A</v>
      </c>
      <c r="I651" s="46" t="e">
        <f>H651+Calc!K651</f>
        <v>#N/A</v>
      </c>
      <c r="J651" s="46" t="e">
        <f>ABS(Show!$A$4-I651)/(Show!$A$4/100)</f>
        <v>#N/A</v>
      </c>
      <c r="K651" s="45">
        <f>INDEX(Calc!L651:P651,Show!$B$4)</f>
        <v>511000</v>
      </c>
      <c r="L651" s="46">
        <f t="shared" si="570"/>
        <v>523000</v>
      </c>
      <c r="M651" s="46">
        <f>L650</f>
        <v>511000</v>
      </c>
      <c r="N651" s="46">
        <f>L650</f>
        <v>511000</v>
      </c>
      <c r="O651" s="46">
        <f t="shared" si="571"/>
        <v>560000</v>
      </c>
      <c r="P651" s="46">
        <f t="shared" ref="P651" si="576">O642</f>
        <v>470000</v>
      </c>
    </row>
    <row r="652" spans="1:16" x14ac:dyDescent="0.25">
      <c r="A652" s="45">
        <f>1/((1/Show!$A$4)-(1/Calc!K652))</f>
        <v>40.00313136057617</v>
      </c>
      <c r="B652" s="45">
        <f>MATCH(A652*Calc!$R$12,Calc!$K$1:$K$774,1)</f>
        <v>256</v>
      </c>
      <c r="C652" s="45">
        <f>INDEX(Calc!$K$1:$K$774,B652)</f>
        <v>38.299999999999997</v>
      </c>
      <c r="D652" s="45">
        <f>1/(1/C652+1/Calc!K652)</f>
        <v>38.297129588917308</v>
      </c>
      <c r="E652" s="45">
        <f>ABS(Show!$A$4-D652)/(Show!$A$4/100)</f>
        <v>4.2571760277067305</v>
      </c>
      <c r="F652" s="46">
        <f>Show!$A$4-Calc!L652</f>
        <v>-535960</v>
      </c>
      <c r="G652" s="46" t="e">
        <f>MATCH(F652*Calc!$R$12,Calc!$K$1:$K$774,1)</f>
        <v>#N/A</v>
      </c>
      <c r="H652" s="46" t="e">
        <f>INDEX(Calc!$K$1:$K$774,G652)</f>
        <v>#N/A</v>
      </c>
      <c r="I652" s="46" t="e">
        <f>H652+Calc!K652</f>
        <v>#N/A</v>
      </c>
      <c r="J652" s="46" t="e">
        <f>ABS(Show!$A$4-I652)/(Show!$A$4/100)</f>
        <v>#N/A</v>
      </c>
      <c r="K652" s="45">
        <f>INDEX(Calc!L652:P652,Show!$B$4)</f>
        <v>511000</v>
      </c>
      <c r="L652" s="46">
        <f t="shared" si="570"/>
        <v>536000</v>
      </c>
      <c r="M652" s="46">
        <f>L652</f>
        <v>536000</v>
      </c>
      <c r="N652" s="46">
        <f>L650</f>
        <v>511000</v>
      </c>
      <c r="O652" s="46">
        <f t="shared" si="571"/>
        <v>560000</v>
      </c>
      <c r="P652" s="46">
        <f t="shared" ref="P652" si="577">O642</f>
        <v>470000</v>
      </c>
    </row>
    <row r="653" spans="1:16" x14ac:dyDescent="0.25">
      <c r="A653" s="45">
        <f>1/((1/Show!$A$4)-(1/Calc!K653))</f>
        <v>40.002847177735063</v>
      </c>
      <c r="B653" s="45">
        <f>MATCH(A653*Calc!$R$12,Calc!$K$1:$K$774,1)</f>
        <v>256</v>
      </c>
      <c r="C653" s="45">
        <f>INDEX(Calc!$K$1:$K$774,B653)</f>
        <v>38.299999999999997</v>
      </c>
      <c r="D653" s="45">
        <f>1/(1/C653+1/Calc!K653)</f>
        <v>38.297390053311311</v>
      </c>
      <c r="E653" s="45">
        <f>ABS(Show!$A$4-D653)/(Show!$A$4/100)</f>
        <v>4.2565248667217226</v>
      </c>
      <c r="F653" s="46">
        <f>Show!$A$4-Calc!L653</f>
        <v>-548959.99999999988</v>
      </c>
      <c r="G653" s="46" t="e">
        <f>MATCH(F653*Calc!$R$12,Calc!$K$1:$K$774,1)</f>
        <v>#N/A</v>
      </c>
      <c r="H653" s="46" t="e">
        <f>INDEX(Calc!$K$1:$K$774,G653)</f>
        <v>#N/A</v>
      </c>
      <c r="I653" s="46" t="e">
        <f>H653+Calc!K653</f>
        <v>#N/A</v>
      </c>
      <c r="J653" s="46" t="e">
        <f>ABS(Show!$A$4-I653)/(Show!$A$4/100)</f>
        <v>#N/A</v>
      </c>
      <c r="K653" s="45">
        <f>INDEX(Calc!L653:P653,Show!$B$4)</f>
        <v>562000</v>
      </c>
      <c r="L653" s="46">
        <f t="shared" si="570"/>
        <v>548999.99999999988</v>
      </c>
      <c r="M653" s="46">
        <f>L652</f>
        <v>536000</v>
      </c>
      <c r="N653" s="46">
        <f>L654</f>
        <v>562000</v>
      </c>
      <c r="O653" s="46">
        <f t="shared" si="571"/>
        <v>560000</v>
      </c>
      <c r="P653" s="46">
        <f t="shared" ref="P653" si="578">O642</f>
        <v>470000</v>
      </c>
    </row>
    <row r="654" spans="1:16" x14ac:dyDescent="0.25">
      <c r="A654" s="45">
        <f>1/((1/Show!$A$4)-(1/Calc!K654))</f>
        <v>40.002847177735063</v>
      </c>
      <c r="B654" s="45">
        <f>MATCH(A654*Calc!$R$12,Calc!$K$1:$K$774,1)</f>
        <v>256</v>
      </c>
      <c r="C654" s="45">
        <f>INDEX(Calc!$K$1:$K$774,B654)</f>
        <v>38.299999999999997</v>
      </c>
      <c r="D654" s="45">
        <f>1/(1/C654+1/Calc!K654)</f>
        <v>38.297390053311311</v>
      </c>
      <c r="E654" s="45">
        <f>ABS(Show!$A$4-D654)/(Show!$A$4/100)</f>
        <v>4.2565248667217226</v>
      </c>
      <c r="F654" s="46">
        <f>Show!$A$4-Calc!L654</f>
        <v>-561960</v>
      </c>
      <c r="G654" s="46" t="e">
        <f>MATCH(F654*Calc!$R$12,Calc!$K$1:$K$774,1)</f>
        <v>#N/A</v>
      </c>
      <c r="H654" s="46" t="e">
        <f>INDEX(Calc!$K$1:$K$774,G654)</f>
        <v>#N/A</v>
      </c>
      <c r="I654" s="46" t="e">
        <f>H654+Calc!K654</f>
        <v>#N/A</v>
      </c>
      <c r="J654" s="46" t="e">
        <f>ABS(Show!$A$4-I654)/(Show!$A$4/100)</f>
        <v>#N/A</v>
      </c>
      <c r="K654" s="45">
        <f>INDEX(Calc!L654:P654,Show!$B$4)</f>
        <v>562000</v>
      </c>
      <c r="L654" s="46">
        <f t="shared" si="570"/>
        <v>562000</v>
      </c>
      <c r="M654" s="46">
        <f>L654</f>
        <v>562000</v>
      </c>
      <c r="N654" s="46">
        <f>L654</f>
        <v>562000</v>
      </c>
      <c r="O654" s="46">
        <f t="shared" si="571"/>
        <v>560000</v>
      </c>
      <c r="P654" s="46">
        <f t="shared" ref="P654" si="579">O658</f>
        <v>680000</v>
      </c>
    </row>
    <row r="655" spans="1:16" x14ac:dyDescent="0.25">
      <c r="A655" s="45">
        <f>1/((1/Show!$A$4)-(1/Calc!K655))</f>
        <v>40.002847177735063</v>
      </c>
      <c r="B655" s="45">
        <f>MATCH(A655*Calc!$R$12,Calc!$K$1:$K$774,1)</f>
        <v>256</v>
      </c>
      <c r="C655" s="45">
        <f>INDEX(Calc!$K$1:$K$774,B655)</f>
        <v>38.299999999999997</v>
      </c>
      <c r="D655" s="45">
        <f>1/(1/C655+1/Calc!K655)</f>
        <v>38.297390053311311</v>
      </c>
      <c r="E655" s="45">
        <f>ABS(Show!$A$4-D655)/(Show!$A$4/100)</f>
        <v>4.2565248667217226</v>
      </c>
      <c r="F655" s="46">
        <f>Show!$A$4-Calc!L655</f>
        <v>-575960.00000000012</v>
      </c>
      <c r="G655" s="46" t="e">
        <f>MATCH(F655*Calc!$R$12,Calc!$K$1:$K$774,1)</f>
        <v>#N/A</v>
      </c>
      <c r="H655" s="46" t="e">
        <f>INDEX(Calc!$K$1:$K$774,G655)</f>
        <v>#N/A</v>
      </c>
      <c r="I655" s="46" t="e">
        <f>H655+Calc!K655</f>
        <v>#N/A</v>
      </c>
      <c r="J655" s="46" t="e">
        <f>ABS(Show!$A$4-I655)/(Show!$A$4/100)</f>
        <v>#N/A</v>
      </c>
      <c r="K655" s="45">
        <f>INDEX(Calc!L655:P655,Show!$B$4)</f>
        <v>562000</v>
      </c>
      <c r="L655" s="46">
        <f t="shared" si="570"/>
        <v>576000.00000000012</v>
      </c>
      <c r="M655" s="46">
        <f>L654</f>
        <v>562000</v>
      </c>
      <c r="N655" s="46">
        <f>L654</f>
        <v>562000</v>
      </c>
      <c r="O655" s="46">
        <f t="shared" si="571"/>
        <v>560000</v>
      </c>
      <c r="P655" s="46">
        <f t="shared" ref="P655" si="580">O658</f>
        <v>680000</v>
      </c>
    </row>
    <row r="656" spans="1:16" x14ac:dyDescent="0.25">
      <c r="A656" s="45">
        <f>1/((1/Show!$A$4)-(1/Calc!K656))</f>
        <v>40.002847177735063</v>
      </c>
      <c r="B656" s="45">
        <f>MATCH(A656*Calc!$R$12,Calc!$K$1:$K$774,1)</f>
        <v>256</v>
      </c>
      <c r="C656" s="45">
        <f>INDEX(Calc!$K$1:$K$774,B656)</f>
        <v>38.299999999999997</v>
      </c>
      <c r="D656" s="45">
        <f>1/(1/C656+1/Calc!K656)</f>
        <v>38.297390053311311</v>
      </c>
      <c r="E656" s="45">
        <f>ABS(Show!$A$4-D656)/(Show!$A$4/100)</f>
        <v>4.2565248667217226</v>
      </c>
      <c r="F656" s="46">
        <f>Show!$A$4-Calc!L656</f>
        <v>-589960</v>
      </c>
      <c r="G656" s="46" t="e">
        <f>MATCH(F656*Calc!$R$12,Calc!$K$1:$K$774,1)</f>
        <v>#N/A</v>
      </c>
      <c r="H656" s="46" t="e">
        <f>INDEX(Calc!$K$1:$K$774,G656)</f>
        <v>#N/A</v>
      </c>
      <c r="I656" s="46" t="e">
        <f>H656+Calc!K656</f>
        <v>#N/A</v>
      </c>
      <c r="J656" s="46" t="e">
        <f>ABS(Show!$A$4-I656)/(Show!$A$4/100)</f>
        <v>#N/A</v>
      </c>
      <c r="K656" s="45">
        <f>INDEX(Calc!L656:P656,Show!$B$4)</f>
        <v>562000</v>
      </c>
      <c r="L656" s="46">
        <f t="shared" si="570"/>
        <v>590000</v>
      </c>
      <c r="M656" s="46">
        <f>L656</f>
        <v>590000</v>
      </c>
      <c r="N656" s="46">
        <f>L654</f>
        <v>562000</v>
      </c>
      <c r="O656" s="46">
        <f t="shared" si="571"/>
        <v>560000</v>
      </c>
      <c r="P656" s="46">
        <f t="shared" ref="P656" si="581">O658</f>
        <v>680000</v>
      </c>
    </row>
    <row r="657" spans="1:16" x14ac:dyDescent="0.25">
      <c r="A657" s="45">
        <f>1/((1/Show!$A$4)-(1/Calc!K657))</f>
        <v>40.002584981258885</v>
      </c>
      <c r="B657" s="45">
        <f>MATCH(A657*Calc!$R$12,Calc!$K$1:$K$774,1)</f>
        <v>256</v>
      </c>
      <c r="C657" s="45">
        <f>INDEX(Calc!$K$1:$K$774,B657)</f>
        <v>38.299999999999997</v>
      </c>
      <c r="D657" s="45">
        <f>1/(1/C657+1/Calc!K657)</f>
        <v>38.297630372789534</v>
      </c>
      <c r="E657" s="45">
        <f>ABS(Show!$A$4-D657)/(Show!$A$4/100)</f>
        <v>4.2559240680261645</v>
      </c>
      <c r="F657" s="46">
        <f>Show!$A$4-Calc!L657</f>
        <v>-603960</v>
      </c>
      <c r="G657" s="46" t="e">
        <f>MATCH(F657*Calc!$R$12,Calc!$K$1:$K$774,1)</f>
        <v>#N/A</v>
      </c>
      <c r="H657" s="46" t="e">
        <f>INDEX(Calc!$K$1:$K$774,G657)</f>
        <v>#N/A</v>
      </c>
      <c r="I657" s="46" t="e">
        <f>H657+Calc!K657</f>
        <v>#N/A</v>
      </c>
      <c r="J657" s="46" t="e">
        <f>ABS(Show!$A$4-I657)/(Show!$A$4/100)</f>
        <v>#N/A</v>
      </c>
      <c r="K657" s="45">
        <f>INDEX(Calc!L657:P657,Show!$B$4)</f>
        <v>619000</v>
      </c>
      <c r="L657" s="46">
        <f t="shared" si="570"/>
        <v>604000</v>
      </c>
      <c r="M657" s="46">
        <f>L656</f>
        <v>590000</v>
      </c>
      <c r="N657" s="46">
        <f>L658</f>
        <v>619000</v>
      </c>
      <c r="O657" s="46">
        <f t="shared" si="571"/>
        <v>560000</v>
      </c>
      <c r="P657" s="46">
        <f t="shared" ref="P657" si="582">O658</f>
        <v>680000</v>
      </c>
    </row>
    <row r="658" spans="1:16" x14ac:dyDescent="0.25">
      <c r="A658" s="45">
        <f>1/((1/Show!$A$4)-(1/Calc!K658))</f>
        <v>40.002584981258885</v>
      </c>
      <c r="B658" s="45">
        <f>MATCH(A658*Calc!$R$12,Calc!$K$1:$K$774,1)</f>
        <v>256</v>
      </c>
      <c r="C658" s="45">
        <f>INDEX(Calc!$K$1:$K$774,B658)</f>
        <v>38.299999999999997</v>
      </c>
      <c r="D658" s="45">
        <f>1/(1/C658+1/Calc!K658)</f>
        <v>38.297630372789534</v>
      </c>
      <c r="E658" s="45">
        <f>ABS(Show!$A$4-D658)/(Show!$A$4/100)</f>
        <v>4.2559240680261645</v>
      </c>
      <c r="F658" s="46">
        <f>Show!$A$4-Calc!L658</f>
        <v>-618960</v>
      </c>
      <c r="G658" s="46" t="e">
        <f>MATCH(F658*Calc!$R$12,Calc!$K$1:$K$774,1)</f>
        <v>#N/A</v>
      </c>
      <c r="H658" s="46" t="e">
        <f>INDEX(Calc!$K$1:$K$774,G658)</f>
        <v>#N/A</v>
      </c>
      <c r="I658" s="46" t="e">
        <f>H658+Calc!K658</f>
        <v>#N/A</v>
      </c>
      <c r="J658" s="46" t="e">
        <f>ABS(Show!$A$4-I658)/(Show!$A$4/100)</f>
        <v>#N/A</v>
      </c>
      <c r="K658" s="45">
        <f>INDEX(Calc!L658:P658,Show!$B$4)</f>
        <v>619000</v>
      </c>
      <c r="L658" s="46">
        <f t="shared" si="570"/>
        <v>619000</v>
      </c>
      <c r="M658" s="46">
        <f>L658</f>
        <v>619000</v>
      </c>
      <c r="N658" s="46">
        <f>L658</f>
        <v>619000</v>
      </c>
      <c r="O658" s="46">
        <f t="shared" si="571"/>
        <v>680000</v>
      </c>
      <c r="P658" s="46">
        <f t="shared" ref="P658" si="583">O658</f>
        <v>680000</v>
      </c>
    </row>
    <row r="659" spans="1:16" x14ac:dyDescent="0.25">
      <c r="A659" s="45">
        <f>1/((1/Show!$A$4)-(1/Calc!K659))</f>
        <v>40.002584981258885</v>
      </c>
      <c r="B659" s="45">
        <f>MATCH(A659*Calc!$R$12,Calc!$K$1:$K$774,1)</f>
        <v>256</v>
      </c>
      <c r="C659" s="45">
        <f>INDEX(Calc!$K$1:$K$774,B659)</f>
        <v>38.299999999999997</v>
      </c>
      <c r="D659" s="45">
        <f>1/(1/C659+1/Calc!K659)</f>
        <v>38.297630372789534</v>
      </c>
      <c r="E659" s="45">
        <f>ABS(Show!$A$4-D659)/(Show!$A$4/100)</f>
        <v>4.2559240680261645</v>
      </c>
      <c r="F659" s="46">
        <f>Show!$A$4-Calc!L659</f>
        <v>-633960</v>
      </c>
      <c r="G659" s="46" t="e">
        <f>MATCH(F659*Calc!$R$12,Calc!$K$1:$K$774,1)</f>
        <v>#N/A</v>
      </c>
      <c r="H659" s="46" t="e">
        <f>INDEX(Calc!$K$1:$K$774,G659)</f>
        <v>#N/A</v>
      </c>
      <c r="I659" s="46" t="e">
        <f>H659+Calc!K659</f>
        <v>#N/A</v>
      </c>
      <c r="J659" s="46" t="e">
        <f>ABS(Show!$A$4-I659)/(Show!$A$4/100)</f>
        <v>#N/A</v>
      </c>
      <c r="K659" s="45">
        <f>INDEX(Calc!L659:P659,Show!$B$4)</f>
        <v>619000</v>
      </c>
      <c r="L659" s="46">
        <f t="shared" si="570"/>
        <v>634000</v>
      </c>
      <c r="M659" s="46">
        <f>L658</f>
        <v>619000</v>
      </c>
      <c r="N659" s="46">
        <f>L658</f>
        <v>619000</v>
      </c>
      <c r="O659" s="46">
        <f t="shared" si="571"/>
        <v>680000</v>
      </c>
      <c r="P659" s="46">
        <f t="shared" ref="P659" si="584">O658</f>
        <v>680000</v>
      </c>
    </row>
    <row r="660" spans="1:16" x14ac:dyDescent="0.25">
      <c r="A660" s="45">
        <f>1/((1/Show!$A$4)-(1/Calc!K660))</f>
        <v>40.002584981258885</v>
      </c>
      <c r="B660" s="45">
        <f>MATCH(A660*Calc!$R$12,Calc!$K$1:$K$774,1)</f>
        <v>256</v>
      </c>
      <c r="C660" s="45">
        <f>INDEX(Calc!$K$1:$K$774,B660)</f>
        <v>38.299999999999997</v>
      </c>
      <c r="D660" s="45">
        <f>1/(1/C660+1/Calc!K660)</f>
        <v>38.297630372789534</v>
      </c>
      <c r="E660" s="45">
        <f>ABS(Show!$A$4-D660)/(Show!$A$4/100)</f>
        <v>4.2559240680261645</v>
      </c>
      <c r="F660" s="46">
        <f>Show!$A$4-Calc!L660</f>
        <v>-648960</v>
      </c>
      <c r="G660" s="46" t="e">
        <f>MATCH(F660*Calc!$R$12,Calc!$K$1:$K$774,1)</f>
        <v>#N/A</v>
      </c>
      <c r="H660" s="46" t="e">
        <f>INDEX(Calc!$K$1:$K$774,G660)</f>
        <v>#N/A</v>
      </c>
      <c r="I660" s="46" t="e">
        <f>H660+Calc!K660</f>
        <v>#N/A</v>
      </c>
      <c r="J660" s="46" t="e">
        <f>ABS(Show!$A$4-I660)/(Show!$A$4/100)</f>
        <v>#N/A</v>
      </c>
      <c r="K660" s="45">
        <f>INDEX(Calc!L660:P660,Show!$B$4)</f>
        <v>619000</v>
      </c>
      <c r="L660" s="46">
        <f t="shared" si="570"/>
        <v>649000</v>
      </c>
      <c r="M660" s="46">
        <f>L660</f>
        <v>649000</v>
      </c>
      <c r="N660" s="46">
        <f>L658</f>
        <v>619000</v>
      </c>
      <c r="O660" s="46">
        <f t="shared" si="571"/>
        <v>680000</v>
      </c>
      <c r="P660" s="46">
        <f t="shared" ref="P660" si="585">O658</f>
        <v>680000</v>
      </c>
    </row>
    <row r="661" spans="1:16" x14ac:dyDescent="0.25">
      <c r="A661" s="45">
        <f>1/((1/Show!$A$4)-(1/Calc!K661))</f>
        <v>40.002349624060145</v>
      </c>
      <c r="B661" s="45">
        <f>MATCH(A661*Calc!$R$12,Calc!$K$1:$K$774,1)</f>
        <v>256</v>
      </c>
      <c r="C661" s="45">
        <f>INDEX(Calc!$K$1:$K$774,B661)</f>
        <v>38.299999999999997</v>
      </c>
      <c r="D661" s="45">
        <f>1/(1/C661+1/Calc!K661)</f>
        <v>38.297846097642378</v>
      </c>
      <c r="E661" s="45">
        <f>ABS(Show!$A$4-D661)/(Show!$A$4/100)</f>
        <v>4.2553847558940561</v>
      </c>
      <c r="F661" s="46">
        <f>Show!$A$4-Calc!L661</f>
        <v>-664960</v>
      </c>
      <c r="G661" s="46" t="e">
        <f>MATCH(F661*Calc!$R$12,Calc!$K$1:$K$774,1)</f>
        <v>#N/A</v>
      </c>
      <c r="H661" s="46" t="e">
        <f>INDEX(Calc!$K$1:$K$774,G661)</f>
        <v>#N/A</v>
      </c>
      <c r="I661" s="46" t="e">
        <f>H661+Calc!K661</f>
        <v>#N/A</v>
      </c>
      <c r="J661" s="46" t="e">
        <f>ABS(Show!$A$4-I661)/(Show!$A$4/100)</f>
        <v>#N/A</v>
      </c>
      <c r="K661" s="45">
        <f>INDEX(Calc!L661:P661,Show!$B$4)</f>
        <v>680999.99999999988</v>
      </c>
      <c r="L661" s="46">
        <f t="shared" si="570"/>
        <v>665000</v>
      </c>
      <c r="M661" s="46">
        <f>L660</f>
        <v>649000</v>
      </c>
      <c r="N661" s="46">
        <f>L662</f>
        <v>680999.99999999988</v>
      </c>
      <c r="O661" s="46">
        <f t="shared" si="571"/>
        <v>680000</v>
      </c>
      <c r="P661" s="46">
        <f t="shared" ref="P661" si="586">O658</f>
        <v>680000</v>
      </c>
    </row>
    <row r="662" spans="1:16" x14ac:dyDescent="0.25">
      <c r="A662" s="45">
        <f>1/((1/Show!$A$4)-(1/Calc!K662))</f>
        <v>40.002349624060145</v>
      </c>
      <c r="B662" s="45">
        <f>MATCH(A662*Calc!$R$12,Calc!$K$1:$K$774,1)</f>
        <v>256</v>
      </c>
      <c r="C662" s="45">
        <f>INDEX(Calc!$K$1:$K$774,B662)</f>
        <v>38.299999999999997</v>
      </c>
      <c r="D662" s="45">
        <f>1/(1/C662+1/Calc!K662)</f>
        <v>38.297846097642378</v>
      </c>
      <c r="E662" s="45">
        <f>ABS(Show!$A$4-D662)/(Show!$A$4/100)</f>
        <v>4.2553847558940561</v>
      </c>
      <c r="F662" s="46">
        <f>Show!$A$4-Calc!L662</f>
        <v>-680959.99999999988</v>
      </c>
      <c r="G662" s="46" t="e">
        <f>MATCH(F662*Calc!$R$12,Calc!$K$1:$K$774,1)</f>
        <v>#N/A</v>
      </c>
      <c r="H662" s="46" t="e">
        <f>INDEX(Calc!$K$1:$K$774,G662)</f>
        <v>#N/A</v>
      </c>
      <c r="I662" s="46" t="e">
        <f>H662+Calc!K662</f>
        <v>#N/A</v>
      </c>
      <c r="J662" s="46" t="e">
        <f>ABS(Show!$A$4-I662)/(Show!$A$4/100)</f>
        <v>#N/A</v>
      </c>
      <c r="K662" s="45">
        <f>INDEX(Calc!L662:P662,Show!$B$4)</f>
        <v>680999.99999999988</v>
      </c>
      <c r="L662" s="46">
        <f t="shared" si="570"/>
        <v>680999.99999999988</v>
      </c>
      <c r="M662" s="46">
        <f>L662</f>
        <v>680999.99999999988</v>
      </c>
      <c r="N662" s="46">
        <f>L662</f>
        <v>680999.99999999988</v>
      </c>
      <c r="O662" s="46">
        <f t="shared" si="571"/>
        <v>680000</v>
      </c>
      <c r="P662" s="46">
        <f t="shared" ref="P662" si="587">O658</f>
        <v>680000</v>
      </c>
    </row>
    <row r="663" spans="1:16" x14ac:dyDescent="0.25">
      <c r="A663" s="45">
        <f>1/((1/Show!$A$4)-(1/Calc!K663))</f>
        <v>40.002349624060145</v>
      </c>
      <c r="B663" s="45">
        <f>MATCH(A663*Calc!$R$12,Calc!$K$1:$K$774,1)</f>
        <v>256</v>
      </c>
      <c r="C663" s="45">
        <f>INDEX(Calc!$K$1:$K$774,B663)</f>
        <v>38.299999999999997</v>
      </c>
      <c r="D663" s="45">
        <f>1/(1/C663+1/Calc!K663)</f>
        <v>38.297846097642378</v>
      </c>
      <c r="E663" s="45">
        <f>ABS(Show!$A$4-D663)/(Show!$A$4/100)</f>
        <v>4.2553847558940561</v>
      </c>
      <c r="F663" s="46">
        <f>Show!$A$4-Calc!L663</f>
        <v>-697960</v>
      </c>
      <c r="G663" s="46" t="e">
        <f>MATCH(F663*Calc!$R$12,Calc!$K$1:$K$774,1)</f>
        <v>#N/A</v>
      </c>
      <c r="H663" s="46" t="e">
        <f>INDEX(Calc!$K$1:$K$774,G663)</f>
        <v>#N/A</v>
      </c>
      <c r="I663" s="46" t="e">
        <f>H663+Calc!K663</f>
        <v>#N/A</v>
      </c>
      <c r="J663" s="46" t="e">
        <f>ABS(Show!$A$4-I663)/(Show!$A$4/100)</f>
        <v>#N/A</v>
      </c>
      <c r="K663" s="45">
        <f>INDEX(Calc!L663:P663,Show!$B$4)</f>
        <v>680999.99999999988</v>
      </c>
      <c r="L663" s="46">
        <f t="shared" si="570"/>
        <v>698000</v>
      </c>
      <c r="M663" s="46">
        <f>L662</f>
        <v>680999.99999999988</v>
      </c>
      <c r="N663" s="46">
        <f>L662</f>
        <v>680999.99999999988</v>
      </c>
      <c r="O663" s="46">
        <f t="shared" si="571"/>
        <v>680000</v>
      </c>
      <c r="P663" s="46">
        <f t="shared" ref="P663" si="588">O658</f>
        <v>680000</v>
      </c>
    </row>
    <row r="664" spans="1:16" x14ac:dyDescent="0.25">
      <c r="A664" s="45">
        <f>1/((1/Show!$A$4)-(1/Calc!K664))</f>
        <v>40.002349624060145</v>
      </c>
      <c r="B664" s="45">
        <f>MATCH(A664*Calc!$R$12,Calc!$K$1:$K$774,1)</f>
        <v>256</v>
      </c>
      <c r="C664" s="45">
        <f>INDEX(Calc!$K$1:$K$774,B664)</f>
        <v>38.299999999999997</v>
      </c>
      <c r="D664" s="45">
        <f>1/(1/C664+1/Calc!K664)</f>
        <v>38.297846097642378</v>
      </c>
      <c r="E664" s="45">
        <f>ABS(Show!$A$4-D664)/(Show!$A$4/100)</f>
        <v>4.2553847558940561</v>
      </c>
      <c r="F664" s="46">
        <f>Show!$A$4-Calc!L664</f>
        <v>-714960</v>
      </c>
      <c r="G664" s="46" t="e">
        <f>MATCH(F664*Calc!$R$12,Calc!$K$1:$K$774,1)</f>
        <v>#N/A</v>
      </c>
      <c r="H664" s="46" t="e">
        <f>INDEX(Calc!$K$1:$K$774,G664)</f>
        <v>#N/A</v>
      </c>
      <c r="I664" s="46" t="e">
        <f>H664+Calc!K664</f>
        <v>#N/A</v>
      </c>
      <c r="J664" s="46" t="e">
        <f>ABS(Show!$A$4-I664)/(Show!$A$4/100)</f>
        <v>#N/A</v>
      </c>
      <c r="K664" s="45">
        <f>INDEX(Calc!L664:P664,Show!$B$4)</f>
        <v>680999.99999999988</v>
      </c>
      <c r="L664" s="46">
        <f t="shared" si="570"/>
        <v>715000</v>
      </c>
      <c r="M664" s="46">
        <f>L664</f>
        <v>715000</v>
      </c>
      <c r="N664" s="46">
        <f>L662</f>
        <v>680999.99999999988</v>
      </c>
      <c r="O664" s="46">
        <f t="shared" si="571"/>
        <v>680000</v>
      </c>
      <c r="P664" s="46">
        <f t="shared" ref="P664" si="589">O658</f>
        <v>680000</v>
      </c>
    </row>
    <row r="665" spans="1:16" x14ac:dyDescent="0.25">
      <c r="A665" s="45">
        <f>1/((1/Show!$A$4)-(1/Calc!K665))</f>
        <v>40.002133447117174</v>
      </c>
      <c r="B665" s="45">
        <f>MATCH(A665*Calc!$R$12,Calc!$K$1:$K$774,1)</f>
        <v>256</v>
      </c>
      <c r="C665" s="45">
        <f>INDEX(Calc!$K$1:$K$774,B665)</f>
        <v>38.299999999999997</v>
      </c>
      <c r="D665" s="45">
        <f>1/(1/C665+1/Calc!K665)</f>
        <v>38.298044246540478</v>
      </c>
      <c r="E665" s="45">
        <f>ABS(Show!$A$4-D665)/(Show!$A$4/100)</f>
        <v>4.2548893836488055</v>
      </c>
      <c r="F665" s="46">
        <f>Show!$A$4-Calc!L665</f>
        <v>-731960</v>
      </c>
      <c r="G665" s="46" t="e">
        <f>MATCH(F665*Calc!$R$12,Calc!$K$1:$K$774,1)</f>
        <v>#N/A</v>
      </c>
      <c r="H665" s="46" t="e">
        <f>INDEX(Calc!$K$1:$K$774,G665)</f>
        <v>#N/A</v>
      </c>
      <c r="I665" s="46" t="e">
        <f>H665+Calc!K665</f>
        <v>#N/A</v>
      </c>
      <c r="J665" s="46" t="e">
        <f>ABS(Show!$A$4-I665)/(Show!$A$4/100)</f>
        <v>#N/A</v>
      </c>
      <c r="K665" s="45">
        <f>INDEX(Calc!L665:P665,Show!$B$4)</f>
        <v>750000</v>
      </c>
      <c r="L665" s="46">
        <f t="shared" si="570"/>
        <v>732000</v>
      </c>
      <c r="M665" s="46">
        <f>L664</f>
        <v>715000</v>
      </c>
      <c r="N665" s="46">
        <f>L666</f>
        <v>750000</v>
      </c>
      <c r="O665" s="46">
        <f t="shared" si="571"/>
        <v>680000</v>
      </c>
      <c r="P665" s="46">
        <f t="shared" ref="P665" si="590">O658</f>
        <v>680000</v>
      </c>
    </row>
    <row r="666" spans="1:16" x14ac:dyDescent="0.25">
      <c r="A666" s="45">
        <f>1/((1/Show!$A$4)-(1/Calc!K666))</f>
        <v>40.002133447117174</v>
      </c>
      <c r="B666" s="45">
        <f>MATCH(A666*Calc!$R$12,Calc!$K$1:$K$774,1)</f>
        <v>256</v>
      </c>
      <c r="C666" s="45">
        <f>INDEX(Calc!$K$1:$K$774,B666)</f>
        <v>38.299999999999997</v>
      </c>
      <c r="D666" s="45">
        <f>1/(1/C666+1/Calc!K666)</f>
        <v>38.298044246540478</v>
      </c>
      <c r="E666" s="45">
        <f>ABS(Show!$A$4-D666)/(Show!$A$4/100)</f>
        <v>4.2548893836488055</v>
      </c>
      <c r="F666" s="46">
        <f>Show!$A$4-Calc!L666</f>
        <v>-749960</v>
      </c>
      <c r="G666" s="46" t="e">
        <f>MATCH(F666*Calc!$R$12,Calc!$K$1:$K$774,1)</f>
        <v>#N/A</v>
      </c>
      <c r="H666" s="46" t="e">
        <f>INDEX(Calc!$K$1:$K$774,G666)</f>
        <v>#N/A</v>
      </c>
      <c r="I666" s="46" t="e">
        <f>H666+Calc!K666</f>
        <v>#N/A</v>
      </c>
      <c r="J666" s="46" t="e">
        <f>ABS(Show!$A$4-I666)/(Show!$A$4/100)</f>
        <v>#N/A</v>
      </c>
      <c r="K666" s="45">
        <f>INDEX(Calc!L666:P666,Show!$B$4)</f>
        <v>750000</v>
      </c>
      <c r="L666" s="46">
        <f t="shared" si="570"/>
        <v>750000</v>
      </c>
      <c r="M666" s="46">
        <f>L666</f>
        <v>750000</v>
      </c>
      <c r="N666" s="46">
        <f>L666</f>
        <v>750000</v>
      </c>
      <c r="O666" s="46">
        <f t="shared" si="571"/>
        <v>820000</v>
      </c>
      <c r="P666" s="46">
        <f t="shared" ref="P666" si="591">O658</f>
        <v>680000</v>
      </c>
    </row>
    <row r="667" spans="1:16" x14ac:dyDescent="0.25">
      <c r="A667" s="45">
        <f>1/((1/Show!$A$4)-(1/Calc!K667))</f>
        <v>40.002133447117174</v>
      </c>
      <c r="B667" s="45">
        <f>MATCH(A667*Calc!$R$12,Calc!$K$1:$K$774,1)</f>
        <v>256</v>
      </c>
      <c r="C667" s="45">
        <f>INDEX(Calc!$K$1:$K$774,B667)</f>
        <v>38.299999999999997</v>
      </c>
      <c r="D667" s="45">
        <f>1/(1/C667+1/Calc!K667)</f>
        <v>38.298044246540478</v>
      </c>
      <c r="E667" s="45">
        <f>ABS(Show!$A$4-D667)/(Show!$A$4/100)</f>
        <v>4.2548893836488055</v>
      </c>
      <c r="F667" s="46">
        <f>Show!$A$4-Calc!L667</f>
        <v>-767960</v>
      </c>
      <c r="G667" s="46" t="e">
        <f>MATCH(F667*Calc!$R$12,Calc!$K$1:$K$774,1)</f>
        <v>#N/A</v>
      </c>
      <c r="H667" s="46" t="e">
        <f>INDEX(Calc!$K$1:$K$774,G667)</f>
        <v>#N/A</v>
      </c>
      <c r="I667" s="46" t="e">
        <f>H667+Calc!K667</f>
        <v>#N/A</v>
      </c>
      <c r="J667" s="46" t="e">
        <f>ABS(Show!$A$4-I667)/(Show!$A$4/100)</f>
        <v>#N/A</v>
      </c>
      <c r="K667" s="45">
        <f>INDEX(Calc!L667:P667,Show!$B$4)</f>
        <v>750000</v>
      </c>
      <c r="L667" s="46">
        <f t="shared" si="570"/>
        <v>768000</v>
      </c>
      <c r="M667" s="46">
        <f>L666</f>
        <v>750000</v>
      </c>
      <c r="N667" s="46">
        <f>L666</f>
        <v>750000</v>
      </c>
      <c r="O667" s="46">
        <f t="shared" si="571"/>
        <v>820000</v>
      </c>
      <c r="P667" s="46">
        <f t="shared" ref="P667" si="592">O658</f>
        <v>680000</v>
      </c>
    </row>
    <row r="668" spans="1:16" x14ac:dyDescent="0.25">
      <c r="A668" s="45">
        <f>1/((1/Show!$A$4)-(1/Calc!K668))</f>
        <v>40.002133447117174</v>
      </c>
      <c r="B668" s="45">
        <f>MATCH(A668*Calc!$R$12,Calc!$K$1:$K$774,1)</f>
        <v>256</v>
      </c>
      <c r="C668" s="45">
        <f>INDEX(Calc!$K$1:$K$774,B668)</f>
        <v>38.299999999999997</v>
      </c>
      <c r="D668" s="45">
        <f>1/(1/C668+1/Calc!K668)</f>
        <v>38.298044246540478</v>
      </c>
      <c r="E668" s="45">
        <f>ABS(Show!$A$4-D668)/(Show!$A$4/100)</f>
        <v>4.2548893836488055</v>
      </c>
      <c r="F668" s="46">
        <f>Show!$A$4-Calc!L668</f>
        <v>-786960</v>
      </c>
      <c r="G668" s="46" t="e">
        <f>MATCH(F668*Calc!$R$12,Calc!$K$1:$K$774,1)</f>
        <v>#N/A</v>
      </c>
      <c r="H668" s="46" t="e">
        <f>INDEX(Calc!$K$1:$K$774,G668)</f>
        <v>#N/A</v>
      </c>
      <c r="I668" s="46" t="e">
        <f>H668+Calc!K668</f>
        <v>#N/A</v>
      </c>
      <c r="J668" s="46" t="e">
        <f>ABS(Show!$A$4-I668)/(Show!$A$4/100)</f>
        <v>#N/A</v>
      </c>
      <c r="K668" s="45">
        <f>INDEX(Calc!L668:P668,Show!$B$4)</f>
        <v>750000</v>
      </c>
      <c r="L668" s="46">
        <f t="shared" si="570"/>
        <v>787000</v>
      </c>
      <c r="M668" s="46">
        <f>L668</f>
        <v>787000</v>
      </c>
      <c r="N668" s="46">
        <f>L666</f>
        <v>750000</v>
      </c>
      <c r="O668" s="46">
        <f t="shared" si="571"/>
        <v>820000</v>
      </c>
      <c r="P668" s="46">
        <f t="shared" ref="P668" si="593">O658</f>
        <v>680000</v>
      </c>
    </row>
    <row r="669" spans="1:16" x14ac:dyDescent="0.25">
      <c r="A669" s="45">
        <f>1/((1/Show!$A$4)-(1/Calc!K669))</f>
        <v>40.001939487975172</v>
      </c>
      <c r="B669" s="45">
        <f>MATCH(A669*Calc!$R$12,Calc!$K$1:$K$774,1)</f>
        <v>256</v>
      </c>
      <c r="C669" s="45">
        <f>INDEX(Calc!$K$1:$K$774,B669)</f>
        <v>38.299999999999997</v>
      </c>
      <c r="D669" s="45">
        <f>1/(1/C669+1/Calc!K669)</f>
        <v>38.298222034055868</v>
      </c>
      <c r="E669" s="45">
        <f>ABS(Show!$A$4-D669)/(Show!$A$4/100)</f>
        <v>4.2544449148603292</v>
      </c>
      <c r="F669" s="46">
        <f>Show!$A$4-Calc!L669</f>
        <v>-805959.99999999988</v>
      </c>
      <c r="G669" s="46" t="e">
        <f>MATCH(F669*Calc!$R$12,Calc!$K$1:$K$774,1)</f>
        <v>#N/A</v>
      </c>
      <c r="H669" s="46" t="e">
        <f>INDEX(Calc!$K$1:$K$774,G669)</f>
        <v>#N/A</v>
      </c>
      <c r="I669" s="46" t="e">
        <f>H669+Calc!K669</f>
        <v>#N/A</v>
      </c>
      <c r="J669" s="46" t="e">
        <f>ABS(Show!$A$4-I669)/(Show!$A$4/100)</f>
        <v>#N/A</v>
      </c>
      <c r="K669" s="45">
        <f>INDEX(Calc!L669:P669,Show!$B$4)</f>
        <v>825000</v>
      </c>
      <c r="L669" s="46">
        <f t="shared" si="570"/>
        <v>805999.99999999988</v>
      </c>
      <c r="M669" s="46">
        <f>L668</f>
        <v>787000</v>
      </c>
      <c r="N669" s="46">
        <f>L670</f>
        <v>825000</v>
      </c>
      <c r="O669" s="46">
        <f t="shared" si="571"/>
        <v>820000</v>
      </c>
      <c r="P669" s="46">
        <f t="shared" ref="P669" si="594">O658</f>
        <v>680000</v>
      </c>
    </row>
    <row r="670" spans="1:16" x14ac:dyDescent="0.25">
      <c r="A670" s="45">
        <f>1/((1/Show!$A$4)-(1/Calc!K670))</f>
        <v>40.001939487975172</v>
      </c>
      <c r="B670" s="45">
        <f>MATCH(A670*Calc!$R$12,Calc!$K$1:$K$774,1)</f>
        <v>256</v>
      </c>
      <c r="C670" s="45">
        <f>INDEX(Calc!$K$1:$K$774,B670)</f>
        <v>38.299999999999997</v>
      </c>
      <c r="D670" s="45">
        <f>1/(1/C670+1/Calc!K670)</f>
        <v>38.298222034055868</v>
      </c>
      <c r="E670" s="45">
        <f>ABS(Show!$A$4-D670)/(Show!$A$4/100)</f>
        <v>4.2544449148603292</v>
      </c>
      <c r="F670" s="46">
        <f>Show!$A$4-Calc!L670</f>
        <v>-824960</v>
      </c>
      <c r="G670" s="46" t="e">
        <f>MATCH(F670*Calc!$R$12,Calc!$K$1:$K$774,1)</f>
        <v>#N/A</v>
      </c>
      <c r="H670" s="46" t="e">
        <f>INDEX(Calc!$K$1:$K$774,G670)</f>
        <v>#N/A</v>
      </c>
      <c r="I670" s="46" t="e">
        <f>H670+Calc!K670</f>
        <v>#N/A</v>
      </c>
      <c r="J670" s="46" t="e">
        <f>ABS(Show!$A$4-I670)/(Show!$A$4/100)</f>
        <v>#N/A</v>
      </c>
      <c r="K670" s="45">
        <f>INDEX(Calc!L670:P670,Show!$B$4)</f>
        <v>825000</v>
      </c>
      <c r="L670" s="46">
        <f t="shared" si="570"/>
        <v>825000</v>
      </c>
      <c r="M670" s="46">
        <f>L670</f>
        <v>825000</v>
      </c>
      <c r="N670" s="46">
        <f>L670</f>
        <v>825000</v>
      </c>
      <c r="O670" s="46">
        <f t="shared" si="571"/>
        <v>820000</v>
      </c>
      <c r="P670" s="46">
        <f t="shared" ref="P670" si="595">O674</f>
        <v>1000000</v>
      </c>
    </row>
    <row r="671" spans="1:16" x14ac:dyDescent="0.25">
      <c r="A671" s="45">
        <f>1/((1/Show!$A$4)-(1/Calc!K671))</f>
        <v>40.001939487975172</v>
      </c>
      <c r="B671" s="45">
        <f>MATCH(A671*Calc!$R$12,Calc!$K$1:$K$774,1)</f>
        <v>256</v>
      </c>
      <c r="C671" s="45">
        <f>INDEX(Calc!$K$1:$K$774,B671)</f>
        <v>38.299999999999997</v>
      </c>
      <c r="D671" s="45">
        <f>1/(1/C671+1/Calc!K671)</f>
        <v>38.298222034055868</v>
      </c>
      <c r="E671" s="45">
        <f>ABS(Show!$A$4-D671)/(Show!$A$4/100)</f>
        <v>4.2544449148603292</v>
      </c>
      <c r="F671" s="46">
        <f>Show!$A$4-Calc!L671</f>
        <v>-844960</v>
      </c>
      <c r="G671" s="46" t="e">
        <f>MATCH(F671*Calc!$R$12,Calc!$K$1:$K$774,1)</f>
        <v>#N/A</v>
      </c>
      <c r="H671" s="46" t="e">
        <f>INDEX(Calc!$K$1:$K$774,G671)</f>
        <v>#N/A</v>
      </c>
      <c r="I671" s="46" t="e">
        <f>H671+Calc!K671</f>
        <v>#N/A</v>
      </c>
      <c r="J671" s="46" t="e">
        <f>ABS(Show!$A$4-I671)/(Show!$A$4/100)</f>
        <v>#N/A</v>
      </c>
      <c r="K671" s="45">
        <f>INDEX(Calc!L671:P671,Show!$B$4)</f>
        <v>825000</v>
      </c>
      <c r="L671" s="46">
        <f t="shared" si="570"/>
        <v>845000</v>
      </c>
      <c r="M671" s="46">
        <f>L670</f>
        <v>825000</v>
      </c>
      <c r="N671" s="46">
        <f>L670</f>
        <v>825000</v>
      </c>
      <c r="O671" s="46">
        <f t="shared" si="571"/>
        <v>820000</v>
      </c>
      <c r="P671" s="46">
        <f t="shared" ref="P671" si="596">O674</f>
        <v>1000000</v>
      </c>
    </row>
    <row r="672" spans="1:16" x14ac:dyDescent="0.25">
      <c r="A672" s="45">
        <f>1/((1/Show!$A$4)-(1/Calc!K672))</f>
        <v>40.001939487975172</v>
      </c>
      <c r="B672" s="45">
        <f>MATCH(A672*Calc!$R$12,Calc!$K$1:$K$774,1)</f>
        <v>256</v>
      </c>
      <c r="C672" s="45">
        <f>INDEX(Calc!$K$1:$K$774,B672)</f>
        <v>38.299999999999997</v>
      </c>
      <c r="D672" s="45">
        <f>1/(1/C672+1/Calc!K672)</f>
        <v>38.298222034055868</v>
      </c>
      <c r="E672" s="45">
        <f>ABS(Show!$A$4-D672)/(Show!$A$4/100)</f>
        <v>4.2544449148603292</v>
      </c>
      <c r="F672" s="46">
        <f>Show!$A$4-Calc!L672</f>
        <v>-865960</v>
      </c>
      <c r="G672" s="46" t="e">
        <f>MATCH(F672*Calc!$R$12,Calc!$K$1:$K$774,1)</f>
        <v>#N/A</v>
      </c>
      <c r="H672" s="46" t="e">
        <f>INDEX(Calc!$K$1:$K$774,G672)</f>
        <v>#N/A</v>
      </c>
      <c r="I672" s="46" t="e">
        <f>H672+Calc!K672</f>
        <v>#N/A</v>
      </c>
      <c r="J672" s="46" t="e">
        <f>ABS(Show!$A$4-I672)/(Show!$A$4/100)</f>
        <v>#N/A</v>
      </c>
      <c r="K672" s="45">
        <f>INDEX(Calc!L672:P672,Show!$B$4)</f>
        <v>825000</v>
      </c>
      <c r="L672" s="46">
        <f t="shared" si="570"/>
        <v>866000</v>
      </c>
      <c r="M672" s="46">
        <f>L672</f>
        <v>866000</v>
      </c>
      <c r="N672" s="46">
        <f>L670</f>
        <v>825000</v>
      </c>
      <c r="O672" s="46">
        <f t="shared" si="571"/>
        <v>820000</v>
      </c>
      <c r="P672" s="46">
        <f t="shared" ref="P672" si="597">O674</f>
        <v>1000000</v>
      </c>
    </row>
    <row r="673" spans="1:18" x14ac:dyDescent="0.25">
      <c r="A673" s="45">
        <f>1/((1/Show!$A$4)-(1/Calc!K673))</f>
        <v>40.001760253476498</v>
      </c>
      <c r="B673" s="45">
        <f>MATCH(A673*Calc!$R$12,Calc!$K$1:$K$774,1)</f>
        <v>256</v>
      </c>
      <c r="C673" s="45">
        <f>INDEX(Calc!$K$1:$K$774,B673)</f>
        <v>38.299999999999997</v>
      </c>
      <c r="D673" s="45">
        <f>1/(1/C673+1/Calc!K673)</f>
        <v>38.298386327616775</v>
      </c>
      <c r="E673" s="45">
        <f>ABS(Show!$A$4-D673)/(Show!$A$4/100)</f>
        <v>4.2540341809580617</v>
      </c>
      <c r="F673" s="46">
        <f>Show!$A$4-Calc!L673</f>
        <v>-886960</v>
      </c>
      <c r="G673" s="46" t="e">
        <f>MATCH(F673*Calc!$R$12,Calc!$K$1:$K$774,1)</f>
        <v>#N/A</v>
      </c>
      <c r="H673" s="46" t="e">
        <f>INDEX(Calc!$K$1:$K$774,G673)</f>
        <v>#N/A</v>
      </c>
      <c r="I673" s="46" t="e">
        <f>H673+Calc!K673</f>
        <v>#N/A</v>
      </c>
      <c r="J673" s="46" t="e">
        <f>ABS(Show!$A$4-I673)/(Show!$A$4/100)</f>
        <v>#N/A</v>
      </c>
      <c r="K673" s="45">
        <f>INDEX(Calc!L673:P673,Show!$B$4)</f>
        <v>909000</v>
      </c>
      <c r="L673" s="46">
        <f t="shared" si="570"/>
        <v>887000</v>
      </c>
      <c r="M673" s="46">
        <f>L672</f>
        <v>866000</v>
      </c>
      <c r="N673" s="46">
        <f>L674</f>
        <v>909000</v>
      </c>
      <c r="O673" s="46">
        <f t="shared" si="571"/>
        <v>820000</v>
      </c>
      <c r="P673" s="46">
        <f t="shared" ref="P673" si="598">O674</f>
        <v>1000000</v>
      </c>
    </row>
    <row r="674" spans="1:18" x14ac:dyDescent="0.25">
      <c r="A674" s="45">
        <f>1/((1/Show!$A$4)-(1/Calc!K674))</f>
        <v>40.001760253476498</v>
      </c>
      <c r="B674" s="45">
        <f>MATCH(A674*Calc!$R$12,Calc!$K$1:$K$774,1)</f>
        <v>256</v>
      </c>
      <c r="C674" s="45">
        <f>INDEX(Calc!$K$1:$K$774,B674)</f>
        <v>38.299999999999997</v>
      </c>
      <c r="D674" s="45">
        <f>1/(1/C674+1/Calc!K674)</f>
        <v>38.298386327616775</v>
      </c>
      <c r="E674" s="45">
        <f>ABS(Show!$A$4-D674)/(Show!$A$4/100)</f>
        <v>4.2540341809580617</v>
      </c>
      <c r="F674" s="46">
        <f>Show!$A$4-Calc!L674</f>
        <v>-908960</v>
      </c>
      <c r="G674" s="46" t="e">
        <f>MATCH(F674*Calc!$R$12,Calc!$K$1:$K$774,1)</f>
        <v>#N/A</v>
      </c>
      <c r="H674" s="46" t="e">
        <f>INDEX(Calc!$K$1:$K$774,G674)</f>
        <v>#N/A</v>
      </c>
      <c r="I674" s="46" t="e">
        <f>H674+Calc!K674</f>
        <v>#N/A</v>
      </c>
      <c r="J674" s="46" t="e">
        <f>ABS(Show!$A$4-I674)/(Show!$A$4/100)</f>
        <v>#N/A</v>
      </c>
      <c r="K674" s="45">
        <f>INDEX(Calc!L674:P674,Show!$B$4)</f>
        <v>909000</v>
      </c>
      <c r="L674" s="46">
        <f t="shared" si="570"/>
        <v>909000</v>
      </c>
      <c r="M674" s="46">
        <f>L674</f>
        <v>909000</v>
      </c>
      <c r="N674" s="46">
        <f>L674</f>
        <v>909000</v>
      </c>
      <c r="O674" s="46">
        <f t="shared" si="571"/>
        <v>1000000</v>
      </c>
      <c r="P674" s="46">
        <f t="shared" ref="P674" si="599">O674</f>
        <v>1000000</v>
      </c>
    </row>
    <row r="675" spans="1:18" x14ac:dyDescent="0.25">
      <c r="A675" s="45">
        <f>1/((1/Show!$A$4)-(1/Calc!K675))</f>
        <v>40.001760253476498</v>
      </c>
      <c r="B675" s="45">
        <f>MATCH(A675*Calc!$R$12,Calc!$K$1:$K$774,1)</f>
        <v>256</v>
      </c>
      <c r="C675" s="45">
        <f>INDEX(Calc!$K$1:$K$774,B675)</f>
        <v>38.299999999999997</v>
      </c>
      <c r="D675" s="45">
        <f>1/(1/C675+1/Calc!K675)</f>
        <v>38.298386327616775</v>
      </c>
      <c r="E675" s="45">
        <f>ABS(Show!$A$4-D675)/(Show!$A$4/100)</f>
        <v>4.2540341809580617</v>
      </c>
      <c r="F675" s="46">
        <f>Show!$A$4-Calc!L675</f>
        <v>-930959.99999999988</v>
      </c>
      <c r="G675" s="46" t="e">
        <f>MATCH(F675*Calc!$R$12,Calc!$K$1:$K$774,1)</f>
        <v>#N/A</v>
      </c>
      <c r="H675" s="46" t="e">
        <f>INDEX(Calc!$K$1:$K$774,G675)</f>
        <v>#N/A</v>
      </c>
      <c r="I675" s="46" t="e">
        <f>H675+Calc!K675</f>
        <v>#N/A</v>
      </c>
      <c r="J675" s="46" t="e">
        <f>ABS(Show!$A$4-I675)/(Show!$A$4/100)</f>
        <v>#N/A</v>
      </c>
      <c r="K675" s="45">
        <f>INDEX(Calc!L675:P675,Show!$B$4)</f>
        <v>909000</v>
      </c>
      <c r="L675" s="46">
        <f t="shared" si="570"/>
        <v>930999.99999999988</v>
      </c>
      <c r="M675" s="46">
        <f>L674</f>
        <v>909000</v>
      </c>
      <c r="N675" s="46">
        <f>L674</f>
        <v>909000</v>
      </c>
      <c r="O675" s="46">
        <f t="shared" si="571"/>
        <v>1000000</v>
      </c>
      <c r="P675" s="46">
        <f t="shared" ref="P675" si="600">O674</f>
        <v>1000000</v>
      </c>
    </row>
    <row r="676" spans="1:18" x14ac:dyDescent="0.25">
      <c r="A676" s="45">
        <f>1/((1/Show!$A$4)-(1/Calc!K676))</f>
        <v>40.001760253476498</v>
      </c>
      <c r="B676" s="45">
        <f>MATCH(A676*Calc!$R$12,Calc!$K$1:$K$774,1)</f>
        <v>256</v>
      </c>
      <c r="C676" s="45">
        <f>INDEX(Calc!$K$1:$K$774,B676)</f>
        <v>38.299999999999997</v>
      </c>
      <c r="D676" s="45">
        <f>1/(1/C676+1/Calc!K676)</f>
        <v>38.298386327616775</v>
      </c>
      <c r="E676" s="45">
        <f>ABS(Show!$A$4-D676)/(Show!$A$4/100)</f>
        <v>4.2540341809580617</v>
      </c>
      <c r="F676" s="46">
        <f>Show!$A$4-Calc!L676</f>
        <v>-952960</v>
      </c>
      <c r="G676" s="46" t="e">
        <f>MATCH(F676*Calc!$R$12,Calc!$K$1:$K$774,1)</f>
        <v>#N/A</v>
      </c>
      <c r="H676" s="46" t="e">
        <f>INDEX(Calc!$K$1:$K$774,G676)</f>
        <v>#N/A</v>
      </c>
      <c r="I676" s="46" t="e">
        <f>H676+Calc!K676</f>
        <v>#N/A</v>
      </c>
      <c r="J676" s="46" t="e">
        <f>ABS(Show!$A$4-I676)/(Show!$A$4/100)</f>
        <v>#N/A</v>
      </c>
      <c r="K676" s="45">
        <f>INDEX(Calc!L676:P676,Show!$B$4)</f>
        <v>909000</v>
      </c>
      <c r="L676" s="46">
        <f t="shared" si="570"/>
        <v>953000</v>
      </c>
      <c r="M676" s="46">
        <f>L676</f>
        <v>953000</v>
      </c>
      <c r="N676" s="46">
        <f>L674</f>
        <v>909000</v>
      </c>
      <c r="O676" s="46">
        <f t="shared" si="571"/>
        <v>1000000</v>
      </c>
      <c r="P676" s="46">
        <f t="shared" ref="P676" si="601">O674</f>
        <v>1000000</v>
      </c>
    </row>
    <row r="677" spans="1:18" s="43" customFormat="1" ht="15.75" thickBot="1" x14ac:dyDescent="0.3">
      <c r="A677" s="47">
        <f>1/((1/Show!$A$4)-(1/Calc!K677))</f>
        <v>40.00160006400256</v>
      </c>
      <c r="B677" s="47">
        <f>MATCH(A677*Calc!$R$12,Calc!$K$1:$K$774,1)</f>
        <v>256</v>
      </c>
      <c r="C677" s="47">
        <f>INDEX(Calc!$K$1:$K$774,B677)</f>
        <v>38.299999999999997</v>
      </c>
      <c r="D677" s="47">
        <f>1/(1/C677+1/Calc!K677)</f>
        <v>38.29853316617973</v>
      </c>
      <c r="E677" s="47">
        <f>ABS(Show!$A$4-D677)/(Show!$A$4/100)</f>
        <v>4.2536670845506741</v>
      </c>
      <c r="F677" s="48">
        <f>Show!$A$4-Calc!L677</f>
        <v>-975960</v>
      </c>
      <c r="G677" s="48" t="e">
        <f>MATCH(F677*Calc!$R$12,Calc!$K$1:$K$774,1)</f>
        <v>#N/A</v>
      </c>
      <c r="H677" s="48" t="e">
        <f>INDEX(Calc!$K$1:$K$774,G677)</f>
        <v>#N/A</v>
      </c>
      <c r="I677" s="48" t="e">
        <f>H677+Calc!K677</f>
        <v>#N/A</v>
      </c>
      <c r="J677" s="48" t="e">
        <f>ABS(Show!$A$4-I677)/(Show!$A$4/100)</f>
        <v>#N/A</v>
      </c>
      <c r="K677" s="47">
        <f>INDEX(Calc!L677:P677,Show!$B$4)</f>
        <v>1000000</v>
      </c>
      <c r="L677" s="48">
        <f t="shared" si="570"/>
        <v>976000</v>
      </c>
      <c r="M677" s="48">
        <f>L676</f>
        <v>953000</v>
      </c>
      <c r="N677" s="48">
        <f>L678</f>
        <v>1000000</v>
      </c>
      <c r="O677" s="48">
        <f t="shared" si="571"/>
        <v>1000000</v>
      </c>
      <c r="P677" s="48">
        <f t="shared" ref="P677" si="602">O674</f>
        <v>1000000</v>
      </c>
      <c r="Q677" s="47"/>
      <c r="R677" s="47"/>
    </row>
    <row r="678" spans="1:18" ht="15.75" thickTop="1" x14ac:dyDescent="0.25">
      <c r="A678" s="45">
        <f>1/((1/Show!$A$4)-(1/Calc!K678))</f>
        <v>40.00160006400256</v>
      </c>
      <c r="B678" s="45">
        <f>MATCH(A678*Calc!$R$12,Calc!$K$1:$K$774,1)</f>
        <v>256</v>
      </c>
      <c r="C678" s="45">
        <f>INDEX(Calc!$K$1:$K$774,B678)</f>
        <v>38.299999999999997</v>
      </c>
      <c r="D678" s="45">
        <f>1/(1/C678+1/Calc!K678)</f>
        <v>38.29853316617973</v>
      </c>
      <c r="E678" s="45">
        <f>ABS(Show!$A$4-D678)/(Show!$A$4/100)</f>
        <v>4.2536670845506741</v>
      </c>
      <c r="F678" s="46">
        <f>Show!$A$4-Calc!L678</f>
        <v>-999960</v>
      </c>
      <c r="G678" s="46" t="e">
        <f>MATCH(F678*Calc!$R$12,Calc!$K$1:$K$774,1)</f>
        <v>#N/A</v>
      </c>
      <c r="H678" s="46" t="e">
        <f>INDEX(Calc!$K$1:$K$774,G678)</f>
        <v>#N/A</v>
      </c>
      <c r="I678" s="46" t="e">
        <f>H678+Calc!K678</f>
        <v>#N/A</v>
      </c>
      <c r="J678" s="46" t="e">
        <f>ABS(Show!$A$4-I678)/(Show!$A$4/100)</f>
        <v>#N/A</v>
      </c>
      <c r="K678" s="45">
        <f>INDEX(Calc!L678:P678,Show!$B$4)</f>
        <v>1000000</v>
      </c>
      <c r="L678" s="46">
        <f>L6*10000000</f>
        <v>1000000</v>
      </c>
      <c r="M678" s="46">
        <f>L678</f>
        <v>1000000</v>
      </c>
      <c r="N678" s="46">
        <f>L678</f>
        <v>1000000</v>
      </c>
      <c r="O678" s="46">
        <f>O6*10000000</f>
        <v>1000000</v>
      </c>
      <c r="P678" s="46">
        <f t="shared" ref="P678" si="603">O678</f>
        <v>1000000</v>
      </c>
    </row>
    <row r="679" spans="1:18" x14ac:dyDescent="0.25">
      <c r="A679" s="45">
        <f>1/((1/Show!$A$4)-(1/Calc!K679))</f>
        <v>40.00160006400256</v>
      </c>
      <c r="B679" s="45">
        <f>MATCH(A679*Calc!$R$12,Calc!$K$1:$K$774,1)</f>
        <v>256</v>
      </c>
      <c r="C679" s="45">
        <f>INDEX(Calc!$K$1:$K$774,B679)</f>
        <v>38.299999999999997</v>
      </c>
      <c r="D679" s="45">
        <f>1/(1/C679+1/Calc!K679)</f>
        <v>38.29853316617973</v>
      </c>
      <c r="E679" s="45">
        <f>ABS(Show!$A$4-D679)/(Show!$A$4/100)</f>
        <v>4.2536670845506741</v>
      </c>
      <c r="F679" s="46">
        <f>Show!$A$4-Calc!L679</f>
        <v>-1019959.9999999999</v>
      </c>
      <c r="G679" s="46" t="e">
        <f>MATCH(F679*Calc!$R$12,Calc!$K$1:$K$774,1)</f>
        <v>#N/A</v>
      </c>
      <c r="H679" s="46" t="e">
        <f>INDEX(Calc!$K$1:$K$774,G679)</f>
        <v>#N/A</v>
      </c>
      <c r="I679" s="46" t="e">
        <f>H679+Calc!K679</f>
        <v>#N/A</v>
      </c>
      <c r="J679" s="46" t="e">
        <f>ABS(Show!$A$4-I679)/(Show!$A$4/100)</f>
        <v>#N/A</v>
      </c>
      <c r="K679" s="45">
        <f>INDEX(Calc!L679:P679,Show!$B$4)</f>
        <v>1000000</v>
      </c>
      <c r="L679" s="46">
        <f t="shared" ref="L679:L742" si="604">L7*10000000</f>
        <v>1019999.9999999999</v>
      </c>
      <c r="M679" s="46">
        <f>L678</f>
        <v>1000000</v>
      </c>
      <c r="N679" s="46">
        <f>L678</f>
        <v>1000000</v>
      </c>
      <c r="O679" s="46">
        <f t="shared" ref="O679:O742" si="605">O7*10000000</f>
        <v>1000000</v>
      </c>
      <c r="P679" s="46">
        <f t="shared" ref="P679" si="606">O678</f>
        <v>1000000</v>
      </c>
    </row>
    <row r="680" spans="1:18" x14ac:dyDescent="0.25">
      <c r="A680" s="45">
        <f>1/((1/Show!$A$4)-(1/Calc!K680))</f>
        <v>40.00160006400256</v>
      </c>
      <c r="B680" s="45">
        <f>MATCH(A680*Calc!$R$12,Calc!$K$1:$K$774,1)</f>
        <v>256</v>
      </c>
      <c r="C680" s="45">
        <f>INDEX(Calc!$K$1:$K$774,B680)</f>
        <v>38.299999999999997</v>
      </c>
      <c r="D680" s="45">
        <f>1/(1/C680+1/Calc!K680)</f>
        <v>38.29853316617973</v>
      </c>
      <c r="E680" s="45">
        <f>ABS(Show!$A$4-D680)/(Show!$A$4/100)</f>
        <v>4.2536670845506741</v>
      </c>
      <c r="F680" s="46">
        <f>Show!$A$4-Calc!L680</f>
        <v>-1049960</v>
      </c>
      <c r="G680" s="46" t="e">
        <f>MATCH(F680*Calc!$R$12,Calc!$K$1:$K$774,1)</f>
        <v>#N/A</v>
      </c>
      <c r="H680" s="46" t="e">
        <f>INDEX(Calc!$K$1:$K$774,G680)</f>
        <v>#N/A</v>
      </c>
      <c r="I680" s="46" t="e">
        <f>H680+Calc!K680</f>
        <v>#N/A</v>
      </c>
      <c r="J680" s="46" t="e">
        <f>ABS(Show!$A$4-I680)/(Show!$A$4/100)</f>
        <v>#N/A</v>
      </c>
      <c r="K680" s="45">
        <f>INDEX(Calc!L680:P680,Show!$B$4)</f>
        <v>1000000</v>
      </c>
      <c r="L680" s="46">
        <f t="shared" si="604"/>
        <v>1050000</v>
      </c>
      <c r="M680" s="46">
        <f>L680</f>
        <v>1050000</v>
      </c>
      <c r="N680" s="46">
        <f>L678</f>
        <v>1000000</v>
      </c>
      <c r="O680" s="46">
        <f t="shared" si="605"/>
        <v>1000000</v>
      </c>
      <c r="P680" s="46">
        <f t="shared" ref="P680" si="607">O678</f>
        <v>1000000</v>
      </c>
    </row>
    <row r="681" spans="1:18" x14ac:dyDescent="0.25">
      <c r="A681" s="45">
        <f>1/((1/Show!$A$4)-(1/Calc!K681))</f>
        <v>40.001454598349028</v>
      </c>
      <c r="B681" s="45">
        <f>MATCH(A681*Calc!$R$12,Calc!$K$1:$K$774,1)</f>
        <v>256</v>
      </c>
      <c r="C681" s="45">
        <f>INDEX(Calc!$K$1:$K$774,B681)</f>
        <v>38.299999999999997</v>
      </c>
      <c r="D681" s="45">
        <f>1/(1/C681+1/Calc!K681)</f>
        <v>38.298666510066056</v>
      </c>
      <c r="E681" s="45">
        <f>ABS(Show!$A$4-D681)/(Show!$A$4/100)</f>
        <v>4.2533337248348602</v>
      </c>
      <c r="F681" s="46">
        <f>Show!$A$4-Calc!L681</f>
        <v>-1069960</v>
      </c>
      <c r="G681" s="46" t="e">
        <f>MATCH(F681*Calc!$R$12,Calc!$K$1:$K$774,1)</f>
        <v>#N/A</v>
      </c>
      <c r="H681" s="46" t="e">
        <f>INDEX(Calc!$K$1:$K$774,G681)</f>
        <v>#N/A</v>
      </c>
      <c r="I681" s="46" t="e">
        <f>H681+Calc!K681</f>
        <v>#N/A</v>
      </c>
      <c r="J681" s="46" t="e">
        <f>ABS(Show!$A$4-I681)/(Show!$A$4/100)</f>
        <v>#N/A</v>
      </c>
      <c r="K681" s="45">
        <f>INDEX(Calc!L681:P681,Show!$B$4)</f>
        <v>1100000</v>
      </c>
      <c r="L681" s="46">
        <f t="shared" si="604"/>
        <v>1070000</v>
      </c>
      <c r="M681" s="46">
        <f>L680</f>
        <v>1050000</v>
      </c>
      <c r="N681" s="46">
        <f>L682</f>
        <v>1100000</v>
      </c>
      <c r="O681" s="46">
        <f t="shared" si="605"/>
        <v>1000000</v>
      </c>
      <c r="P681" s="46">
        <f t="shared" ref="P681" si="608">O678</f>
        <v>1000000</v>
      </c>
    </row>
    <row r="682" spans="1:18" x14ac:dyDescent="0.25">
      <c r="A682" s="45">
        <f>1/((1/Show!$A$4)-(1/Calc!K682))</f>
        <v>40.001454598349028</v>
      </c>
      <c r="B682" s="45">
        <f>MATCH(A682*Calc!$R$12,Calc!$K$1:$K$774,1)</f>
        <v>256</v>
      </c>
      <c r="C682" s="45">
        <f>INDEX(Calc!$K$1:$K$774,B682)</f>
        <v>38.299999999999997</v>
      </c>
      <c r="D682" s="45">
        <f>1/(1/C682+1/Calc!K682)</f>
        <v>38.298666510066056</v>
      </c>
      <c r="E682" s="45">
        <f>ABS(Show!$A$4-D682)/(Show!$A$4/100)</f>
        <v>4.2533337248348602</v>
      </c>
      <c r="F682" s="46">
        <f>Show!$A$4-Calc!L682</f>
        <v>-1099960</v>
      </c>
      <c r="G682" s="46" t="e">
        <f>MATCH(F682*Calc!$R$12,Calc!$K$1:$K$774,1)</f>
        <v>#N/A</v>
      </c>
      <c r="H682" s="46" t="e">
        <f>INDEX(Calc!$K$1:$K$774,G682)</f>
        <v>#N/A</v>
      </c>
      <c r="I682" s="46" t="e">
        <f>H682+Calc!K682</f>
        <v>#N/A</v>
      </c>
      <c r="J682" s="46" t="e">
        <f>ABS(Show!$A$4-I682)/(Show!$A$4/100)</f>
        <v>#N/A</v>
      </c>
      <c r="K682" s="45">
        <f>INDEX(Calc!L682:P682,Show!$B$4)</f>
        <v>1100000</v>
      </c>
      <c r="L682" s="46">
        <f t="shared" si="604"/>
        <v>1100000</v>
      </c>
      <c r="M682" s="46">
        <f>L682</f>
        <v>1100000</v>
      </c>
      <c r="N682" s="46">
        <f>L682</f>
        <v>1100000</v>
      </c>
      <c r="O682" s="46">
        <f t="shared" si="605"/>
        <v>1200000</v>
      </c>
      <c r="P682" s="46">
        <f t="shared" ref="P682" si="609">O678</f>
        <v>1000000</v>
      </c>
    </row>
    <row r="683" spans="1:18" x14ac:dyDescent="0.25">
      <c r="A683" s="45">
        <f>1/((1/Show!$A$4)-(1/Calc!K683))</f>
        <v>40.001454598349028</v>
      </c>
      <c r="B683" s="45">
        <f>MATCH(A683*Calc!$R$12,Calc!$K$1:$K$774,1)</f>
        <v>256</v>
      </c>
      <c r="C683" s="45">
        <f>INDEX(Calc!$K$1:$K$774,B683)</f>
        <v>38.299999999999997</v>
      </c>
      <c r="D683" s="45">
        <f>1/(1/C683+1/Calc!K683)</f>
        <v>38.298666510066056</v>
      </c>
      <c r="E683" s="45">
        <f>ABS(Show!$A$4-D683)/(Show!$A$4/100)</f>
        <v>4.2533337248348602</v>
      </c>
      <c r="F683" s="46">
        <f>Show!$A$4-Calc!L683</f>
        <v>-1129960</v>
      </c>
      <c r="G683" s="46" t="e">
        <f>MATCH(F683*Calc!$R$12,Calc!$K$1:$K$774,1)</f>
        <v>#N/A</v>
      </c>
      <c r="H683" s="46" t="e">
        <f>INDEX(Calc!$K$1:$K$774,G683)</f>
        <v>#N/A</v>
      </c>
      <c r="I683" s="46" t="e">
        <f>H683+Calc!K683</f>
        <v>#N/A</v>
      </c>
      <c r="J683" s="46" t="e">
        <f>ABS(Show!$A$4-I683)/(Show!$A$4/100)</f>
        <v>#N/A</v>
      </c>
      <c r="K683" s="45">
        <f>INDEX(Calc!L683:P683,Show!$B$4)</f>
        <v>1100000</v>
      </c>
      <c r="L683" s="46">
        <f t="shared" si="604"/>
        <v>1130000</v>
      </c>
      <c r="M683" s="46">
        <f>L682</f>
        <v>1100000</v>
      </c>
      <c r="N683" s="46">
        <f>L682</f>
        <v>1100000</v>
      </c>
      <c r="O683" s="46">
        <f t="shared" si="605"/>
        <v>1200000</v>
      </c>
      <c r="P683" s="46">
        <f t="shared" ref="P683" si="610">O678</f>
        <v>1000000</v>
      </c>
    </row>
    <row r="684" spans="1:18" x14ac:dyDescent="0.25">
      <c r="A684" s="45">
        <f>1/((1/Show!$A$4)-(1/Calc!K684))</f>
        <v>40.001454598349028</v>
      </c>
      <c r="B684" s="45">
        <f>MATCH(A684*Calc!$R$12,Calc!$K$1:$K$774,1)</f>
        <v>256</v>
      </c>
      <c r="C684" s="45">
        <f>INDEX(Calc!$K$1:$K$774,B684)</f>
        <v>38.299999999999997</v>
      </c>
      <c r="D684" s="45">
        <f>1/(1/C684+1/Calc!K684)</f>
        <v>38.298666510066056</v>
      </c>
      <c r="E684" s="45">
        <f>ABS(Show!$A$4-D684)/(Show!$A$4/100)</f>
        <v>4.2533337248348602</v>
      </c>
      <c r="F684" s="46">
        <f>Show!$A$4-Calc!L684</f>
        <v>-1149960</v>
      </c>
      <c r="G684" s="46" t="e">
        <f>MATCH(F684*Calc!$R$12,Calc!$K$1:$K$774,1)</f>
        <v>#N/A</v>
      </c>
      <c r="H684" s="46" t="e">
        <f>INDEX(Calc!$K$1:$K$774,G684)</f>
        <v>#N/A</v>
      </c>
      <c r="I684" s="46" t="e">
        <f>H684+Calc!K684</f>
        <v>#N/A</v>
      </c>
      <c r="J684" s="46" t="e">
        <f>ABS(Show!$A$4-I684)/(Show!$A$4/100)</f>
        <v>#N/A</v>
      </c>
      <c r="K684" s="45">
        <f>INDEX(Calc!L684:P684,Show!$B$4)</f>
        <v>1100000</v>
      </c>
      <c r="L684" s="46">
        <f t="shared" si="604"/>
        <v>1150000</v>
      </c>
      <c r="M684" s="46">
        <f>L684</f>
        <v>1150000</v>
      </c>
      <c r="N684" s="46">
        <f>L682</f>
        <v>1100000</v>
      </c>
      <c r="O684" s="46">
        <f t="shared" si="605"/>
        <v>1200000</v>
      </c>
      <c r="P684" s="46">
        <f t="shared" ref="P684" si="611">O678</f>
        <v>1000000</v>
      </c>
    </row>
    <row r="685" spans="1:18" x14ac:dyDescent="0.25">
      <c r="A685" s="45">
        <f>1/((1/Show!$A$4)-(1/Calc!K685))</f>
        <v>40.00132235776389</v>
      </c>
      <c r="B685" s="45">
        <f>MATCH(A685*Calc!$R$12,Calc!$K$1:$K$774,1)</f>
        <v>256</v>
      </c>
      <c r="C685" s="45">
        <f>INDEX(Calc!$K$1:$K$774,B685)</f>
        <v>38.299999999999997</v>
      </c>
      <c r="D685" s="45">
        <f>1/(1/C685+1/Calc!K685)</f>
        <v>38.298787732586646</v>
      </c>
      <c r="E685" s="45">
        <f>ABS(Show!$A$4-D685)/(Show!$A$4/100)</f>
        <v>4.2530306685333841</v>
      </c>
      <c r="F685" s="46">
        <f>Show!$A$4-Calc!L685</f>
        <v>-1179960</v>
      </c>
      <c r="G685" s="46" t="e">
        <f>MATCH(F685*Calc!$R$12,Calc!$K$1:$K$774,1)</f>
        <v>#N/A</v>
      </c>
      <c r="H685" s="46" t="e">
        <f>INDEX(Calc!$K$1:$K$774,G685)</f>
        <v>#N/A</v>
      </c>
      <c r="I685" s="46" t="e">
        <f>H685+Calc!K685</f>
        <v>#N/A</v>
      </c>
      <c r="J685" s="46" t="e">
        <f>ABS(Show!$A$4-I685)/(Show!$A$4/100)</f>
        <v>#N/A</v>
      </c>
      <c r="K685" s="45">
        <f>INDEX(Calc!L685:P685,Show!$B$4)</f>
        <v>1210000</v>
      </c>
      <c r="L685" s="46">
        <f t="shared" si="604"/>
        <v>1180000</v>
      </c>
      <c r="M685" s="46">
        <f>L684</f>
        <v>1150000</v>
      </c>
      <c r="N685" s="46">
        <f>L686</f>
        <v>1210000</v>
      </c>
      <c r="O685" s="46">
        <f t="shared" si="605"/>
        <v>1200000</v>
      </c>
      <c r="P685" s="46">
        <f t="shared" ref="P685" si="612">O678</f>
        <v>1000000</v>
      </c>
    </row>
    <row r="686" spans="1:18" x14ac:dyDescent="0.25">
      <c r="A686" s="45">
        <f>1/((1/Show!$A$4)-(1/Calc!K686))</f>
        <v>40.00132235776389</v>
      </c>
      <c r="B686" s="45">
        <f>MATCH(A686*Calc!$R$12,Calc!$K$1:$K$774,1)</f>
        <v>256</v>
      </c>
      <c r="C686" s="45">
        <f>INDEX(Calc!$K$1:$K$774,B686)</f>
        <v>38.299999999999997</v>
      </c>
      <c r="D686" s="45">
        <f>1/(1/C686+1/Calc!K686)</f>
        <v>38.298787732586646</v>
      </c>
      <c r="E686" s="45">
        <f>ABS(Show!$A$4-D686)/(Show!$A$4/100)</f>
        <v>4.2530306685333841</v>
      </c>
      <c r="F686" s="46">
        <f>Show!$A$4-Calc!L686</f>
        <v>-1209960</v>
      </c>
      <c r="G686" s="46" t="e">
        <f>MATCH(F686*Calc!$R$12,Calc!$K$1:$K$774,1)</f>
        <v>#N/A</v>
      </c>
      <c r="H686" s="46" t="e">
        <f>INDEX(Calc!$K$1:$K$774,G686)</f>
        <v>#N/A</v>
      </c>
      <c r="I686" s="46" t="e">
        <f>H686+Calc!K686</f>
        <v>#N/A</v>
      </c>
      <c r="J686" s="46" t="e">
        <f>ABS(Show!$A$4-I686)/(Show!$A$4/100)</f>
        <v>#N/A</v>
      </c>
      <c r="K686" s="45">
        <f>INDEX(Calc!L686:P686,Show!$B$4)</f>
        <v>1210000</v>
      </c>
      <c r="L686" s="46">
        <f t="shared" si="604"/>
        <v>1210000</v>
      </c>
      <c r="M686" s="46">
        <f>L686</f>
        <v>1210000</v>
      </c>
      <c r="N686" s="46">
        <f>L686</f>
        <v>1210000</v>
      </c>
      <c r="O686" s="46">
        <f t="shared" si="605"/>
        <v>1200000</v>
      </c>
      <c r="P686" s="46">
        <f t="shared" ref="P686" si="613">O690</f>
        <v>1500000</v>
      </c>
    </row>
    <row r="687" spans="1:18" x14ac:dyDescent="0.25">
      <c r="A687" s="45">
        <f>1/((1/Show!$A$4)-(1/Calc!K687))</f>
        <v>40.00132235776389</v>
      </c>
      <c r="B687" s="45">
        <f>MATCH(A687*Calc!$R$12,Calc!$K$1:$K$774,1)</f>
        <v>256</v>
      </c>
      <c r="C687" s="45">
        <f>INDEX(Calc!$K$1:$K$774,B687)</f>
        <v>38.299999999999997</v>
      </c>
      <c r="D687" s="45">
        <f>1/(1/C687+1/Calc!K687)</f>
        <v>38.298787732586646</v>
      </c>
      <c r="E687" s="45">
        <f>ABS(Show!$A$4-D687)/(Show!$A$4/100)</f>
        <v>4.2530306685333841</v>
      </c>
      <c r="F687" s="46">
        <f>Show!$A$4-Calc!L687</f>
        <v>-1239960</v>
      </c>
      <c r="G687" s="46" t="e">
        <f>MATCH(F687*Calc!$R$12,Calc!$K$1:$K$774,1)</f>
        <v>#N/A</v>
      </c>
      <c r="H687" s="46" t="e">
        <f>INDEX(Calc!$K$1:$K$774,G687)</f>
        <v>#N/A</v>
      </c>
      <c r="I687" s="46" t="e">
        <f>H687+Calc!K687</f>
        <v>#N/A</v>
      </c>
      <c r="J687" s="46" t="e">
        <f>ABS(Show!$A$4-I687)/(Show!$A$4/100)</f>
        <v>#N/A</v>
      </c>
      <c r="K687" s="45">
        <f>INDEX(Calc!L687:P687,Show!$B$4)</f>
        <v>1210000</v>
      </c>
      <c r="L687" s="46">
        <f t="shared" si="604"/>
        <v>1240000</v>
      </c>
      <c r="M687" s="46">
        <f>L686</f>
        <v>1210000</v>
      </c>
      <c r="N687" s="46">
        <f>L686</f>
        <v>1210000</v>
      </c>
      <c r="O687" s="46">
        <f t="shared" si="605"/>
        <v>1200000</v>
      </c>
      <c r="P687" s="46">
        <f t="shared" ref="P687" si="614">O690</f>
        <v>1500000</v>
      </c>
    </row>
    <row r="688" spans="1:18" x14ac:dyDescent="0.25">
      <c r="A688" s="45">
        <f>1/((1/Show!$A$4)-(1/Calc!K688))</f>
        <v>40.00132235776389</v>
      </c>
      <c r="B688" s="45">
        <f>MATCH(A688*Calc!$R$12,Calc!$K$1:$K$774,1)</f>
        <v>256</v>
      </c>
      <c r="C688" s="45">
        <f>INDEX(Calc!$K$1:$K$774,B688)</f>
        <v>38.299999999999997</v>
      </c>
      <c r="D688" s="45">
        <f>1/(1/C688+1/Calc!K688)</f>
        <v>38.298787732586646</v>
      </c>
      <c r="E688" s="45">
        <f>ABS(Show!$A$4-D688)/(Show!$A$4/100)</f>
        <v>4.2530306685333841</v>
      </c>
      <c r="F688" s="46">
        <f>Show!$A$4-Calc!L688</f>
        <v>-1269960</v>
      </c>
      <c r="G688" s="46" t="e">
        <f>MATCH(F688*Calc!$R$12,Calc!$K$1:$K$774,1)</f>
        <v>#N/A</v>
      </c>
      <c r="H688" s="46" t="e">
        <f>INDEX(Calc!$K$1:$K$774,G688)</f>
        <v>#N/A</v>
      </c>
      <c r="I688" s="46" t="e">
        <f>H688+Calc!K688</f>
        <v>#N/A</v>
      </c>
      <c r="J688" s="46" t="e">
        <f>ABS(Show!$A$4-I688)/(Show!$A$4/100)</f>
        <v>#N/A</v>
      </c>
      <c r="K688" s="45">
        <f>INDEX(Calc!L688:P688,Show!$B$4)</f>
        <v>1210000</v>
      </c>
      <c r="L688" s="46">
        <f t="shared" si="604"/>
        <v>1270000</v>
      </c>
      <c r="M688" s="46">
        <f>L688</f>
        <v>1270000</v>
      </c>
      <c r="N688" s="46">
        <f>L686</f>
        <v>1210000</v>
      </c>
      <c r="O688" s="46">
        <f t="shared" si="605"/>
        <v>1200000</v>
      </c>
      <c r="P688" s="46">
        <f t="shared" ref="P688" si="615">O690</f>
        <v>1500000</v>
      </c>
    </row>
    <row r="689" spans="1:16" x14ac:dyDescent="0.25">
      <c r="A689" s="45">
        <f>1/((1/Show!$A$4)-(1/Calc!K689))</f>
        <v>40.001203043700556</v>
      </c>
      <c r="B689" s="45">
        <f>MATCH(A689*Calc!$R$12,Calc!$K$1:$K$774,1)</f>
        <v>256</v>
      </c>
      <c r="C689" s="45">
        <f>INDEX(Calc!$K$1:$K$774,B689)</f>
        <v>38.299999999999997</v>
      </c>
      <c r="D689" s="45">
        <f>1/(1/C689+1/Calc!K689)</f>
        <v>38.298897106947969</v>
      </c>
      <c r="E689" s="45">
        <f>ABS(Show!$A$4-D689)/(Show!$A$4/100)</f>
        <v>4.2527572326300778</v>
      </c>
      <c r="F689" s="46">
        <f>Show!$A$4-Calc!L689</f>
        <v>-1299960</v>
      </c>
      <c r="G689" s="46" t="e">
        <f>MATCH(F689*Calc!$R$12,Calc!$K$1:$K$774,1)</f>
        <v>#N/A</v>
      </c>
      <c r="H689" s="46" t="e">
        <f>INDEX(Calc!$K$1:$K$774,G689)</f>
        <v>#N/A</v>
      </c>
      <c r="I689" s="46" t="e">
        <f>H689+Calc!K689</f>
        <v>#N/A</v>
      </c>
      <c r="J689" s="46" t="e">
        <f>ABS(Show!$A$4-I689)/(Show!$A$4/100)</f>
        <v>#N/A</v>
      </c>
      <c r="K689" s="45">
        <f>INDEX(Calc!L689:P689,Show!$B$4)</f>
        <v>1330000</v>
      </c>
      <c r="L689" s="46">
        <f t="shared" si="604"/>
        <v>1300000</v>
      </c>
      <c r="M689" s="46">
        <f>L688</f>
        <v>1270000</v>
      </c>
      <c r="N689" s="46">
        <f>L690</f>
        <v>1330000</v>
      </c>
      <c r="O689" s="46">
        <f t="shared" si="605"/>
        <v>1200000</v>
      </c>
      <c r="P689" s="46">
        <f t="shared" ref="P689" si="616">O690</f>
        <v>1500000</v>
      </c>
    </row>
    <row r="690" spans="1:16" x14ac:dyDescent="0.25">
      <c r="A690" s="45">
        <f>1/((1/Show!$A$4)-(1/Calc!K690))</f>
        <v>40.001203043700556</v>
      </c>
      <c r="B690" s="45">
        <f>MATCH(A690*Calc!$R$12,Calc!$K$1:$K$774,1)</f>
        <v>256</v>
      </c>
      <c r="C690" s="45">
        <f>INDEX(Calc!$K$1:$K$774,B690)</f>
        <v>38.299999999999997</v>
      </c>
      <c r="D690" s="45">
        <f>1/(1/C690+1/Calc!K690)</f>
        <v>38.298897106947969</v>
      </c>
      <c r="E690" s="45">
        <f>ABS(Show!$A$4-D690)/(Show!$A$4/100)</f>
        <v>4.2527572326300778</v>
      </c>
      <c r="F690" s="46">
        <f>Show!$A$4-Calc!L690</f>
        <v>-1329960</v>
      </c>
      <c r="G690" s="46" t="e">
        <f>MATCH(F690*Calc!$R$12,Calc!$K$1:$K$774,1)</f>
        <v>#N/A</v>
      </c>
      <c r="H690" s="46" t="e">
        <f>INDEX(Calc!$K$1:$K$774,G690)</f>
        <v>#N/A</v>
      </c>
      <c r="I690" s="46" t="e">
        <f>H690+Calc!K690</f>
        <v>#N/A</v>
      </c>
      <c r="J690" s="46" t="e">
        <f>ABS(Show!$A$4-I690)/(Show!$A$4/100)</f>
        <v>#N/A</v>
      </c>
      <c r="K690" s="45">
        <f>INDEX(Calc!L690:P690,Show!$B$4)</f>
        <v>1330000</v>
      </c>
      <c r="L690" s="46">
        <f t="shared" si="604"/>
        <v>1330000</v>
      </c>
      <c r="M690" s="46">
        <f>L690</f>
        <v>1330000</v>
      </c>
      <c r="N690" s="46">
        <f>L690</f>
        <v>1330000</v>
      </c>
      <c r="O690" s="46">
        <f t="shared" si="605"/>
        <v>1500000</v>
      </c>
      <c r="P690" s="46">
        <f t="shared" ref="P690" si="617">O690</f>
        <v>1500000</v>
      </c>
    </row>
    <row r="691" spans="1:16" x14ac:dyDescent="0.25">
      <c r="A691" s="45">
        <f>1/((1/Show!$A$4)-(1/Calc!K691))</f>
        <v>40.001203043700556</v>
      </c>
      <c r="B691" s="45">
        <f>MATCH(A691*Calc!$R$12,Calc!$K$1:$K$774,1)</f>
        <v>256</v>
      </c>
      <c r="C691" s="45">
        <f>INDEX(Calc!$K$1:$K$774,B691)</f>
        <v>38.299999999999997</v>
      </c>
      <c r="D691" s="45">
        <f>1/(1/C691+1/Calc!K691)</f>
        <v>38.298897106947969</v>
      </c>
      <c r="E691" s="45">
        <f>ABS(Show!$A$4-D691)/(Show!$A$4/100)</f>
        <v>4.2527572326300778</v>
      </c>
      <c r="F691" s="46">
        <f>Show!$A$4-Calc!L691</f>
        <v>-1369959.9999999998</v>
      </c>
      <c r="G691" s="46" t="e">
        <f>MATCH(F691*Calc!$R$12,Calc!$K$1:$K$774,1)</f>
        <v>#N/A</v>
      </c>
      <c r="H691" s="46" t="e">
        <f>INDEX(Calc!$K$1:$K$774,G691)</f>
        <v>#N/A</v>
      </c>
      <c r="I691" s="46" t="e">
        <f>H691+Calc!K691</f>
        <v>#N/A</v>
      </c>
      <c r="J691" s="46" t="e">
        <f>ABS(Show!$A$4-I691)/(Show!$A$4/100)</f>
        <v>#N/A</v>
      </c>
      <c r="K691" s="45">
        <f>INDEX(Calc!L691:P691,Show!$B$4)</f>
        <v>1330000</v>
      </c>
      <c r="L691" s="46">
        <f t="shared" si="604"/>
        <v>1369999.9999999998</v>
      </c>
      <c r="M691" s="46">
        <f>L690</f>
        <v>1330000</v>
      </c>
      <c r="N691" s="46">
        <f>L690</f>
        <v>1330000</v>
      </c>
      <c r="O691" s="46">
        <f t="shared" si="605"/>
        <v>1500000</v>
      </c>
      <c r="P691" s="46">
        <f t="shared" ref="P691" si="618">O690</f>
        <v>1500000</v>
      </c>
    </row>
    <row r="692" spans="1:16" x14ac:dyDescent="0.25">
      <c r="A692" s="45">
        <f>1/((1/Show!$A$4)-(1/Calc!K692))</f>
        <v>40.001203043700556</v>
      </c>
      <c r="B692" s="45">
        <f>MATCH(A692*Calc!$R$12,Calc!$K$1:$K$774,1)</f>
        <v>256</v>
      </c>
      <c r="C692" s="45">
        <f>INDEX(Calc!$K$1:$K$774,B692)</f>
        <v>38.299999999999997</v>
      </c>
      <c r="D692" s="45">
        <f>1/(1/C692+1/Calc!K692)</f>
        <v>38.298897106947969</v>
      </c>
      <c r="E692" s="45">
        <f>ABS(Show!$A$4-D692)/(Show!$A$4/100)</f>
        <v>4.2527572326300778</v>
      </c>
      <c r="F692" s="46">
        <f>Show!$A$4-Calc!L692</f>
        <v>-1399960.0000000002</v>
      </c>
      <c r="G692" s="46" t="e">
        <f>MATCH(F692*Calc!$R$12,Calc!$K$1:$K$774,1)</f>
        <v>#N/A</v>
      </c>
      <c r="H692" s="46" t="e">
        <f>INDEX(Calc!$K$1:$K$774,G692)</f>
        <v>#N/A</v>
      </c>
      <c r="I692" s="46" t="e">
        <f>H692+Calc!K692</f>
        <v>#N/A</v>
      </c>
      <c r="J692" s="46" t="e">
        <f>ABS(Show!$A$4-I692)/(Show!$A$4/100)</f>
        <v>#N/A</v>
      </c>
      <c r="K692" s="45">
        <f>INDEX(Calc!L692:P692,Show!$B$4)</f>
        <v>1330000</v>
      </c>
      <c r="L692" s="46">
        <f t="shared" si="604"/>
        <v>1400000.0000000002</v>
      </c>
      <c r="M692" s="46">
        <f>L692</f>
        <v>1400000.0000000002</v>
      </c>
      <c r="N692" s="46">
        <f>L690</f>
        <v>1330000</v>
      </c>
      <c r="O692" s="46">
        <f t="shared" si="605"/>
        <v>1500000</v>
      </c>
      <c r="P692" s="46">
        <f t="shared" ref="P692" si="619">O690</f>
        <v>1500000</v>
      </c>
    </row>
    <row r="693" spans="1:16" x14ac:dyDescent="0.25">
      <c r="A693" s="45">
        <f>1/((1/Show!$A$4)-(1/Calc!K693))</f>
        <v>40.001088464992243</v>
      </c>
      <c r="B693" s="45">
        <f>MATCH(A693*Calc!$R$12,Calc!$K$1:$K$774,1)</f>
        <v>256</v>
      </c>
      <c r="C693" s="45">
        <f>INDEX(Calc!$K$1:$K$774,B693)</f>
        <v>38.299999999999997</v>
      </c>
      <c r="D693" s="45">
        <f>1/(1/C693+1/Calc!K693)</f>
        <v>38.299002141644877</v>
      </c>
      <c r="E693" s="45">
        <f>ABS(Show!$A$4-D693)/(Show!$A$4/100)</f>
        <v>4.2524946458878077</v>
      </c>
      <c r="F693" s="46">
        <f>Show!$A$4-Calc!L693</f>
        <v>-1429960.0000000002</v>
      </c>
      <c r="G693" s="46" t="e">
        <f>MATCH(F693*Calc!$R$12,Calc!$K$1:$K$774,1)</f>
        <v>#N/A</v>
      </c>
      <c r="H693" s="46" t="e">
        <f>INDEX(Calc!$K$1:$K$774,G693)</f>
        <v>#N/A</v>
      </c>
      <c r="I693" s="46" t="e">
        <f>H693+Calc!K693</f>
        <v>#N/A</v>
      </c>
      <c r="J693" s="46" t="e">
        <f>ABS(Show!$A$4-I693)/(Show!$A$4/100)</f>
        <v>#N/A</v>
      </c>
      <c r="K693" s="45">
        <f>INDEX(Calc!L693:P693,Show!$B$4)</f>
        <v>1470000</v>
      </c>
      <c r="L693" s="46">
        <f t="shared" si="604"/>
        <v>1430000.0000000002</v>
      </c>
      <c r="M693" s="46">
        <f>L692</f>
        <v>1400000.0000000002</v>
      </c>
      <c r="N693" s="46">
        <f>L694</f>
        <v>1470000</v>
      </c>
      <c r="O693" s="46">
        <f t="shared" si="605"/>
        <v>1500000</v>
      </c>
      <c r="P693" s="46">
        <f t="shared" ref="P693" si="620">O690</f>
        <v>1500000</v>
      </c>
    </row>
    <row r="694" spans="1:16" x14ac:dyDescent="0.25">
      <c r="A694" s="45">
        <f>1/((1/Show!$A$4)-(1/Calc!K694))</f>
        <v>40.001088464992243</v>
      </c>
      <c r="B694" s="45">
        <f>MATCH(A694*Calc!$R$12,Calc!$K$1:$K$774,1)</f>
        <v>256</v>
      </c>
      <c r="C694" s="45">
        <f>INDEX(Calc!$K$1:$K$774,B694)</f>
        <v>38.299999999999997</v>
      </c>
      <c r="D694" s="45">
        <f>1/(1/C694+1/Calc!K694)</f>
        <v>38.299002141644877</v>
      </c>
      <c r="E694" s="45">
        <f>ABS(Show!$A$4-D694)/(Show!$A$4/100)</f>
        <v>4.2524946458878077</v>
      </c>
      <c r="F694" s="46">
        <f>Show!$A$4-Calc!L694</f>
        <v>-1469960</v>
      </c>
      <c r="G694" s="46" t="e">
        <f>MATCH(F694*Calc!$R$12,Calc!$K$1:$K$774,1)</f>
        <v>#N/A</v>
      </c>
      <c r="H694" s="46" t="e">
        <f>INDEX(Calc!$K$1:$K$774,G694)</f>
        <v>#N/A</v>
      </c>
      <c r="I694" s="46" t="e">
        <f>H694+Calc!K694</f>
        <v>#N/A</v>
      </c>
      <c r="J694" s="46" t="e">
        <f>ABS(Show!$A$4-I694)/(Show!$A$4/100)</f>
        <v>#N/A</v>
      </c>
      <c r="K694" s="45">
        <f>INDEX(Calc!L694:P694,Show!$B$4)</f>
        <v>1470000</v>
      </c>
      <c r="L694" s="46">
        <f t="shared" si="604"/>
        <v>1470000</v>
      </c>
      <c r="M694" s="46">
        <f>L694</f>
        <v>1470000</v>
      </c>
      <c r="N694" s="46">
        <f>L694</f>
        <v>1470000</v>
      </c>
      <c r="O694" s="46">
        <f t="shared" si="605"/>
        <v>1500000</v>
      </c>
      <c r="P694" s="46">
        <f t="shared" ref="P694" si="621">O690</f>
        <v>1500000</v>
      </c>
    </row>
    <row r="695" spans="1:16" x14ac:dyDescent="0.25">
      <c r="A695" s="45">
        <f>1/((1/Show!$A$4)-(1/Calc!K695))</f>
        <v>40.001088464992243</v>
      </c>
      <c r="B695" s="45">
        <f>MATCH(A695*Calc!$R$12,Calc!$K$1:$K$774,1)</f>
        <v>256</v>
      </c>
      <c r="C695" s="45">
        <f>INDEX(Calc!$K$1:$K$774,B695)</f>
        <v>38.299999999999997</v>
      </c>
      <c r="D695" s="45">
        <f>1/(1/C695+1/Calc!K695)</f>
        <v>38.299002141644877</v>
      </c>
      <c r="E695" s="45">
        <f>ABS(Show!$A$4-D695)/(Show!$A$4/100)</f>
        <v>4.2524946458878077</v>
      </c>
      <c r="F695" s="46">
        <f>Show!$A$4-Calc!L695</f>
        <v>-1499960</v>
      </c>
      <c r="G695" s="46" t="e">
        <f>MATCH(F695*Calc!$R$12,Calc!$K$1:$K$774,1)</f>
        <v>#N/A</v>
      </c>
      <c r="H695" s="46" t="e">
        <f>INDEX(Calc!$K$1:$K$774,G695)</f>
        <v>#N/A</v>
      </c>
      <c r="I695" s="46" t="e">
        <f>H695+Calc!K695</f>
        <v>#N/A</v>
      </c>
      <c r="J695" s="46" t="e">
        <f>ABS(Show!$A$4-I695)/(Show!$A$4/100)</f>
        <v>#N/A</v>
      </c>
      <c r="K695" s="45">
        <f>INDEX(Calc!L695:P695,Show!$B$4)</f>
        <v>1470000</v>
      </c>
      <c r="L695" s="46">
        <f t="shared" si="604"/>
        <v>1500000</v>
      </c>
      <c r="M695" s="46">
        <f>L694</f>
        <v>1470000</v>
      </c>
      <c r="N695" s="46">
        <f>L694</f>
        <v>1470000</v>
      </c>
      <c r="O695" s="46">
        <f t="shared" si="605"/>
        <v>1500000</v>
      </c>
      <c r="P695" s="46">
        <f t="shared" ref="P695" si="622">O690</f>
        <v>1500000</v>
      </c>
    </row>
    <row r="696" spans="1:16" x14ac:dyDescent="0.25">
      <c r="A696" s="45">
        <f>1/((1/Show!$A$4)-(1/Calc!K696))</f>
        <v>40.001088464992243</v>
      </c>
      <c r="B696" s="45">
        <f>MATCH(A696*Calc!$R$12,Calc!$K$1:$K$774,1)</f>
        <v>256</v>
      </c>
      <c r="C696" s="45">
        <f>INDEX(Calc!$K$1:$K$774,B696)</f>
        <v>38.299999999999997</v>
      </c>
      <c r="D696" s="45">
        <f>1/(1/C696+1/Calc!K696)</f>
        <v>38.299002141644877</v>
      </c>
      <c r="E696" s="45">
        <f>ABS(Show!$A$4-D696)/(Show!$A$4/100)</f>
        <v>4.2524946458878077</v>
      </c>
      <c r="F696" s="46">
        <f>Show!$A$4-Calc!L696</f>
        <v>-1539960</v>
      </c>
      <c r="G696" s="46" t="e">
        <f>MATCH(F696*Calc!$R$12,Calc!$K$1:$K$774,1)</f>
        <v>#N/A</v>
      </c>
      <c r="H696" s="46" t="e">
        <f>INDEX(Calc!$K$1:$K$774,G696)</f>
        <v>#N/A</v>
      </c>
      <c r="I696" s="46" t="e">
        <f>H696+Calc!K696</f>
        <v>#N/A</v>
      </c>
      <c r="J696" s="46" t="e">
        <f>ABS(Show!$A$4-I696)/(Show!$A$4/100)</f>
        <v>#N/A</v>
      </c>
      <c r="K696" s="45">
        <f>INDEX(Calc!L696:P696,Show!$B$4)</f>
        <v>1470000</v>
      </c>
      <c r="L696" s="46">
        <f t="shared" si="604"/>
        <v>1540000</v>
      </c>
      <c r="M696" s="46">
        <f>L696</f>
        <v>1540000</v>
      </c>
      <c r="N696" s="46">
        <f>L694</f>
        <v>1470000</v>
      </c>
      <c r="O696" s="46">
        <f t="shared" si="605"/>
        <v>1500000</v>
      </c>
      <c r="P696" s="46">
        <f t="shared" ref="P696" si="623">O690</f>
        <v>1500000</v>
      </c>
    </row>
    <row r="697" spans="1:16" x14ac:dyDescent="0.25">
      <c r="A697" s="45">
        <f>1/((1/Show!$A$4)-(1/Calc!K697))</f>
        <v>40.000987678708114</v>
      </c>
      <c r="B697" s="45">
        <f>MATCH(A697*Calc!$R$12,Calc!$K$1:$K$774,1)</f>
        <v>256</v>
      </c>
      <c r="C697" s="45">
        <f>INDEX(Calc!$K$1:$K$774,B697)</f>
        <v>38.299999999999997</v>
      </c>
      <c r="D697" s="45">
        <f>1/(1/C697+1/Calc!K697)</f>
        <v>38.299094533752687</v>
      </c>
      <c r="E697" s="45">
        <f>ABS(Show!$A$4-D697)/(Show!$A$4/100)</f>
        <v>4.2522636656182833</v>
      </c>
      <c r="F697" s="46">
        <f>Show!$A$4-Calc!L697</f>
        <v>-1579960</v>
      </c>
      <c r="G697" s="46" t="e">
        <f>MATCH(F697*Calc!$R$12,Calc!$K$1:$K$774,1)</f>
        <v>#N/A</v>
      </c>
      <c r="H697" s="46" t="e">
        <f>INDEX(Calc!$K$1:$K$774,G697)</f>
        <v>#N/A</v>
      </c>
      <c r="I697" s="46" t="e">
        <f>H697+Calc!K697</f>
        <v>#N/A</v>
      </c>
      <c r="J697" s="46" t="e">
        <f>ABS(Show!$A$4-I697)/(Show!$A$4/100)</f>
        <v>#N/A</v>
      </c>
      <c r="K697" s="45">
        <f>INDEX(Calc!L697:P697,Show!$B$4)</f>
        <v>1620000</v>
      </c>
      <c r="L697" s="46">
        <f t="shared" si="604"/>
        <v>1580000</v>
      </c>
      <c r="M697" s="46">
        <f>L696</f>
        <v>1540000</v>
      </c>
      <c r="N697" s="46">
        <f>L698</f>
        <v>1620000</v>
      </c>
      <c r="O697" s="46">
        <f t="shared" si="605"/>
        <v>1500000</v>
      </c>
      <c r="P697" s="46">
        <f t="shared" ref="P697" si="624">O690</f>
        <v>1500000</v>
      </c>
    </row>
    <row r="698" spans="1:16" x14ac:dyDescent="0.25">
      <c r="A698" s="45">
        <f>1/((1/Show!$A$4)-(1/Calc!K698))</f>
        <v>40.000987678708114</v>
      </c>
      <c r="B698" s="45">
        <f>MATCH(A698*Calc!$R$12,Calc!$K$1:$K$774,1)</f>
        <v>256</v>
      </c>
      <c r="C698" s="45">
        <f>INDEX(Calc!$K$1:$K$774,B698)</f>
        <v>38.299999999999997</v>
      </c>
      <c r="D698" s="45">
        <f>1/(1/C698+1/Calc!K698)</f>
        <v>38.299094533752687</v>
      </c>
      <c r="E698" s="45">
        <f>ABS(Show!$A$4-D698)/(Show!$A$4/100)</f>
        <v>4.2522636656182833</v>
      </c>
      <c r="F698" s="46">
        <f>Show!$A$4-Calc!L698</f>
        <v>-1619960</v>
      </c>
      <c r="G698" s="46" t="e">
        <f>MATCH(F698*Calc!$R$12,Calc!$K$1:$K$774,1)</f>
        <v>#N/A</v>
      </c>
      <c r="H698" s="46" t="e">
        <f>INDEX(Calc!$K$1:$K$774,G698)</f>
        <v>#N/A</v>
      </c>
      <c r="I698" s="46" t="e">
        <f>H698+Calc!K698</f>
        <v>#N/A</v>
      </c>
      <c r="J698" s="46" t="e">
        <f>ABS(Show!$A$4-I698)/(Show!$A$4/100)</f>
        <v>#N/A</v>
      </c>
      <c r="K698" s="45">
        <f>INDEX(Calc!L698:P698,Show!$B$4)</f>
        <v>1620000</v>
      </c>
      <c r="L698" s="46">
        <f t="shared" si="604"/>
        <v>1620000</v>
      </c>
      <c r="M698" s="46">
        <f>L698</f>
        <v>1620000</v>
      </c>
      <c r="N698" s="46">
        <f>L698</f>
        <v>1620000</v>
      </c>
      <c r="O698" s="46">
        <f t="shared" si="605"/>
        <v>1800000</v>
      </c>
      <c r="P698" s="46">
        <f t="shared" ref="P698" si="625">O690</f>
        <v>1500000</v>
      </c>
    </row>
    <row r="699" spans="1:16" x14ac:dyDescent="0.25">
      <c r="A699" s="45">
        <f>1/((1/Show!$A$4)-(1/Calc!K699))</f>
        <v>40.000987678708114</v>
      </c>
      <c r="B699" s="45">
        <f>MATCH(A699*Calc!$R$12,Calc!$K$1:$K$774,1)</f>
        <v>256</v>
      </c>
      <c r="C699" s="45">
        <f>INDEX(Calc!$K$1:$K$774,B699)</f>
        <v>38.299999999999997</v>
      </c>
      <c r="D699" s="45">
        <f>1/(1/C699+1/Calc!K699)</f>
        <v>38.299094533752687</v>
      </c>
      <c r="E699" s="45">
        <f>ABS(Show!$A$4-D699)/(Show!$A$4/100)</f>
        <v>4.2522636656182833</v>
      </c>
      <c r="F699" s="46">
        <f>Show!$A$4-Calc!L699</f>
        <v>-1649960</v>
      </c>
      <c r="G699" s="46" t="e">
        <f>MATCH(F699*Calc!$R$12,Calc!$K$1:$K$774,1)</f>
        <v>#N/A</v>
      </c>
      <c r="H699" s="46" t="e">
        <f>INDEX(Calc!$K$1:$K$774,G699)</f>
        <v>#N/A</v>
      </c>
      <c r="I699" s="46" t="e">
        <f>H699+Calc!K699</f>
        <v>#N/A</v>
      </c>
      <c r="J699" s="46" t="e">
        <f>ABS(Show!$A$4-I699)/(Show!$A$4/100)</f>
        <v>#N/A</v>
      </c>
      <c r="K699" s="45">
        <f>INDEX(Calc!L699:P699,Show!$B$4)</f>
        <v>1620000</v>
      </c>
      <c r="L699" s="46">
        <f t="shared" si="604"/>
        <v>1650000</v>
      </c>
      <c r="M699" s="46">
        <f>L698</f>
        <v>1620000</v>
      </c>
      <c r="N699" s="46">
        <f>L698</f>
        <v>1620000</v>
      </c>
      <c r="O699" s="46">
        <f t="shared" si="605"/>
        <v>1800000</v>
      </c>
      <c r="P699" s="46">
        <f t="shared" ref="P699" si="626">O690</f>
        <v>1500000</v>
      </c>
    </row>
    <row r="700" spans="1:16" x14ac:dyDescent="0.25">
      <c r="A700" s="45">
        <f>1/((1/Show!$A$4)-(1/Calc!K700))</f>
        <v>40.000987678708114</v>
      </c>
      <c r="B700" s="45">
        <f>MATCH(A700*Calc!$R$12,Calc!$K$1:$K$774,1)</f>
        <v>256</v>
      </c>
      <c r="C700" s="45">
        <f>INDEX(Calc!$K$1:$K$774,B700)</f>
        <v>38.299999999999997</v>
      </c>
      <c r="D700" s="45">
        <f>1/(1/C700+1/Calc!K700)</f>
        <v>38.299094533752687</v>
      </c>
      <c r="E700" s="45">
        <f>ABS(Show!$A$4-D700)/(Show!$A$4/100)</f>
        <v>4.2522636656182833</v>
      </c>
      <c r="F700" s="46">
        <f>Show!$A$4-Calc!L700</f>
        <v>-1689959.9999999998</v>
      </c>
      <c r="G700" s="46" t="e">
        <f>MATCH(F700*Calc!$R$12,Calc!$K$1:$K$774,1)</f>
        <v>#N/A</v>
      </c>
      <c r="H700" s="46" t="e">
        <f>INDEX(Calc!$K$1:$K$774,G700)</f>
        <v>#N/A</v>
      </c>
      <c r="I700" s="46" t="e">
        <f>H700+Calc!K700</f>
        <v>#N/A</v>
      </c>
      <c r="J700" s="46" t="e">
        <f>ABS(Show!$A$4-I700)/(Show!$A$4/100)</f>
        <v>#N/A</v>
      </c>
      <c r="K700" s="45">
        <f>INDEX(Calc!L700:P700,Show!$B$4)</f>
        <v>1620000</v>
      </c>
      <c r="L700" s="46">
        <f t="shared" si="604"/>
        <v>1689999.9999999998</v>
      </c>
      <c r="M700" s="46">
        <f>L700</f>
        <v>1689999.9999999998</v>
      </c>
      <c r="N700" s="46">
        <f>L698</f>
        <v>1620000</v>
      </c>
      <c r="O700" s="46">
        <f t="shared" si="605"/>
        <v>1800000</v>
      </c>
      <c r="P700" s="46">
        <f t="shared" ref="P700" si="627">O690</f>
        <v>1500000</v>
      </c>
    </row>
    <row r="701" spans="1:16" x14ac:dyDescent="0.25">
      <c r="A701" s="45">
        <f>1/((1/Show!$A$4)-(1/Calc!K701))</f>
        <v>40.000898896604411</v>
      </c>
      <c r="B701" s="45">
        <f>MATCH(A701*Calc!$R$12,Calc!$K$1:$K$774,1)</f>
        <v>256</v>
      </c>
      <c r="C701" s="45">
        <f>INDEX(Calc!$K$1:$K$774,B701)</f>
        <v>38.299999999999997</v>
      </c>
      <c r="D701" s="45">
        <f>1/(1/C701+1/Calc!K701)</f>
        <v>38.299175922225942</v>
      </c>
      <c r="E701" s="45">
        <f>ABS(Show!$A$4-D701)/(Show!$A$4/100)</f>
        <v>4.2520601944351455</v>
      </c>
      <c r="F701" s="46">
        <f>Show!$A$4-Calc!L701</f>
        <v>-1739959.9999999998</v>
      </c>
      <c r="G701" s="46" t="e">
        <f>MATCH(F701*Calc!$R$12,Calc!$K$1:$K$774,1)</f>
        <v>#N/A</v>
      </c>
      <c r="H701" s="46" t="e">
        <f>INDEX(Calc!$K$1:$K$774,G701)</f>
        <v>#N/A</v>
      </c>
      <c r="I701" s="46" t="e">
        <f>H701+Calc!K701</f>
        <v>#N/A</v>
      </c>
      <c r="J701" s="46" t="e">
        <f>ABS(Show!$A$4-I701)/(Show!$A$4/100)</f>
        <v>#N/A</v>
      </c>
      <c r="K701" s="45">
        <f>INDEX(Calc!L701:P701,Show!$B$4)</f>
        <v>1780000.0000000002</v>
      </c>
      <c r="L701" s="46">
        <f t="shared" si="604"/>
        <v>1739999.9999999998</v>
      </c>
      <c r="M701" s="46">
        <f>L700</f>
        <v>1689999.9999999998</v>
      </c>
      <c r="N701" s="46">
        <f>L702</f>
        <v>1780000.0000000002</v>
      </c>
      <c r="O701" s="46">
        <f t="shared" si="605"/>
        <v>1800000</v>
      </c>
      <c r="P701" s="46">
        <f t="shared" ref="P701" si="628">O690</f>
        <v>1500000</v>
      </c>
    </row>
    <row r="702" spans="1:16" x14ac:dyDescent="0.25">
      <c r="A702" s="45">
        <f>1/((1/Show!$A$4)-(1/Calc!K702))</f>
        <v>40.000898896604411</v>
      </c>
      <c r="B702" s="45">
        <f>MATCH(A702*Calc!$R$12,Calc!$K$1:$K$774,1)</f>
        <v>256</v>
      </c>
      <c r="C702" s="45">
        <f>INDEX(Calc!$K$1:$K$774,B702)</f>
        <v>38.299999999999997</v>
      </c>
      <c r="D702" s="45">
        <f>1/(1/C702+1/Calc!K702)</f>
        <v>38.299175922225942</v>
      </c>
      <c r="E702" s="45">
        <f>ABS(Show!$A$4-D702)/(Show!$A$4/100)</f>
        <v>4.2520601944351455</v>
      </c>
      <c r="F702" s="46">
        <f>Show!$A$4-Calc!L702</f>
        <v>-1779960.0000000002</v>
      </c>
      <c r="G702" s="46" t="e">
        <f>MATCH(F702*Calc!$R$12,Calc!$K$1:$K$774,1)</f>
        <v>#N/A</v>
      </c>
      <c r="H702" s="46" t="e">
        <f>INDEX(Calc!$K$1:$K$774,G702)</f>
        <v>#N/A</v>
      </c>
      <c r="I702" s="46" t="e">
        <f>H702+Calc!K702</f>
        <v>#N/A</v>
      </c>
      <c r="J702" s="46" t="e">
        <f>ABS(Show!$A$4-I702)/(Show!$A$4/100)</f>
        <v>#N/A</v>
      </c>
      <c r="K702" s="45">
        <f>INDEX(Calc!L702:P702,Show!$B$4)</f>
        <v>1780000.0000000002</v>
      </c>
      <c r="L702" s="46">
        <f t="shared" si="604"/>
        <v>1780000.0000000002</v>
      </c>
      <c r="M702" s="46">
        <f>L702</f>
        <v>1780000.0000000002</v>
      </c>
      <c r="N702" s="46">
        <f>L702</f>
        <v>1780000.0000000002</v>
      </c>
      <c r="O702" s="46">
        <f t="shared" si="605"/>
        <v>1800000</v>
      </c>
      <c r="P702" s="46">
        <f t="shared" ref="P702" si="629">O706</f>
        <v>2200000</v>
      </c>
    </row>
    <row r="703" spans="1:16" x14ac:dyDescent="0.25">
      <c r="A703" s="45">
        <f>1/((1/Show!$A$4)-(1/Calc!K703))</f>
        <v>40.000898896604411</v>
      </c>
      <c r="B703" s="45">
        <f>MATCH(A703*Calc!$R$12,Calc!$K$1:$K$774,1)</f>
        <v>256</v>
      </c>
      <c r="C703" s="45">
        <f>INDEX(Calc!$K$1:$K$774,B703)</f>
        <v>38.299999999999997</v>
      </c>
      <c r="D703" s="45">
        <f>1/(1/C703+1/Calc!K703)</f>
        <v>38.299175922225942</v>
      </c>
      <c r="E703" s="45">
        <f>ABS(Show!$A$4-D703)/(Show!$A$4/100)</f>
        <v>4.2520601944351455</v>
      </c>
      <c r="F703" s="46">
        <f>Show!$A$4-Calc!L703</f>
        <v>-1819960</v>
      </c>
      <c r="G703" s="46" t="e">
        <f>MATCH(F703*Calc!$R$12,Calc!$K$1:$K$774,1)</f>
        <v>#N/A</v>
      </c>
      <c r="H703" s="46" t="e">
        <f>INDEX(Calc!$K$1:$K$774,G703)</f>
        <v>#N/A</v>
      </c>
      <c r="I703" s="46" t="e">
        <f>H703+Calc!K703</f>
        <v>#N/A</v>
      </c>
      <c r="J703" s="46" t="e">
        <f>ABS(Show!$A$4-I703)/(Show!$A$4/100)</f>
        <v>#N/A</v>
      </c>
      <c r="K703" s="45">
        <f>INDEX(Calc!L703:P703,Show!$B$4)</f>
        <v>1780000.0000000002</v>
      </c>
      <c r="L703" s="46">
        <f t="shared" si="604"/>
        <v>1820000</v>
      </c>
      <c r="M703" s="46">
        <f>L702</f>
        <v>1780000.0000000002</v>
      </c>
      <c r="N703" s="46">
        <f>L702</f>
        <v>1780000.0000000002</v>
      </c>
      <c r="O703" s="46">
        <f t="shared" si="605"/>
        <v>1800000</v>
      </c>
      <c r="P703" s="46">
        <f t="shared" ref="P703" si="630">O706</f>
        <v>2200000</v>
      </c>
    </row>
    <row r="704" spans="1:16" x14ac:dyDescent="0.25">
      <c r="A704" s="45">
        <f>1/((1/Show!$A$4)-(1/Calc!K704))</f>
        <v>40.000898896604411</v>
      </c>
      <c r="B704" s="45">
        <f>MATCH(A704*Calc!$R$12,Calc!$K$1:$K$774,1)</f>
        <v>256</v>
      </c>
      <c r="C704" s="45">
        <f>INDEX(Calc!$K$1:$K$774,B704)</f>
        <v>38.299999999999997</v>
      </c>
      <c r="D704" s="45">
        <f>1/(1/C704+1/Calc!K704)</f>
        <v>38.299175922225942</v>
      </c>
      <c r="E704" s="45">
        <f>ABS(Show!$A$4-D704)/(Show!$A$4/100)</f>
        <v>4.2520601944351455</v>
      </c>
      <c r="F704" s="46">
        <f>Show!$A$4-Calc!L704</f>
        <v>-1869960</v>
      </c>
      <c r="G704" s="46" t="e">
        <f>MATCH(F704*Calc!$R$12,Calc!$K$1:$K$774,1)</f>
        <v>#N/A</v>
      </c>
      <c r="H704" s="46" t="e">
        <f>INDEX(Calc!$K$1:$K$774,G704)</f>
        <v>#N/A</v>
      </c>
      <c r="I704" s="46" t="e">
        <f>H704+Calc!K704</f>
        <v>#N/A</v>
      </c>
      <c r="J704" s="46" t="e">
        <f>ABS(Show!$A$4-I704)/(Show!$A$4/100)</f>
        <v>#N/A</v>
      </c>
      <c r="K704" s="45">
        <f>INDEX(Calc!L704:P704,Show!$B$4)</f>
        <v>1780000.0000000002</v>
      </c>
      <c r="L704" s="46">
        <f t="shared" si="604"/>
        <v>1870000</v>
      </c>
      <c r="M704" s="46">
        <f>L704</f>
        <v>1870000</v>
      </c>
      <c r="N704" s="46">
        <f>L702</f>
        <v>1780000.0000000002</v>
      </c>
      <c r="O704" s="46">
        <f t="shared" si="605"/>
        <v>1800000</v>
      </c>
      <c r="P704" s="46">
        <f t="shared" ref="P704" si="631">O706</f>
        <v>2200000</v>
      </c>
    </row>
    <row r="705" spans="1:16" x14ac:dyDescent="0.25">
      <c r="A705" s="45">
        <f>1/((1/Show!$A$4)-(1/Calc!K705))</f>
        <v>40.000816343190678</v>
      </c>
      <c r="B705" s="45">
        <f>MATCH(A705*Calc!$R$12,Calc!$K$1:$K$774,1)</f>
        <v>256</v>
      </c>
      <c r="C705" s="45">
        <f>INDEX(Calc!$K$1:$K$774,B705)</f>
        <v>38.299999999999997</v>
      </c>
      <c r="D705" s="45">
        <f>1/(1/C705+1/Calc!K705)</f>
        <v>38.299251601359011</v>
      </c>
      <c r="E705" s="45">
        <f>ABS(Show!$A$4-D705)/(Show!$A$4/100)</f>
        <v>4.2518709966024737</v>
      </c>
      <c r="F705" s="46">
        <f>Show!$A$4-Calc!L705</f>
        <v>-1909960</v>
      </c>
      <c r="G705" s="46" t="e">
        <f>MATCH(F705*Calc!$R$12,Calc!$K$1:$K$774,1)</f>
        <v>#N/A</v>
      </c>
      <c r="H705" s="46" t="e">
        <f>INDEX(Calc!$K$1:$K$774,G705)</f>
        <v>#N/A</v>
      </c>
      <c r="I705" s="46" t="e">
        <f>H705+Calc!K705</f>
        <v>#N/A</v>
      </c>
      <c r="J705" s="46" t="e">
        <f>ABS(Show!$A$4-I705)/(Show!$A$4/100)</f>
        <v>#N/A</v>
      </c>
      <c r="K705" s="45">
        <f>INDEX(Calc!L705:P705,Show!$B$4)</f>
        <v>1960000</v>
      </c>
      <c r="L705" s="46">
        <f t="shared" si="604"/>
        <v>1910000</v>
      </c>
      <c r="M705" s="46">
        <f>L704</f>
        <v>1870000</v>
      </c>
      <c r="N705" s="46">
        <f>L706</f>
        <v>1960000</v>
      </c>
      <c r="O705" s="46">
        <f t="shared" si="605"/>
        <v>1800000</v>
      </c>
      <c r="P705" s="46">
        <f t="shared" ref="P705" si="632">O706</f>
        <v>2200000</v>
      </c>
    </row>
    <row r="706" spans="1:16" x14ac:dyDescent="0.25">
      <c r="A706" s="45">
        <f>1/((1/Show!$A$4)-(1/Calc!K706))</f>
        <v>40.000816343190678</v>
      </c>
      <c r="B706" s="45">
        <f>MATCH(A706*Calc!$R$12,Calc!$K$1:$K$774,1)</f>
        <v>256</v>
      </c>
      <c r="C706" s="45">
        <f>INDEX(Calc!$K$1:$K$774,B706)</f>
        <v>38.299999999999997</v>
      </c>
      <c r="D706" s="45">
        <f>1/(1/C706+1/Calc!K706)</f>
        <v>38.299251601359011</v>
      </c>
      <c r="E706" s="45">
        <f>ABS(Show!$A$4-D706)/(Show!$A$4/100)</f>
        <v>4.2518709966024737</v>
      </c>
      <c r="F706" s="46">
        <f>Show!$A$4-Calc!L706</f>
        <v>-1959960</v>
      </c>
      <c r="G706" s="46" t="e">
        <f>MATCH(F706*Calc!$R$12,Calc!$K$1:$K$774,1)</f>
        <v>#N/A</v>
      </c>
      <c r="H706" s="46" t="e">
        <f>INDEX(Calc!$K$1:$K$774,G706)</f>
        <v>#N/A</v>
      </c>
      <c r="I706" s="46" t="e">
        <f>H706+Calc!K706</f>
        <v>#N/A</v>
      </c>
      <c r="J706" s="46" t="e">
        <f>ABS(Show!$A$4-I706)/(Show!$A$4/100)</f>
        <v>#N/A</v>
      </c>
      <c r="K706" s="45">
        <f>INDEX(Calc!L706:P706,Show!$B$4)</f>
        <v>1960000</v>
      </c>
      <c r="L706" s="46">
        <f t="shared" si="604"/>
        <v>1960000</v>
      </c>
      <c r="M706" s="46">
        <f>L706</f>
        <v>1960000</v>
      </c>
      <c r="N706" s="46">
        <f>L706</f>
        <v>1960000</v>
      </c>
      <c r="O706" s="46">
        <f t="shared" si="605"/>
        <v>2200000</v>
      </c>
      <c r="P706" s="46">
        <f t="shared" ref="P706" si="633">O706</f>
        <v>2200000</v>
      </c>
    </row>
    <row r="707" spans="1:16" x14ac:dyDescent="0.25">
      <c r="A707" s="45">
        <f>1/((1/Show!$A$4)-(1/Calc!K707))</f>
        <v>40.000816343190678</v>
      </c>
      <c r="B707" s="45">
        <f>MATCH(A707*Calc!$R$12,Calc!$K$1:$K$774,1)</f>
        <v>256</v>
      </c>
      <c r="C707" s="45">
        <f>INDEX(Calc!$K$1:$K$774,B707)</f>
        <v>38.299999999999997</v>
      </c>
      <c r="D707" s="45">
        <f>1/(1/C707+1/Calc!K707)</f>
        <v>38.299251601359011</v>
      </c>
      <c r="E707" s="45">
        <f>ABS(Show!$A$4-D707)/(Show!$A$4/100)</f>
        <v>4.2518709966024737</v>
      </c>
      <c r="F707" s="46">
        <f>Show!$A$4-Calc!L707</f>
        <v>-1999960</v>
      </c>
      <c r="G707" s="46" t="e">
        <f>MATCH(F707*Calc!$R$12,Calc!$K$1:$K$774,1)</f>
        <v>#N/A</v>
      </c>
      <c r="H707" s="46" t="e">
        <f>INDEX(Calc!$K$1:$K$774,G707)</f>
        <v>#N/A</v>
      </c>
      <c r="I707" s="46" t="e">
        <f>H707+Calc!K707</f>
        <v>#N/A</v>
      </c>
      <c r="J707" s="46" t="e">
        <f>ABS(Show!$A$4-I707)/(Show!$A$4/100)</f>
        <v>#N/A</v>
      </c>
      <c r="K707" s="45">
        <f>INDEX(Calc!L707:P707,Show!$B$4)</f>
        <v>1960000</v>
      </c>
      <c r="L707" s="46">
        <f t="shared" si="604"/>
        <v>2000000</v>
      </c>
      <c r="M707" s="46">
        <f>L706</f>
        <v>1960000</v>
      </c>
      <c r="N707" s="46">
        <f>L706</f>
        <v>1960000</v>
      </c>
      <c r="O707" s="46">
        <f t="shared" si="605"/>
        <v>2200000</v>
      </c>
      <c r="P707" s="46">
        <f t="shared" ref="P707" si="634">O706</f>
        <v>2200000</v>
      </c>
    </row>
    <row r="708" spans="1:16" x14ac:dyDescent="0.25">
      <c r="A708" s="45">
        <f>1/((1/Show!$A$4)-(1/Calc!K708))</f>
        <v>40.000816343190678</v>
      </c>
      <c r="B708" s="45">
        <f>MATCH(A708*Calc!$R$12,Calc!$K$1:$K$774,1)</f>
        <v>256</v>
      </c>
      <c r="C708" s="45">
        <f>INDEX(Calc!$K$1:$K$774,B708)</f>
        <v>38.299999999999997</v>
      </c>
      <c r="D708" s="45">
        <f>1/(1/C708+1/Calc!K708)</f>
        <v>38.299251601359011</v>
      </c>
      <c r="E708" s="45">
        <f>ABS(Show!$A$4-D708)/(Show!$A$4/100)</f>
        <v>4.2518709966024737</v>
      </c>
      <c r="F708" s="46">
        <f>Show!$A$4-Calc!L708</f>
        <v>-2049959.9999999998</v>
      </c>
      <c r="G708" s="46" t="e">
        <f>MATCH(F708*Calc!$R$12,Calc!$K$1:$K$774,1)</f>
        <v>#N/A</v>
      </c>
      <c r="H708" s="46" t="e">
        <f>INDEX(Calc!$K$1:$K$774,G708)</f>
        <v>#N/A</v>
      </c>
      <c r="I708" s="46" t="e">
        <f>H708+Calc!K708</f>
        <v>#N/A</v>
      </c>
      <c r="J708" s="46" t="e">
        <f>ABS(Show!$A$4-I708)/(Show!$A$4/100)</f>
        <v>#N/A</v>
      </c>
      <c r="K708" s="45">
        <f>INDEX(Calc!L708:P708,Show!$B$4)</f>
        <v>1960000</v>
      </c>
      <c r="L708" s="46">
        <f t="shared" si="604"/>
        <v>2049999.9999999998</v>
      </c>
      <c r="M708" s="46">
        <f>L708</f>
        <v>2049999.9999999998</v>
      </c>
      <c r="N708" s="46">
        <f>L706</f>
        <v>1960000</v>
      </c>
      <c r="O708" s="46">
        <f t="shared" si="605"/>
        <v>2200000</v>
      </c>
      <c r="P708" s="46">
        <f t="shared" ref="P708" si="635">O706</f>
        <v>2200000</v>
      </c>
    </row>
    <row r="709" spans="1:16" x14ac:dyDescent="0.25">
      <c r="A709" s="45">
        <f>1/((1/Show!$A$4)-(1/Calc!K709))</f>
        <v>40.00074419989209</v>
      </c>
      <c r="B709" s="45">
        <f>MATCH(A709*Calc!$R$12,Calc!$K$1:$K$774,1)</f>
        <v>256</v>
      </c>
      <c r="C709" s="45">
        <f>INDEX(Calc!$K$1:$K$774,B709)</f>
        <v>38.299999999999997</v>
      </c>
      <c r="D709" s="45">
        <f>1/(1/C709+1/Calc!K709)</f>
        <v>38.29931773773518</v>
      </c>
      <c r="E709" s="45">
        <f>ABS(Show!$A$4-D709)/(Show!$A$4/100)</f>
        <v>4.2517056556620503</v>
      </c>
      <c r="F709" s="46">
        <f>Show!$A$4-Calc!L709</f>
        <v>-2099960</v>
      </c>
      <c r="G709" s="46" t="e">
        <f>MATCH(F709*Calc!$R$12,Calc!$K$1:$K$774,1)</f>
        <v>#N/A</v>
      </c>
      <c r="H709" s="46" t="e">
        <f>INDEX(Calc!$K$1:$K$774,G709)</f>
        <v>#N/A</v>
      </c>
      <c r="I709" s="46" t="e">
        <f>H709+Calc!K709</f>
        <v>#N/A</v>
      </c>
      <c r="J709" s="46" t="e">
        <f>ABS(Show!$A$4-I709)/(Show!$A$4/100)</f>
        <v>#N/A</v>
      </c>
      <c r="K709" s="45">
        <f>INDEX(Calc!L709:P709,Show!$B$4)</f>
        <v>2150000</v>
      </c>
      <c r="L709" s="46">
        <f t="shared" si="604"/>
        <v>2100000</v>
      </c>
      <c r="M709" s="46">
        <f>L708</f>
        <v>2049999.9999999998</v>
      </c>
      <c r="N709" s="46">
        <f>L710</f>
        <v>2150000</v>
      </c>
      <c r="O709" s="46">
        <f t="shared" si="605"/>
        <v>2200000</v>
      </c>
      <c r="P709" s="46">
        <f t="shared" ref="P709" si="636">O706</f>
        <v>2200000</v>
      </c>
    </row>
    <row r="710" spans="1:16" x14ac:dyDescent="0.25">
      <c r="A710" s="45">
        <f>1/((1/Show!$A$4)-(1/Calc!K710))</f>
        <v>40.00074419989209</v>
      </c>
      <c r="B710" s="45">
        <f>MATCH(A710*Calc!$R$12,Calc!$K$1:$K$774,1)</f>
        <v>256</v>
      </c>
      <c r="C710" s="45">
        <f>INDEX(Calc!$K$1:$K$774,B710)</f>
        <v>38.299999999999997</v>
      </c>
      <c r="D710" s="45">
        <f>1/(1/C710+1/Calc!K710)</f>
        <v>38.29931773773518</v>
      </c>
      <c r="E710" s="45">
        <f>ABS(Show!$A$4-D710)/(Show!$A$4/100)</f>
        <v>4.2517056556620503</v>
      </c>
      <c r="F710" s="46">
        <f>Show!$A$4-Calc!L710</f>
        <v>-2149960</v>
      </c>
      <c r="G710" s="46" t="e">
        <f>MATCH(F710*Calc!$R$12,Calc!$K$1:$K$774,1)</f>
        <v>#N/A</v>
      </c>
      <c r="H710" s="46" t="e">
        <f>INDEX(Calc!$K$1:$K$774,G710)</f>
        <v>#N/A</v>
      </c>
      <c r="I710" s="46" t="e">
        <f>H710+Calc!K710</f>
        <v>#N/A</v>
      </c>
      <c r="J710" s="46" t="e">
        <f>ABS(Show!$A$4-I710)/(Show!$A$4/100)</f>
        <v>#N/A</v>
      </c>
      <c r="K710" s="45">
        <f>INDEX(Calc!L710:P710,Show!$B$4)</f>
        <v>2150000</v>
      </c>
      <c r="L710" s="46">
        <f t="shared" si="604"/>
        <v>2150000</v>
      </c>
      <c r="M710" s="46">
        <f>L710</f>
        <v>2150000</v>
      </c>
      <c r="N710" s="46">
        <f>L710</f>
        <v>2150000</v>
      </c>
      <c r="O710" s="46">
        <f t="shared" si="605"/>
        <v>2200000</v>
      </c>
      <c r="P710" s="46">
        <f t="shared" ref="P710" si="637">O706</f>
        <v>2200000</v>
      </c>
    </row>
    <row r="711" spans="1:16" x14ac:dyDescent="0.25">
      <c r="A711" s="45">
        <f>1/((1/Show!$A$4)-(1/Calc!K711))</f>
        <v>40.00074419989209</v>
      </c>
      <c r="B711" s="45">
        <f>MATCH(A711*Calc!$R$12,Calc!$K$1:$K$774,1)</f>
        <v>256</v>
      </c>
      <c r="C711" s="45">
        <f>INDEX(Calc!$K$1:$K$774,B711)</f>
        <v>38.299999999999997</v>
      </c>
      <c r="D711" s="45">
        <f>1/(1/C711+1/Calc!K711)</f>
        <v>38.29931773773518</v>
      </c>
      <c r="E711" s="45">
        <f>ABS(Show!$A$4-D711)/(Show!$A$4/100)</f>
        <v>4.2517056556620503</v>
      </c>
      <c r="F711" s="46">
        <f>Show!$A$4-Calc!L711</f>
        <v>-2209960</v>
      </c>
      <c r="G711" s="46" t="e">
        <f>MATCH(F711*Calc!$R$12,Calc!$K$1:$K$774,1)</f>
        <v>#N/A</v>
      </c>
      <c r="H711" s="46" t="e">
        <f>INDEX(Calc!$K$1:$K$774,G711)</f>
        <v>#N/A</v>
      </c>
      <c r="I711" s="46" t="e">
        <f>H711+Calc!K711</f>
        <v>#N/A</v>
      </c>
      <c r="J711" s="46" t="e">
        <f>ABS(Show!$A$4-I711)/(Show!$A$4/100)</f>
        <v>#N/A</v>
      </c>
      <c r="K711" s="45">
        <f>INDEX(Calc!L711:P711,Show!$B$4)</f>
        <v>2150000</v>
      </c>
      <c r="L711" s="46">
        <f t="shared" si="604"/>
        <v>2210000</v>
      </c>
      <c r="M711" s="46">
        <f>L710</f>
        <v>2150000</v>
      </c>
      <c r="N711" s="46">
        <f>L710</f>
        <v>2150000</v>
      </c>
      <c r="O711" s="46">
        <f t="shared" si="605"/>
        <v>2200000</v>
      </c>
      <c r="P711" s="46">
        <f t="shared" ref="P711" si="638">O706</f>
        <v>2200000</v>
      </c>
    </row>
    <row r="712" spans="1:16" x14ac:dyDescent="0.25">
      <c r="A712" s="45">
        <f>1/((1/Show!$A$4)-(1/Calc!K712))</f>
        <v>40.00074419989209</v>
      </c>
      <c r="B712" s="45">
        <f>MATCH(A712*Calc!$R$12,Calc!$K$1:$K$774,1)</f>
        <v>256</v>
      </c>
      <c r="C712" s="45">
        <f>INDEX(Calc!$K$1:$K$774,B712)</f>
        <v>38.299999999999997</v>
      </c>
      <c r="D712" s="45">
        <f>1/(1/C712+1/Calc!K712)</f>
        <v>38.29931773773518</v>
      </c>
      <c r="E712" s="45">
        <f>ABS(Show!$A$4-D712)/(Show!$A$4/100)</f>
        <v>4.2517056556620503</v>
      </c>
      <c r="F712" s="46">
        <f>Show!$A$4-Calc!L712</f>
        <v>-2259960</v>
      </c>
      <c r="G712" s="46" t="e">
        <f>MATCH(F712*Calc!$R$12,Calc!$K$1:$K$774,1)</f>
        <v>#N/A</v>
      </c>
      <c r="H712" s="46" t="e">
        <f>INDEX(Calc!$K$1:$K$774,G712)</f>
        <v>#N/A</v>
      </c>
      <c r="I712" s="46" t="e">
        <f>H712+Calc!K712</f>
        <v>#N/A</v>
      </c>
      <c r="J712" s="46" t="e">
        <f>ABS(Show!$A$4-I712)/(Show!$A$4/100)</f>
        <v>#N/A</v>
      </c>
      <c r="K712" s="45">
        <f>INDEX(Calc!L712:P712,Show!$B$4)</f>
        <v>2150000</v>
      </c>
      <c r="L712" s="46">
        <f t="shared" si="604"/>
        <v>2260000</v>
      </c>
      <c r="M712" s="46">
        <f>L712</f>
        <v>2260000</v>
      </c>
      <c r="N712" s="46">
        <f>L710</f>
        <v>2150000</v>
      </c>
      <c r="O712" s="46">
        <f t="shared" si="605"/>
        <v>2200000</v>
      </c>
      <c r="P712" s="46">
        <f t="shared" ref="P712" si="639">O706</f>
        <v>2200000</v>
      </c>
    </row>
    <row r="713" spans="1:16" x14ac:dyDescent="0.25">
      <c r="A713" s="45">
        <f>1/((1/Show!$A$4)-(1/Calc!K713))</f>
        <v>40.000675116879606</v>
      </c>
      <c r="B713" s="45">
        <f>MATCH(A713*Calc!$R$12,Calc!$K$1:$K$774,1)</f>
        <v>256</v>
      </c>
      <c r="C713" s="45">
        <f>INDEX(Calc!$K$1:$K$774,B713)</f>
        <v>38.299999999999997</v>
      </c>
      <c r="D713" s="45">
        <f>1/(1/C713+1/Calc!K713)</f>
        <v>38.29938106907386</v>
      </c>
      <c r="E713" s="45">
        <f>ABS(Show!$A$4-D713)/(Show!$A$4/100)</f>
        <v>4.2515473273153503</v>
      </c>
      <c r="F713" s="46">
        <f>Show!$A$4-Calc!L713</f>
        <v>-2319960</v>
      </c>
      <c r="G713" s="46" t="e">
        <f>MATCH(F713*Calc!$R$12,Calc!$K$1:$K$774,1)</f>
        <v>#N/A</v>
      </c>
      <c r="H713" s="46" t="e">
        <f>INDEX(Calc!$K$1:$K$774,G713)</f>
        <v>#N/A</v>
      </c>
      <c r="I713" s="46" t="e">
        <f>H713+Calc!K713</f>
        <v>#N/A</v>
      </c>
      <c r="J713" s="46" t="e">
        <f>ABS(Show!$A$4-I713)/(Show!$A$4/100)</f>
        <v>#N/A</v>
      </c>
      <c r="K713" s="45">
        <f>INDEX(Calc!L713:P713,Show!$B$4)</f>
        <v>2370000</v>
      </c>
      <c r="L713" s="46">
        <f t="shared" si="604"/>
        <v>2320000</v>
      </c>
      <c r="M713" s="46">
        <f>L712</f>
        <v>2260000</v>
      </c>
      <c r="N713" s="46">
        <f>L714</f>
        <v>2370000</v>
      </c>
      <c r="O713" s="46">
        <f t="shared" si="605"/>
        <v>2200000</v>
      </c>
      <c r="P713" s="46">
        <f t="shared" ref="P713" si="640">O706</f>
        <v>2200000</v>
      </c>
    </row>
    <row r="714" spans="1:16" x14ac:dyDescent="0.25">
      <c r="A714" s="45">
        <f>1/((1/Show!$A$4)-(1/Calc!K714))</f>
        <v>40.000675116879606</v>
      </c>
      <c r="B714" s="45">
        <f>MATCH(A714*Calc!$R$12,Calc!$K$1:$K$774,1)</f>
        <v>256</v>
      </c>
      <c r="C714" s="45">
        <f>INDEX(Calc!$K$1:$K$774,B714)</f>
        <v>38.299999999999997</v>
      </c>
      <c r="D714" s="45">
        <f>1/(1/C714+1/Calc!K714)</f>
        <v>38.29938106907386</v>
      </c>
      <c r="E714" s="45">
        <f>ABS(Show!$A$4-D714)/(Show!$A$4/100)</f>
        <v>4.2515473273153503</v>
      </c>
      <c r="F714" s="46">
        <f>Show!$A$4-Calc!L714</f>
        <v>-2369960</v>
      </c>
      <c r="G714" s="46" t="e">
        <f>MATCH(F714*Calc!$R$12,Calc!$K$1:$K$774,1)</f>
        <v>#N/A</v>
      </c>
      <c r="H714" s="46" t="e">
        <f>INDEX(Calc!$K$1:$K$774,G714)</f>
        <v>#N/A</v>
      </c>
      <c r="I714" s="46" t="e">
        <f>H714+Calc!K714</f>
        <v>#N/A</v>
      </c>
      <c r="J714" s="46" t="e">
        <f>ABS(Show!$A$4-I714)/(Show!$A$4/100)</f>
        <v>#N/A</v>
      </c>
      <c r="K714" s="45">
        <f>INDEX(Calc!L714:P714,Show!$B$4)</f>
        <v>2370000</v>
      </c>
      <c r="L714" s="46">
        <f t="shared" si="604"/>
        <v>2370000</v>
      </c>
      <c r="M714" s="46">
        <f>L714</f>
        <v>2370000</v>
      </c>
      <c r="N714" s="46">
        <f>L714</f>
        <v>2370000</v>
      </c>
      <c r="O714" s="46">
        <f t="shared" si="605"/>
        <v>2700000</v>
      </c>
      <c r="P714" s="46">
        <f t="shared" ref="P714" si="641">O706</f>
        <v>2200000</v>
      </c>
    </row>
    <row r="715" spans="1:16" x14ac:dyDescent="0.25">
      <c r="A715" s="45">
        <f>1/((1/Show!$A$4)-(1/Calc!K715))</f>
        <v>40.000675116879606</v>
      </c>
      <c r="B715" s="45">
        <f>MATCH(A715*Calc!$R$12,Calc!$K$1:$K$774,1)</f>
        <v>256</v>
      </c>
      <c r="C715" s="45">
        <f>INDEX(Calc!$K$1:$K$774,B715)</f>
        <v>38.299999999999997</v>
      </c>
      <c r="D715" s="45">
        <f>1/(1/C715+1/Calc!K715)</f>
        <v>38.29938106907386</v>
      </c>
      <c r="E715" s="45">
        <f>ABS(Show!$A$4-D715)/(Show!$A$4/100)</f>
        <v>4.2515473273153503</v>
      </c>
      <c r="F715" s="46">
        <f>Show!$A$4-Calc!L715</f>
        <v>-2429960</v>
      </c>
      <c r="G715" s="46" t="e">
        <f>MATCH(F715*Calc!$R$12,Calc!$K$1:$K$774,1)</f>
        <v>#N/A</v>
      </c>
      <c r="H715" s="46" t="e">
        <f>INDEX(Calc!$K$1:$K$774,G715)</f>
        <v>#N/A</v>
      </c>
      <c r="I715" s="46" t="e">
        <f>H715+Calc!K715</f>
        <v>#N/A</v>
      </c>
      <c r="J715" s="46" t="e">
        <f>ABS(Show!$A$4-I715)/(Show!$A$4/100)</f>
        <v>#N/A</v>
      </c>
      <c r="K715" s="45">
        <f>INDEX(Calc!L715:P715,Show!$B$4)</f>
        <v>2370000</v>
      </c>
      <c r="L715" s="46">
        <f t="shared" si="604"/>
        <v>2430000</v>
      </c>
      <c r="M715" s="46">
        <f>L714</f>
        <v>2370000</v>
      </c>
      <c r="N715" s="46">
        <f>L714</f>
        <v>2370000</v>
      </c>
      <c r="O715" s="46">
        <f t="shared" si="605"/>
        <v>2700000</v>
      </c>
      <c r="P715" s="46">
        <f t="shared" ref="P715" si="642">O706</f>
        <v>2200000</v>
      </c>
    </row>
    <row r="716" spans="1:16" x14ac:dyDescent="0.25">
      <c r="A716" s="45">
        <f>1/((1/Show!$A$4)-(1/Calc!K716))</f>
        <v>40.000675116879606</v>
      </c>
      <c r="B716" s="45">
        <f>MATCH(A716*Calc!$R$12,Calc!$K$1:$K$774,1)</f>
        <v>256</v>
      </c>
      <c r="C716" s="45">
        <f>INDEX(Calc!$K$1:$K$774,B716)</f>
        <v>38.299999999999997</v>
      </c>
      <c r="D716" s="45">
        <f>1/(1/C716+1/Calc!K716)</f>
        <v>38.29938106907386</v>
      </c>
      <c r="E716" s="45">
        <f>ABS(Show!$A$4-D716)/(Show!$A$4/100)</f>
        <v>4.2515473273153503</v>
      </c>
      <c r="F716" s="46">
        <f>Show!$A$4-Calc!L716</f>
        <v>-2489960</v>
      </c>
      <c r="G716" s="46" t="e">
        <f>MATCH(F716*Calc!$R$12,Calc!$K$1:$K$774,1)</f>
        <v>#N/A</v>
      </c>
      <c r="H716" s="46" t="e">
        <f>INDEX(Calc!$K$1:$K$774,G716)</f>
        <v>#N/A</v>
      </c>
      <c r="I716" s="46" t="e">
        <f>H716+Calc!K716</f>
        <v>#N/A</v>
      </c>
      <c r="J716" s="46" t="e">
        <f>ABS(Show!$A$4-I716)/(Show!$A$4/100)</f>
        <v>#N/A</v>
      </c>
      <c r="K716" s="45">
        <f>INDEX(Calc!L716:P716,Show!$B$4)</f>
        <v>2370000</v>
      </c>
      <c r="L716" s="46">
        <f t="shared" si="604"/>
        <v>2490000</v>
      </c>
      <c r="M716" s="46">
        <f>L716</f>
        <v>2490000</v>
      </c>
      <c r="N716" s="46">
        <f>L714</f>
        <v>2370000</v>
      </c>
      <c r="O716" s="46">
        <f t="shared" si="605"/>
        <v>2700000</v>
      </c>
      <c r="P716" s="46">
        <f t="shared" ref="P716" si="643">O706</f>
        <v>2200000</v>
      </c>
    </row>
    <row r="717" spans="1:16" x14ac:dyDescent="0.25">
      <c r="A717" s="45">
        <f>1/((1/Show!$A$4)-(1/Calc!K717))</f>
        <v>40.000613036215114</v>
      </c>
      <c r="B717" s="45">
        <f>MATCH(A717*Calc!$R$12,Calc!$K$1:$K$774,1)</f>
        <v>256</v>
      </c>
      <c r="C717" s="45">
        <f>INDEX(Calc!$K$1:$K$774,B717)</f>
        <v>38.299999999999997</v>
      </c>
      <c r="D717" s="45">
        <f>1/(1/C717+1/Calc!K717)</f>
        <v>38.299437981427317</v>
      </c>
      <c r="E717" s="45">
        <f>ABS(Show!$A$4-D717)/(Show!$A$4/100)</f>
        <v>4.2514050464317066</v>
      </c>
      <c r="F717" s="46">
        <f>Show!$A$4-Calc!L717</f>
        <v>-2549960</v>
      </c>
      <c r="G717" s="46" t="e">
        <f>MATCH(F717*Calc!$R$12,Calc!$K$1:$K$774,1)</f>
        <v>#N/A</v>
      </c>
      <c r="H717" s="46" t="e">
        <f>INDEX(Calc!$K$1:$K$774,G717)</f>
        <v>#N/A</v>
      </c>
      <c r="I717" s="46" t="e">
        <f>H717+Calc!K717</f>
        <v>#N/A</v>
      </c>
      <c r="J717" s="46" t="e">
        <f>ABS(Show!$A$4-I717)/(Show!$A$4/100)</f>
        <v>#N/A</v>
      </c>
      <c r="K717" s="45">
        <f>INDEX(Calc!L717:P717,Show!$B$4)</f>
        <v>2610000</v>
      </c>
      <c r="L717" s="46">
        <f t="shared" si="604"/>
        <v>2550000</v>
      </c>
      <c r="M717" s="46">
        <f>L716</f>
        <v>2490000</v>
      </c>
      <c r="N717" s="46">
        <f>L718</f>
        <v>2610000</v>
      </c>
      <c r="O717" s="46">
        <f t="shared" si="605"/>
        <v>2700000</v>
      </c>
      <c r="P717" s="46">
        <f t="shared" ref="P717" si="644">O706</f>
        <v>2200000</v>
      </c>
    </row>
    <row r="718" spans="1:16" x14ac:dyDescent="0.25">
      <c r="A718" s="45">
        <f>1/((1/Show!$A$4)-(1/Calc!K718))</f>
        <v>40.000613036215114</v>
      </c>
      <c r="B718" s="45">
        <f>MATCH(A718*Calc!$R$12,Calc!$K$1:$K$774,1)</f>
        <v>256</v>
      </c>
      <c r="C718" s="45">
        <f>INDEX(Calc!$K$1:$K$774,B718)</f>
        <v>38.299999999999997</v>
      </c>
      <c r="D718" s="45">
        <f>1/(1/C718+1/Calc!K718)</f>
        <v>38.299437981427317</v>
      </c>
      <c r="E718" s="45">
        <f>ABS(Show!$A$4-D718)/(Show!$A$4/100)</f>
        <v>4.2514050464317066</v>
      </c>
      <c r="F718" s="46">
        <f>Show!$A$4-Calc!L718</f>
        <v>-2609960</v>
      </c>
      <c r="G718" s="46" t="e">
        <f>MATCH(F718*Calc!$R$12,Calc!$K$1:$K$774,1)</f>
        <v>#N/A</v>
      </c>
      <c r="H718" s="46" t="e">
        <f>INDEX(Calc!$K$1:$K$774,G718)</f>
        <v>#N/A</v>
      </c>
      <c r="I718" s="46" t="e">
        <f>H718+Calc!K718</f>
        <v>#N/A</v>
      </c>
      <c r="J718" s="46" t="e">
        <f>ABS(Show!$A$4-I718)/(Show!$A$4/100)</f>
        <v>#N/A</v>
      </c>
      <c r="K718" s="45">
        <f>INDEX(Calc!L718:P718,Show!$B$4)</f>
        <v>2610000</v>
      </c>
      <c r="L718" s="46">
        <f t="shared" si="604"/>
        <v>2610000</v>
      </c>
      <c r="M718" s="46">
        <f>L718</f>
        <v>2610000</v>
      </c>
      <c r="N718" s="46">
        <f>L718</f>
        <v>2610000</v>
      </c>
      <c r="O718" s="46">
        <f t="shared" si="605"/>
        <v>2700000</v>
      </c>
      <c r="P718" s="46">
        <f t="shared" ref="P718" si="645">O722</f>
        <v>3300000</v>
      </c>
    </row>
    <row r="719" spans="1:16" x14ac:dyDescent="0.25">
      <c r="A719" s="45">
        <f>1/((1/Show!$A$4)-(1/Calc!K719))</f>
        <v>40.000613036215114</v>
      </c>
      <c r="B719" s="45">
        <f>MATCH(A719*Calc!$R$12,Calc!$K$1:$K$774,1)</f>
        <v>256</v>
      </c>
      <c r="C719" s="45">
        <f>INDEX(Calc!$K$1:$K$774,B719)</f>
        <v>38.299999999999997</v>
      </c>
      <c r="D719" s="45">
        <f>1/(1/C719+1/Calc!K719)</f>
        <v>38.299437981427317</v>
      </c>
      <c r="E719" s="45">
        <f>ABS(Show!$A$4-D719)/(Show!$A$4/100)</f>
        <v>4.2514050464317066</v>
      </c>
      <c r="F719" s="46">
        <f>Show!$A$4-Calc!L719</f>
        <v>-2669960</v>
      </c>
      <c r="G719" s="46" t="e">
        <f>MATCH(F719*Calc!$R$12,Calc!$K$1:$K$774,1)</f>
        <v>#N/A</v>
      </c>
      <c r="H719" s="46" t="e">
        <f>INDEX(Calc!$K$1:$K$774,G719)</f>
        <v>#N/A</v>
      </c>
      <c r="I719" s="46" t="e">
        <f>H719+Calc!K719</f>
        <v>#N/A</v>
      </c>
      <c r="J719" s="46" t="e">
        <f>ABS(Show!$A$4-I719)/(Show!$A$4/100)</f>
        <v>#N/A</v>
      </c>
      <c r="K719" s="45">
        <f>INDEX(Calc!L719:P719,Show!$B$4)</f>
        <v>2610000</v>
      </c>
      <c r="L719" s="46">
        <f t="shared" si="604"/>
        <v>2670000</v>
      </c>
      <c r="M719" s="46">
        <f>L718</f>
        <v>2610000</v>
      </c>
      <c r="N719" s="46">
        <f>L718</f>
        <v>2610000</v>
      </c>
      <c r="O719" s="46">
        <f t="shared" si="605"/>
        <v>2700000</v>
      </c>
      <c r="P719" s="46">
        <f t="shared" ref="P719" si="646">O722</f>
        <v>3300000</v>
      </c>
    </row>
    <row r="720" spans="1:16" x14ac:dyDescent="0.25">
      <c r="A720" s="45">
        <f>1/((1/Show!$A$4)-(1/Calc!K720))</f>
        <v>40.000613036215114</v>
      </c>
      <c r="B720" s="45">
        <f>MATCH(A720*Calc!$R$12,Calc!$K$1:$K$774,1)</f>
        <v>256</v>
      </c>
      <c r="C720" s="45">
        <f>INDEX(Calc!$K$1:$K$774,B720)</f>
        <v>38.299999999999997</v>
      </c>
      <c r="D720" s="45">
        <f>1/(1/C720+1/Calc!K720)</f>
        <v>38.299437981427317</v>
      </c>
      <c r="E720" s="45">
        <f>ABS(Show!$A$4-D720)/(Show!$A$4/100)</f>
        <v>4.2514050464317066</v>
      </c>
      <c r="F720" s="46">
        <f>Show!$A$4-Calc!L720</f>
        <v>-2739959.9999999995</v>
      </c>
      <c r="G720" s="46" t="e">
        <f>MATCH(F720*Calc!$R$12,Calc!$K$1:$K$774,1)</f>
        <v>#N/A</v>
      </c>
      <c r="H720" s="46" t="e">
        <f>INDEX(Calc!$K$1:$K$774,G720)</f>
        <v>#N/A</v>
      </c>
      <c r="I720" s="46" t="e">
        <f>H720+Calc!K720</f>
        <v>#N/A</v>
      </c>
      <c r="J720" s="46" t="e">
        <f>ABS(Show!$A$4-I720)/(Show!$A$4/100)</f>
        <v>#N/A</v>
      </c>
      <c r="K720" s="45">
        <f>INDEX(Calc!L720:P720,Show!$B$4)</f>
        <v>2610000</v>
      </c>
      <c r="L720" s="46">
        <f t="shared" si="604"/>
        <v>2739999.9999999995</v>
      </c>
      <c r="M720" s="46">
        <f>L720</f>
        <v>2739999.9999999995</v>
      </c>
      <c r="N720" s="46">
        <f>L718</f>
        <v>2610000</v>
      </c>
      <c r="O720" s="46">
        <f t="shared" si="605"/>
        <v>2700000</v>
      </c>
      <c r="P720" s="46">
        <f t="shared" ref="P720" si="647">O722</f>
        <v>3300000</v>
      </c>
    </row>
    <row r="721" spans="1:16" x14ac:dyDescent="0.25">
      <c r="A721" s="45">
        <f>1/((1/Show!$A$4)-(1/Calc!K721))</f>
        <v>40.000557499059219</v>
      </c>
      <c r="B721" s="45">
        <f>MATCH(A721*Calc!$R$12,Calc!$K$1:$K$774,1)</f>
        <v>256</v>
      </c>
      <c r="C721" s="45">
        <f>INDEX(Calc!$K$1:$K$774,B721)</f>
        <v>38.299999999999997</v>
      </c>
      <c r="D721" s="45">
        <f>1/(1/C721+1/Calc!K721)</f>
        <v>38.299488895322405</v>
      </c>
      <c r="E721" s="45">
        <f>ABS(Show!$A$4-D721)/(Show!$A$4/100)</f>
        <v>4.2512777616939879</v>
      </c>
      <c r="F721" s="46">
        <f>Show!$A$4-Calc!L721</f>
        <v>-2799960.0000000005</v>
      </c>
      <c r="G721" s="46" t="e">
        <f>MATCH(F721*Calc!$R$12,Calc!$K$1:$K$774,1)</f>
        <v>#N/A</v>
      </c>
      <c r="H721" s="46" t="e">
        <f>INDEX(Calc!$K$1:$K$774,G721)</f>
        <v>#N/A</v>
      </c>
      <c r="I721" s="46" t="e">
        <f>H721+Calc!K721</f>
        <v>#N/A</v>
      </c>
      <c r="J721" s="46" t="e">
        <f>ABS(Show!$A$4-I721)/(Show!$A$4/100)</f>
        <v>#N/A</v>
      </c>
      <c r="K721" s="45">
        <f>INDEX(Calc!L721:P721,Show!$B$4)</f>
        <v>2870000</v>
      </c>
      <c r="L721" s="46">
        <f t="shared" si="604"/>
        <v>2800000.0000000005</v>
      </c>
      <c r="M721" s="46">
        <f>L720</f>
        <v>2739999.9999999995</v>
      </c>
      <c r="N721" s="46">
        <f>L722</f>
        <v>2870000</v>
      </c>
      <c r="O721" s="46">
        <f t="shared" si="605"/>
        <v>2700000</v>
      </c>
      <c r="P721" s="46">
        <f t="shared" ref="P721" si="648">O722</f>
        <v>3300000</v>
      </c>
    </row>
    <row r="722" spans="1:16" x14ac:dyDescent="0.25">
      <c r="A722" s="45">
        <f>1/((1/Show!$A$4)-(1/Calc!K722))</f>
        <v>40.000557499059219</v>
      </c>
      <c r="B722" s="45">
        <f>MATCH(A722*Calc!$R$12,Calc!$K$1:$K$774,1)</f>
        <v>256</v>
      </c>
      <c r="C722" s="45">
        <f>INDEX(Calc!$K$1:$K$774,B722)</f>
        <v>38.299999999999997</v>
      </c>
      <c r="D722" s="45">
        <f>1/(1/C722+1/Calc!K722)</f>
        <v>38.299488895322405</v>
      </c>
      <c r="E722" s="45">
        <f>ABS(Show!$A$4-D722)/(Show!$A$4/100)</f>
        <v>4.2512777616939879</v>
      </c>
      <c r="F722" s="46">
        <f>Show!$A$4-Calc!L722</f>
        <v>-2869960</v>
      </c>
      <c r="G722" s="46" t="e">
        <f>MATCH(F722*Calc!$R$12,Calc!$K$1:$K$774,1)</f>
        <v>#N/A</v>
      </c>
      <c r="H722" s="46" t="e">
        <f>INDEX(Calc!$K$1:$K$774,G722)</f>
        <v>#N/A</v>
      </c>
      <c r="I722" s="46" t="e">
        <f>H722+Calc!K722</f>
        <v>#N/A</v>
      </c>
      <c r="J722" s="46" t="e">
        <f>ABS(Show!$A$4-I722)/(Show!$A$4/100)</f>
        <v>#N/A</v>
      </c>
      <c r="K722" s="45">
        <f>INDEX(Calc!L722:P722,Show!$B$4)</f>
        <v>2870000</v>
      </c>
      <c r="L722" s="46">
        <f t="shared" si="604"/>
        <v>2870000</v>
      </c>
      <c r="M722" s="46">
        <f>L722</f>
        <v>2870000</v>
      </c>
      <c r="N722" s="46">
        <f>L722</f>
        <v>2870000</v>
      </c>
      <c r="O722" s="46">
        <f t="shared" si="605"/>
        <v>3300000</v>
      </c>
      <c r="P722" s="46">
        <f t="shared" ref="P722" si="649">O722</f>
        <v>3300000</v>
      </c>
    </row>
    <row r="723" spans="1:16" x14ac:dyDescent="0.25">
      <c r="A723" s="45">
        <f>1/((1/Show!$A$4)-(1/Calc!K723))</f>
        <v>40.000557499059219</v>
      </c>
      <c r="B723" s="45">
        <f>MATCH(A723*Calc!$R$12,Calc!$K$1:$K$774,1)</f>
        <v>256</v>
      </c>
      <c r="C723" s="45">
        <f>INDEX(Calc!$K$1:$K$774,B723)</f>
        <v>38.299999999999997</v>
      </c>
      <c r="D723" s="45">
        <f>1/(1/C723+1/Calc!K723)</f>
        <v>38.299488895322405</v>
      </c>
      <c r="E723" s="45">
        <f>ABS(Show!$A$4-D723)/(Show!$A$4/100)</f>
        <v>4.2512777616939879</v>
      </c>
      <c r="F723" s="46">
        <f>Show!$A$4-Calc!L723</f>
        <v>-2939960</v>
      </c>
      <c r="G723" s="46" t="e">
        <f>MATCH(F723*Calc!$R$12,Calc!$K$1:$K$774,1)</f>
        <v>#N/A</v>
      </c>
      <c r="H723" s="46" t="e">
        <f>INDEX(Calc!$K$1:$K$774,G723)</f>
        <v>#N/A</v>
      </c>
      <c r="I723" s="46" t="e">
        <f>H723+Calc!K723</f>
        <v>#N/A</v>
      </c>
      <c r="J723" s="46" t="e">
        <f>ABS(Show!$A$4-I723)/(Show!$A$4/100)</f>
        <v>#N/A</v>
      </c>
      <c r="K723" s="45">
        <f>INDEX(Calc!L723:P723,Show!$B$4)</f>
        <v>2870000</v>
      </c>
      <c r="L723" s="46">
        <f t="shared" si="604"/>
        <v>2940000</v>
      </c>
      <c r="M723" s="46">
        <f>L722</f>
        <v>2870000</v>
      </c>
      <c r="N723" s="46">
        <f>L722</f>
        <v>2870000</v>
      </c>
      <c r="O723" s="46">
        <f t="shared" si="605"/>
        <v>3300000</v>
      </c>
      <c r="P723" s="46">
        <f t="shared" ref="P723" si="650">O722</f>
        <v>3300000</v>
      </c>
    </row>
    <row r="724" spans="1:16" x14ac:dyDescent="0.25">
      <c r="A724" s="45">
        <f>1/((1/Show!$A$4)-(1/Calc!K724))</f>
        <v>40.000557499059219</v>
      </c>
      <c r="B724" s="45">
        <f>MATCH(A724*Calc!$R$12,Calc!$K$1:$K$774,1)</f>
        <v>256</v>
      </c>
      <c r="C724" s="45">
        <f>INDEX(Calc!$K$1:$K$774,B724)</f>
        <v>38.299999999999997</v>
      </c>
      <c r="D724" s="45">
        <f>1/(1/C724+1/Calc!K724)</f>
        <v>38.299488895322405</v>
      </c>
      <c r="E724" s="45">
        <f>ABS(Show!$A$4-D724)/(Show!$A$4/100)</f>
        <v>4.2512777616939879</v>
      </c>
      <c r="F724" s="46">
        <f>Show!$A$4-Calc!L724</f>
        <v>-3009960</v>
      </c>
      <c r="G724" s="46" t="e">
        <f>MATCH(F724*Calc!$R$12,Calc!$K$1:$K$774,1)</f>
        <v>#N/A</v>
      </c>
      <c r="H724" s="46" t="e">
        <f>INDEX(Calc!$K$1:$K$774,G724)</f>
        <v>#N/A</v>
      </c>
      <c r="I724" s="46" t="e">
        <f>H724+Calc!K724</f>
        <v>#N/A</v>
      </c>
      <c r="J724" s="46" t="e">
        <f>ABS(Show!$A$4-I724)/(Show!$A$4/100)</f>
        <v>#N/A</v>
      </c>
      <c r="K724" s="45">
        <f>INDEX(Calc!L724:P724,Show!$B$4)</f>
        <v>2870000</v>
      </c>
      <c r="L724" s="46">
        <f t="shared" si="604"/>
        <v>3010000</v>
      </c>
      <c r="M724" s="46">
        <f>L724</f>
        <v>3010000</v>
      </c>
      <c r="N724" s="46">
        <f>L722</f>
        <v>2870000</v>
      </c>
      <c r="O724" s="46">
        <f t="shared" si="605"/>
        <v>3300000</v>
      </c>
      <c r="P724" s="46">
        <f t="shared" ref="P724" si="651">O722</f>
        <v>3300000</v>
      </c>
    </row>
    <row r="725" spans="1:16" x14ac:dyDescent="0.25">
      <c r="A725" s="45">
        <f>1/((1/Show!$A$4)-(1/Calc!K725))</f>
        <v>40.000506335523234</v>
      </c>
      <c r="B725" s="45">
        <f>MATCH(A725*Calc!$R$12,Calc!$K$1:$K$774,1)</f>
        <v>256</v>
      </c>
      <c r="C725" s="45">
        <f>INDEX(Calc!$K$1:$K$774,B725)</f>
        <v>38.299999999999997</v>
      </c>
      <c r="D725" s="45">
        <f>1/(1/C725+1/Calc!K725)</f>
        <v>38.299535799930013</v>
      </c>
      <c r="E725" s="45">
        <f>ABS(Show!$A$4-D725)/(Show!$A$4/100)</f>
        <v>4.2511605001749686</v>
      </c>
      <c r="F725" s="46">
        <f>Show!$A$4-Calc!L725</f>
        <v>-3089960</v>
      </c>
      <c r="G725" s="46" t="e">
        <f>MATCH(F725*Calc!$R$12,Calc!$K$1:$K$774,1)</f>
        <v>#N/A</v>
      </c>
      <c r="H725" s="46" t="e">
        <f>INDEX(Calc!$K$1:$K$774,G725)</f>
        <v>#N/A</v>
      </c>
      <c r="I725" s="46" t="e">
        <f>H725+Calc!K725</f>
        <v>#N/A</v>
      </c>
      <c r="J725" s="46" t="e">
        <f>ABS(Show!$A$4-I725)/(Show!$A$4/100)</f>
        <v>#N/A</v>
      </c>
      <c r="K725" s="45">
        <f>INDEX(Calc!L725:P725,Show!$B$4)</f>
        <v>3160000</v>
      </c>
      <c r="L725" s="46">
        <f t="shared" si="604"/>
        <v>3090000</v>
      </c>
      <c r="M725" s="46">
        <f>L724</f>
        <v>3010000</v>
      </c>
      <c r="N725" s="46">
        <f>L726</f>
        <v>3160000</v>
      </c>
      <c r="O725" s="46">
        <f t="shared" si="605"/>
        <v>3300000</v>
      </c>
      <c r="P725" s="46">
        <f t="shared" ref="P725" si="652">O722</f>
        <v>3300000</v>
      </c>
    </row>
    <row r="726" spans="1:16" x14ac:dyDescent="0.25">
      <c r="A726" s="45">
        <f>1/((1/Show!$A$4)-(1/Calc!K726))</f>
        <v>40.000506335523234</v>
      </c>
      <c r="B726" s="45">
        <f>MATCH(A726*Calc!$R$12,Calc!$K$1:$K$774,1)</f>
        <v>256</v>
      </c>
      <c r="C726" s="45">
        <f>INDEX(Calc!$K$1:$K$774,B726)</f>
        <v>38.299999999999997</v>
      </c>
      <c r="D726" s="45">
        <f>1/(1/C726+1/Calc!K726)</f>
        <v>38.299535799930013</v>
      </c>
      <c r="E726" s="45">
        <f>ABS(Show!$A$4-D726)/(Show!$A$4/100)</f>
        <v>4.2511605001749686</v>
      </c>
      <c r="F726" s="46">
        <f>Show!$A$4-Calc!L726</f>
        <v>-3159960</v>
      </c>
      <c r="G726" s="46" t="e">
        <f>MATCH(F726*Calc!$R$12,Calc!$K$1:$K$774,1)</f>
        <v>#N/A</v>
      </c>
      <c r="H726" s="46" t="e">
        <f>INDEX(Calc!$K$1:$K$774,G726)</f>
        <v>#N/A</v>
      </c>
      <c r="I726" s="46" t="e">
        <f>H726+Calc!K726</f>
        <v>#N/A</v>
      </c>
      <c r="J726" s="46" t="e">
        <f>ABS(Show!$A$4-I726)/(Show!$A$4/100)</f>
        <v>#N/A</v>
      </c>
      <c r="K726" s="45">
        <f>INDEX(Calc!L726:P726,Show!$B$4)</f>
        <v>3160000</v>
      </c>
      <c r="L726" s="46">
        <f t="shared" si="604"/>
        <v>3160000</v>
      </c>
      <c r="M726" s="46">
        <f>L726</f>
        <v>3160000</v>
      </c>
      <c r="N726" s="46">
        <f>L726</f>
        <v>3160000</v>
      </c>
      <c r="O726" s="46">
        <f t="shared" si="605"/>
        <v>3300000</v>
      </c>
      <c r="P726" s="46">
        <f t="shared" ref="P726" si="653">O722</f>
        <v>3300000</v>
      </c>
    </row>
    <row r="727" spans="1:16" x14ac:dyDescent="0.25">
      <c r="A727" s="45">
        <f>1/((1/Show!$A$4)-(1/Calc!K727))</f>
        <v>40.000506335523234</v>
      </c>
      <c r="B727" s="45">
        <f>MATCH(A727*Calc!$R$12,Calc!$K$1:$K$774,1)</f>
        <v>256</v>
      </c>
      <c r="C727" s="45">
        <f>INDEX(Calc!$K$1:$K$774,B727)</f>
        <v>38.299999999999997</v>
      </c>
      <c r="D727" s="45">
        <f>1/(1/C727+1/Calc!K727)</f>
        <v>38.299535799930013</v>
      </c>
      <c r="E727" s="45">
        <f>ABS(Show!$A$4-D727)/(Show!$A$4/100)</f>
        <v>4.2511605001749686</v>
      </c>
      <c r="F727" s="46">
        <f>Show!$A$4-Calc!L727</f>
        <v>-3239960</v>
      </c>
      <c r="G727" s="46" t="e">
        <f>MATCH(F727*Calc!$R$12,Calc!$K$1:$K$774,1)</f>
        <v>#N/A</v>
      </c>
      <c r="H727" s="46" t="e">
        <f>INDEX(Calc!$K$1:$K$774,G727)</f>
        <v>#N/A</v>
      </c>
      <c r="I727" s="46" t="e">
        <f>H727+Calc!K727</f>
        <v>#N/A</v>
      </c>
      <c r="J727" s="46" t="e">
        <f>ABS(Show!$A$4-I727)/(Show!$A$4/100)</f>
        <v>#N/A</v>
      </c>
      <c r="K727" s="45">
        <f>INDEX(Calc!L727:P727,Show!$B$4)</f>
        <v>3160000</v>
      </c>
      <c r="L727" s="46">
        <f t="shared" si="604"/>
        <v>3240000</v>
      </c>
      <c r="M727" s="46">
        <f>L726</f>
        <v>3160000</v>
      </c>
      <c r="N727" s="46">
        <f>L726</f>
        <v>3160000</v>
      </c>
      <c r="O727" s="46">
        <f t="shared" si="605"/>
        <v>3300000</v>
      </c>
      <c r="P727" s="46">
        <f t="shared" ref="P727" si="654">O722</f>
        <v>3300000</v>
      </c>
    </row>
    <row r="728" spans="1:16" x14ac:dyDescent="0.25">
      <c r="A728" s="45">
        <f>1/((1/Show!$A$4)-(1/Calc!K728))</f>
        <v>40.000506335523234</v>
      </c>
      <c r="B728" s="45">
        <f>MATCH(A728*Calc!$R$12,Calc!$K$1:$K$774,1)</f>
        <v>256</v>
      </c>
      <c r="C728" s="45">
        <f>INDEX(Calc!$K$1:$K$774,B728)</f>
        <v>38.299999999999997</v>
      </c>
      <c r="D728" s="45">
        <f>1/(1/C728+1/Calc!K728)</f>
        <v>38.299535799930013</v>
      </c>
      <c r="E728" s="45">
        <f>ABS(Show!$A$4-D728)/(Show!$A$4/100)</f>
        <v>4.2511605001749686</v>
      </c>
      <c r="F728" s="46">
        <f>Show!$A$4-Calc!L728</f>
        <v>-3319960</v>
      </c>
      <c r="G728" s="46" t="e">
        <f>MATCH(F728*Calc!$R$12,Calc!$K$1:$K$774,1)</f>
        <v>#N/A</v>
      </c>
      <c r="H728" s="46" t="e">
        <f>INDEX(Calc!$K$1:$K$774,G728)</f>
        <v>#N/A</v>
      </c>
      <c r="I728" s="46" t="e">
        <f>H728+Calc!K728</f>
        <v>#N/A</v>
      </c>
      <c r="J728" s="46" t="e">
        <f>ABS(Show!$A$4-I728)/(Show!$A$4/100)</f>
        <v>#N/A</v>
      </c>
      <c r="K728" s="45">
        <f>INDEX(Calc!L728:P728,Show!$B$4)</f>
        <v>3160000</v>
      </c>
      <c r="L728" s="46">
        <f t="shared" si="604"/>
        <v>3320000</v>
      </c>
      <c r="M728" s="46">
        <f>L728</f>
        <v>3320000</v>
      </c>
      <c r="N728" s="46">
        <f>L726</f>
        <v>3160000</v>
      </c>
      <c r="O728" s="46">
        <f t="shared" si="605"/>
        <v>3300000</v>
      </c>
      <c r="P728" s="46">
        <f t="shared" ref="P728" si="655">O722</f>
        <v>3300000</v>
      </c>
    </row>
    <row r="729" spans="1:16" x14ac:dyDescent="0.25">
      <c r="A729" s="45">
        <f>1/((1/Show!$A$4)-(1/Calc!K729))</f>
        <v>40.000459775399712</v>
      </c>
      <c r="B729" s="45">
        <f>MATCH(A729*Calc!$R$12,Calc!$K$1:$K$774,1)</f>
        <v>256</v>
      </c>
      <c r="C729" s="45">
        <f>INDEX(Calc!$K$1:$K$774,B729)</f>
        <v>38.299999999999997</v>
      </c>
      <c r="D729" s="45">
        <f>1/(1/C729+1/Calc!K729)</f>
        <v>38.299578484524147</v>
      </c>
      <c r="E729" s="45">
        <f>ABS(Show!$A$4-D729)/(Show!$A$4/100)</f>
        <v>4.2510537886896316</v>
      </c>
      <c r="F729" s="46">
        <f>Show!$A$4-Calc!L729</f>
        <v>-3399960.0000000005</v>
      </c>
      <c r="G729" s="46" t="e">
        <f>MATCH(F729*Calc!$R$12,Calc!$K$1:$K$774,1)</f>
        <v>#N/A</v>
      </c>
      <c r="H729" s="46" t="e">
        <f>INDEX(Calc!$K$1:$K$774,G729)</f>
        <v>#N/A</v>
      </c>
      <c r="I729" s="46" t="e">
        <f>H729+Calc!K729</f>
        <v>#N/A</v>
      </c>
      <c r="J729" s="46" t="e">
        <f>ABS(Show!$A$4-I729)/(Show!$A$4/100)</f>
        <v>#N/A</v>
      </c>
      <c r="K729" s="45">
        <f>INDEX(Calc!L729:P729,Show!$B$4)</f>
        <v>3479999.9999999995</v>
      </c>
      <c r="L729" s="46">
        <f t="shared" si="604"/>
        <v>3400000.0000000005</v>
      </c>
      <c r="M729" s="46">
        <f>L728</f>
        <v>3320000</v>
      </c>
      <c r="N729" s="46">
        <f>L730</f>
        <v>3479999.9999999995</v>
      </c>
      <c r="O729" s="46">
        <f t="shared" si="605"/>
        <v>3300000</v>
      </c>
      <c r="P729" s="46">
        <f t="shared" ref="P729" si="656">O722</f>
        <v>3300000</v>
      </c>
    </row>
    <row r="730" spans="1:16" x14ac:dyDescent="0.25">
      <c r="A730" s="45">
        <f>1/((1/Show!$A$4)-(1/Calc!K730))</f>
        <v>40.000459775399712</v>
      </c>
      <c r="B730" s="45">
        <f>MATCH(A730*Calc!$R$12,Calc!$K$1:$K$774,1)</f>
        <v>256</v>
      </c>
      <c r="C730" s="45">
        <f>INDEX(Calc!$K$1:$K$774,B730)</f>
        <v>38.299999999999997</v>
      </c>
      <c r="D730" s="45">
        <f>1/(1/C730+1/Calc!K730)</f>
        <v>38.299578484524147</v>
      </c>
      <c r="E730" s="45">
        <f>ABS(Show!$A$4-D730)/(Show!$A$4/100)</f>
        <v>4.2510537886896316</v>
      </c>
      <c r="F730" s="46">
        <f>Show!$A$4-Calc!L730</f>
        <v>-3479959.9999999995</v>
      </c>
      <c r="G730" s="46" t="e">
        <f>MATCH(F730*Calc!$R$12,Calc!$K$1:$K$774,1)</f>
        <v>#N/A</v>
      </c>
      <c r="H730" s="46" t="e">
        <f>INDEX(Calc!$K$1:$K$774,G730)</f>
        <v>#N/A</v>
      </c>
      <c r="I730" s="46" t="e">
        <f>H730+Calc!K730</f>
        <v>#N/A</v>
      </c>
      <c r="J730" s="46" t="e">
        <f>ABS(Show!$A$4-I730)/(Show!$A$4/100)</f>
        <v>#N/A</v>
      </c>
      <c r="K730" s="45">
        <f>INDEX(Calc!L730:P730,Show!$B$4)</f>
        <v>3479999.9999999995</v>
      </c>
      <c r="L730" s="46">
        <f t="shared" si="604"/>
        <v>3479999.9999999995</v>
      </c>
      <c r="M730" s="46">
        <f>L730</f>
        <v>3479999.9999999995</v>
      </c>
      <c r="N730" s="46">
        <f>L730</f>
        <v>3479999.9999999995</v>
      </c>
      <c r="O730" s="46">
        <f t="shared" si="605"/>
        <v>3900000</v>
      </c>
      <c r="P730" s="46">
        <f t="shared" ref="P730" si="657">O722</f>
        <v>3300000</v>
      </c>
    </row>
    <row r="731" spans="1:16" x14ac:dyDescent="0.25">
      <c r="A731" s="45">
        <f>1/((1/Show!$A$4)-(1/Calc!K731))</f>
        <v>40.000459775399712</v>
      </c>
      <c r="B731" s="45">
        <f>MATCH(A731*Calc!$R$12,Calc!$K$1:$K$774,1)</f>
        <v>256</v>
      </c>
      <c r="C731" s="45">
        <f>INDEX(Calc!$K$1:$K$774,B731)</f>
        <v>38.299999999999997</v>
      </c>
      <c r="D731" s="45">
        <f>1/(1/C731+1/Calc!K731)</f>
        <v>38.299578484524147</v>
      </c>
      <c r="E731" s="45">
        <f>ABS(Show!$A$4-D731)/(Show!$A$4/100)</f>
        <v>4.2510537886896316</v>
      </c>
      <c r="F731" s="46">
        <f>Show!$A$4-Calc!L731</f>
        <v>-3569960.0000000005</v>
      </c>
      <c r="G731" s="46" t="e">
        <f>MATCH(F731*Calc!$R$12,Calc!$K$1:$K$774,1)</f>
        <v>#N/A</v>
      </c>
      <c r="H731" s="46" t="e">
        <f>INDEX(Calc!$K$1:$K$774,G731)</f>
        <v>#N/A</v>
      </c>
      <c r="I731" s="46" t="e">
        <f>H731+Calc!K731</f>
        <v>#N/A</v>
      </c>
      <c r="J731" s="46" t="e">
        <f>ABS(Show!$A$4-I731)/(Show!$A$4/100)</f>
        <v>#N/A</v>
      </c>
      <c r="K731" s="45">
        <f>INDEX(Calc!L731:P731,Show!$B$4)</f>
        <v>3479999.9999999995</v>
      </c>
      <c r="L731" s="46">
        <f t="shared" si="604"/>
        <v>3570000.0000000005</v>
      </c>
      <c r="M731" s="46">
        <f>L730</f>
        <v>3479999.9999999995</v>
      </c>
      <c r="N731" s="46">
        <f>L730</f>
        <v>3479999.9999999995</v>
      </c>
      <c r="O731" s="46">
        <f t="shared" si="605"/>
        <v>3900000</v>
      </c>
      <c r="P731" s="46">
        <f t="shared" ref="P731" si="658">O722</f>
        <v>3300000</v>
      </c>
    </row>
    <row r="732" spans="1:16" x14ac:dyDescent="0.25">
      <c r="A732" s="45">
        <f>1/((1/Show!$A$4)-(1/Calc!K732))</f>
        <v>40.000459775399712</v>
      </c>
      <c r="B732" s="45">
        <f>MATCH(A732*Calc!$R$12,Calc!$K$1:$K$774,1)</f>
        <v>256</v>
      </c>
      <c r="C732" s="45">
        <f>INDEX(Calc!$K$1:$K$774,B732)</f>
        <v>38.299999999999997</v>
      </c>
      <c r="D732" s="45">
        <f>1/(1/C732+1/Calc!K732)</f>
        <v>38.299578484524147</v>
      </c>
      <c r="E732" s="45">
        <f>ABS(Show!$A$4-D732)/(Show!$A$4/100)</f>
        <v>4.2510537886896316</v>
      </c>
      <c r="F732" s="46">
        <f>Show!$A$4-Calc!L732</f>
        <v>-3649960</v>
      </c>
      <c r="G732" s="46" t="e">
        <f>MATCH(F732*Calc!$R$12,Calc!$K$1:$K$774,1)</f>
        <v>#N/A</v>
      </c>
      <c r="H732" s="46" t="e">
        <f>INDEX(Calc!$K$1:$K$774,G732)</f>
        <v>#N/A</v>
      </c>
      <c r="I732" s="46" t="e">
        <f>H732+Calc!K732</f>
        <v>#N/A</v>
      </c>
      <c r="J732" s="46" t="e">
        <f>ABS(Show!$A$4-I732)/(Show!$A$4/100)</f>
        <v>#N/A</v>
      </c>
      <c r="K732" s="45">
        <f>INDEX(Calc!L732:P732,Show!$B$4)</f>
        <v>3479999.9999999995</v>
      </c>
      <c r="L732" s="46">
        <f t="shared" si="604"/>
        <v>3650000</v>
      </c>
      <c r="M732" s="46">
        <f>L732</f>
        <v>3650000</v>
      </c>
      <c r="N732" s="46">
        <f>L730</f>
        <v>3479999.9999999995</v>
      </c>
      <c r="O732" s="46">
        <f t="shared" si="605"/>
        <v>3900000</v>
      </c>
      <c r="P732" s="46">
        <f t="shared" ref="P732" si="659">O722</f>
        <v>3300000</v>
      </c>
    </row>
    <row r="733" spans="1:16" x14ac:dyDescent="0.25">
      <c r="A733" s="45">
        <f>1/((1/Show!$A$4)-(1/Calc!K733))</f>
        <v>40.000417758932208</v>
      </c>
      <c r="B733" s="45">
        <f>MATCH(A733*Calc!$R$12,Calc!$K$1:$K$774,1)</f>
        <v>256</v>
      </c>
      <c r="C733" s="45">
        <f>INDEX(Calc!$K$1:$K$774,B733)</f>
        <v>38.299999999999997</v>
      </c>
      <c r="D733" s="45">
        <f>1/(1/C733+1/Calc!K733)</f>
        <v>38.299617003829958</v>
      </c>
      <c r="E733" s="45">
        <f>ABS(Show!$A$4-D733)/(Show!$A$4/100)</f>
        <v>4.2509574904251046</v>
      </c>
      <c r="F733" s="46">
        <f>Show!$A$4-Calc!L733</f>
        <v>-3739960</v>
      </c>
      <c r="G733" s="46" t="e">
        <f>MATCH(F733*Calc!$R$12,Calc!$K$1:$K$774,1)</f>
        <v>#N/A</v>
      </c>
      <c r="H733" s="46" t="e">
        <f>INDEX(Calc!$K$1:$K$774,G733)</f>
        <v>#N/A</v>
      </c>
      <c r="I733" s="46" t="e">
        <f>H733+Calc!K733</f>
        <v>#N/A</v>
      </c>
      <c r="J733" s="46" t="e">
        <f>ABS(Show!$A$4-I733)/(Show!$A$4/100)</f>
        <v>#N/A</v>
      </c>
      <c r="K733" s="45">
        <f>INDEX(Calc!L733:P733,Show!$B$4)</f>
        <v>3829999.9999999995</v>
      </c>
      <c r="L733" s="46">
        <f t="shared" si="604"/>
        <v>3740000</v>
      </c>
      <c r="M733" s="46">
        <f>L732</f>
        <v>3650000</v>
      </c>
      <c r="N733" s="46">
        <f>L734</f>
        <v>3829999.9999999995</v>
      </c>
      <c r="O733" s="46">
        <f t="shared" si="605"/>
        <v>3900000</v>
      </c>
      <c r="P733" s="46">
        <f t="shared" ref="P733" si="660">O722</f>
        <v>3300000</v>
      </c>
    </row>
    <row r="734" spans="1:16" x14ac:dyDescent="0.25">
      <c r="A734" s="45">
        <f>1/((1/Show!$A$4)-(1/Calc!K734))</f>
        <v>40.000417758932208</v>
      </c>
      <c r="B734" s="45">
        <f>MATCH(A734*Calc!$R$12,Calc!$K$1:$K$774,1)</f>
        <v>256</v>
      </c>
      <c r="C734" s="45">
        <f>INDEX(Calc!$K$1:$K$774,B734)</f>
        <v>38.299999999999997</v>
      </c>
      <c r="D734" s="45">
        <f>1/(1/C734+1/Calc!K734)</f>
        <v>38.299617003829958</v>
      </c>
      <c r="E734" s="45">
        <f>ABS(Show!$A$4-D734)/(Show!$A$4/100)</f>
        <v>4.2509574904251046</v>
      </c>
      <c r="F734" s="46">
        <f>Show!$A$4-Calc!L734</f>
        <v>-3829959.9999999995</v>
      </c>
      <c r="G734" s="46" t="e">
        <f>MATCH(F734*Calc!$R$12,Calc!$K$1:$K$774,1)</f>
        <v>#N/A</v>
      </c>
      <c r="H734" s="46" t="e">
        <f>INDEX(Calc!$K$1:$K$774,G734)</f>
        <v>#N/A</v>
      </c>
      <c r="I734" s="46" t="e">
        <f>H734+Calc!K734</f>
        <v>#N/A</v>
      </c>
      <c r="J734" s="46" t="e">
        <f>ABS(Show!$A$4-I734)/(Show!$A$4/100)</f>
        <v>#N/A</v>
      </c>
      <c r="K734" s="45">
        <f>INDEX(Calc!L734:P734,Show!$B$4)</f>
        <v>3829999.9999999995</v>
      </c>
      <c r="L734" s="46">
        <f t="shared" si="604"/>
        <v>3829999.9999999995</v>
      </c>
      <c r="M734" s="46">
        <f>L734</f>
        <v>3829999.9999999995</v>
      </c>
      <c r="N734" s="46">
        <f>L734</f>
        <v>3829999.9999999995</v>
      </c>
      <c r="O734" s="46">
        <f t="shared" si="605"/>
        <v>3900000</v>
      </c>
      <c r="P734" s="46">
        <f t="shared" ref="P734" si="661">O738</f>
        <v>4700000</v>
      </c>
    </row>
    <row r="735" spans="1:16" x14ac:dyDescent="0.25">
      <c r="A735" s="45">
        <f>1/((1/Show!$A$4)-(1/Calc!K735))</f>
        <v>40.000417758932208</v>
      </c>
      <c r="B735" s="45">
        <f>MATCH(A735*Calc!$R$12,Calc!$K$1:$K$774,1)</f>
        <v>256</v>
      </c>
      <c r="C735" s="45">
        <f>INDEX(Calc!$K$1:$K$774,B735)</f>
        <v>38.299999999999997</v>
      </c>
      <c r="D735" s="45">
        <f>1/(1/C735+1/Calc!K735)</f>
        <v>38.299617003829958</v>
      </c>
      <c r="E735" s="45">
        <f>ABS(Show!$A$4-D735)/(Show!$A$4/100)</f>
        <v>4.2509574904251046</v>
      </c>
      <c r="F735" s="46">
        <f>Show!$A$4-Calc!L735</f>
        <v>-3919960</v>
      </c>
      <c r="G735" s="46" t="e">
        <f>MATCH(F735*Calc!$R$12,Calc!$K$1:$K$774,1)</f>
        <v>#N/A</v>
      </c>
      <c r="H735" s="46" t="e">
        <f>INDEX(Calc!$K$1:$K$774,G735)</f>
        <v>#N/A</v>
      </c>
      <c r="I735" s="46" t="e">
        <f>H735+Calc!K735</f>
        <v>#N/A</v>
      </c>
      <c r="J735" s="46" t="e">
        <f>ABS(Show!$A$4-I735)/(Show!$A$4/100)</f>
        <v>#N/A</v>
      </c>
      <c r="K735" s="45">
        <f>INDEX(Calc!L735:P735,Show!$B$4)</f>
        <v>3829999.9999999995</v>
      </c>
      <c r="L735" s="46">
        <f t="shared" si="604"/>
        <v>3920000</v>
      </c>
      <c r="M735" s="46">
        <f>L734</f>
        <v>3829999.9999999995</v>
      </c>
      <c r="N735" s="46">
        <f>L734</f>
        <v>3829999.9999999995</v>
      </c>
      <c r="O735" s="46">
        <f t="shared" si="605"/>
        <v>3900000</v>
      </c>
      <c r="P735" s="46">
        <f t="shared" ref="P735" si="662">O738</f>
        <v>4700000</v>
      </c>
    </row>
    <row r="736" spans="1:16" x14ac:dyDescent="0.25">
      <c r="A736" s="45">
        <f>1/((1/Show!$A$4)-(1/Calc!K736))</f>
        <v>40.000417758932208</v>
      </c>
      <c r="B736" s="45">
        <f>MATCH(A736*Calc!$R$12,Calc!$K$1:$K$774,1)</f>
        <v>256</v>
      </c>
      <c r="C736" s="45">
        <f>INDEX(Calc!$K$1:$K$774,B736)</f>
        <v>38.299999999999997</v>
      </c>
      <c r="D736" s="45">
        <f>1/(1/C736+1/Calc!K736)</f>
        <v>38.299617003829958</v>
      </c>
      <c r="E736" s="45">
        <f>ABS(Show!$A$4-D736)/(Show!$A$4/100)</f>
        <v>4.2509574904251046</v>
      </c>
      <c r="F736" s="46">
        <f>Show!$A$4-Calc!L736</f>
        <v>-4019960.0000000005</v>
      </c>
      <c r="G736" s="46" t="e">
        <f>MATCH(F736*Calc!$R$12,Calc!$K$1:$K$774,1)</f>
        <v>#N/A</v>
      </c>
      <c r="H736" s="46" t="e">
        <f>INDEX(Calc!$K$1:$K$774,G736)</f>
        <v>#N/A</v>
      </c>
      <c r="I736" s="46" t="e">
        <f>H736+Calc!K736</f>
        <v>#N/A</v>
      </c>
      <c r="J736" s="46" t="e">
        <f>ABS(Show!$A$4-I736)/(Show!$A$4/100)</f>
        <v>#N/A</v>
      </c>
      <c r="K736" s="45">
        <f>INDEX(Calc!L736:P736,Show!$B$4)</f>
        <v>3829999.9999999995</v>
      </c>
      <c r="L736" s="46">
        <f t="shared" si="604"/>
        <v>4020000.0000000005</v>
      </c>
      <c r="M736" s="46">
        <f>L736</f>
        <v>4020000.0000000005</v>
      </c>
      <c r="N736" s="46">
        <f>L734</f>
        <v>3829999.9999999995</v>
      </c>
      <c r="O736" s="46">
        <f t="shared" si="605"/>
        <v>3900000</v>
      </c>
      <c r="P736" s="46">
        <f t="shared" ref="P736" si="663">O738</f>
        <v>4700000</v>
      </c>
    </row>
    <row r="737" spans="1:16" x14ac:dyDescent="0.25">
      <c r="A737" s="45">
        <f>1/((1/Show!$A$4)-(1/Calc!K737))</f>
        <v>40.000379150513275</v>
      </c>
      <c r="B737" s="45">
        <f>MATCH(A737*Calc!$R$12,Calc!$K$1:$K$774,1)</f>
        <v>256</v>
      </c>
      <c r="C737" s="45">
        <f>INDEX(Calc!$K$1:$K$774,B737)</f>
        <v>38.299999999999997</v>
      </c>
      <c r="D737" s="45">
        <f>1/(1/C737+1/Calc!K737)</f>
        <v>38.299652398889364</v>
      </c>
      <c r="E737" s="45">
        <f>ABS(Show!$A$4-D737)/(Show!$A$4/100)</f>
        <v>4.2508690027765894</v>
      </c>
      <c r="F737" s="46">
        <f>Show!$A$4-Calc!L737</f>
        <v>-4119960.0000000005</v>
      </c>
      <c r="G737" s="46" t="e">
        <f>MATCH(F737*Calc!$R$12,Calc!$K$1:$K$774,1)</f>
        <v>#N/A</v>
      </c>
      <c r="H737" s="46" t="e">
        <f>INDEX(Calc!$K$1:$K$774,G737)</f>
        <v>#N/A</v>
      </c>
      <c r="I737" s="46" t="e">
        <f>H737+Calc!K737</f>
        <v>#N/A</v>
      </c>
      <c r="J737" s="46" t="e">
        <f>ABS(Show!$A$4-I737)/(Show!$A$4/100)</f>
        <v>#N/A</v>
      </c>
      <c r="K737" s="45">
        <f>INDEX(Calc!L737:P737,Show!$B$4)</f>
        <v>4220000</v>
      </c>
      <c r="L737" s="46">
        <f t="shared" si="604"/>
        <v>4120000.0000000005</v>
      </c>
      <c r="M737" s="46">
        <f>L736</f>
        <v>4020000.0000000005</v>
      </c>
      <c r="N737" s="46">
        <f>L738</f>
        <v>4220000</v>
      </c>
      <c r="O737" s="46">
        <f t="shared" si="605"/>
        <v>3900000</v>
      </c>
      <c r="P737" s="46">
        <f t="shared" ref="P737" si="664">O738</f>
        <v>4700000</v>
      </c>
    </row>
    <row r="738" spans="1:16" x14ac:dyDescent="0.25">
      <c r="A738" s="45">
        <f>1/((1/Show!$A$4)-(1/Calc!K738))</f>
        <v>40.000379150513275</v>
      </c>
      <c r="B738" s="45">
        <f>MATCH(A738*Calc!$R$12,Calc!$K$1:$K$774,1)</f>
        <v>256</v>
      </c>
      <c r="C738" s="45">
        <f>INDEX(Calc!$K$1:$K$774,B738)</f>
        <v>38.299999999999997</v>
      </c>
      <c r="D738" s="45">
        <f>1/(1/C738+1/Calc!K738)</f>
        <v>38.299652398889364</v>
      </c>
      <c r="E738" s="45">
        <f>ABS(Show!$A$4-D738)/(Show!$A$4/100)</f>
        <v>4.2508690027765894</v>
      </c>
      <c r="F738" s="46">
        <f>Show!$A$4-Calc!L738</f>
        <v>-4219960</v>
      </c>
      <c r="G738" s="46" t="e">
        <f>MATCH(F738*Calc!$R$12,Calc!$K$1:$K$774,1)</f>
        <v>#N/A</v>
      </c>
      <c r="H738" s="46" t="e">
        <f>INDEX(Calc!$K$1:$K$774,G738)</f>
        <v>#N/A</v>
      </c>
      <c r="I738" s="46" t="e">
        <f>H738+Calc!K738</f>
        <v>#N/A</v>
      </c>
      <c r="J738" s="46" t="e">
        <f>ABS(Show!$A$4-I738)/(Show!$A$4/100)</f>
        <v>#N/A</v>
      </c>
      <c r="K738" s="45">
        <f>INDEX(Calc!L738:P738,Show!$B$4)</f>
        <v>4220000</v>
      </c>
      <c r="L738" s="46">
        <f t="shared" si="604"/>
        <v>4220000</v>
      </c>
      <c r="M738" s="46">
        <f>L738</f>
        <v>4220000</v>
      </c>
      <c r="N738" s="46">
        <f>L738</f>
        <v>4220000</v>
      </c>
      <c r="O738" s="46">
        <f t="shared" si="605"/>
        <v>4700000</v>
      </c>
      <c r="P738" s="46">
        <f t="shared" ref="P738" si="665">O738</f>
        <v>4700000</v>
      </c>
    </row>
    <row r="739" spans="1:16" x14ac:dyDescent="0.25">
      <c r="A739" s="45">
        <f>1/((1/Show!$A$4)-(1/Calc!K739))</f>
        <v>40.000379150513275</v>
      </c>
      <c r="B739" s="45">
        <f>MATCH(A739*Calc!$R$12,Calc!$K$1:$K$774,1)</f>
        <v>256</v>
      </c>
      <c r="C739" s="45">
        <f>INDEX(Calc!$K$1:$K$774,B739)</f>
        <v>38.299999999999997</v>
      </c>
      <c r="D739" s="45">
        <f>1/(1/C739+1/Calc!K739)</f>
        <v>38.299652398889364</v>
      </c>
      <c r="E739" s="45">
        <f>ABS(Show!$A$4-D739)/(Show!$A$4/100)</f>
        <v>4.2508690027765894</v>
      </c>
      <c r="F739" s="46">
        <f>Show!$A$4-Calc!L739</f>
        <v>-4319960.0000000009</v>
      </c>
      <c r="G739" s="46" t="e">
        <f>MATCH(F739*Calc!$R$12,Calc!$K$1:$K$774,1)</f>
        <v>#N/A</v>
      </c>
      <c r="H739" s="46" t="e">
        <f>INDEX(Calc!$K$1:$K$774,G739)</f>
        <v>#N/A</v>
      </c>
      <c r="I739" s="46" t="e">
        <f>H739+Calc!K739</f>
        <v>#N/A</v>
      </c>
      <c r="J739" s="46" t="e">
        <f>ABS(Show!$A$4-I739)/(Show!$A$4/100)</f>
        <v>#N/A</v>
      </c>
      <c r="K739" s="45">
        <f>INDEX(Calc!L739:P739,Show!$B$4)</f>
        <v>4220000</v>
      </c>
      <c r="L739" s="46">
        <f t="shared" si="604"/>
        <v>4320000.0000000009</v>
      </c>
      <c r="M739" s="46">
        <f>L738</f>
        <v>4220000</v>
      </c>
      <c r="N739" s="46">
        <f>L738</f>
        <v>4220000</v>
      </c>
      <c r="O739" s="46">
        <f t="shared" si="605"/>
        <v>4700000</v>
      </c>
      <c r="P739" s="46">
        <f t="shared" ref="P739" si="666">O738</f>
        <v>4700000</v>
      </c>
    </row>
    <row r="740" spans="1:16" x14ac:dyDescent="0.25">
      <c r="A740" s="45">
        <f>1/((1/Show!$A$4)-(1/Calc!K740))</f>
        <v>40.000379150513275</v>
      </c>
      <c r="B740" s="45">
        <f>MATCH(A740*Calc!$R$12,Calc!$K$1:$K$774,1)</f>
        <v>256</v>
      </c>
      <c r="C740" s="45">
        <f>INDEX(Calc!$K$1:$K$774,B740)</f>
        <v>38.299999999999997</v>
      </c>
      <c r="D740" s="45">
        <f>1/(1/C740+1/Calc!K740)</f>
        <v>38.299652398889364</v>
      </c>
      <c r="E740" s="45">
        <f>ABS(Show!$A$4-D740)/(Show!$A$4/100)</f>
        <v>4.2508690027765894</v>
      </c>
      <c r="F740" s="46">
        <f>Show!$A$4-Calc!L740</f>
        <v>-4419960</v>
      </c>
      <c r="G740" s="46" t="e">
        <f>MATCH(F740*Calc!$R$12,Calc!$K$1:$K$774,1)</f>
        <v>#N/A</v>
      </c>
      <c r="H740" s="46" t="e">
        <f>INDEX(Calc!$K$1:$K$774,G740)</f>
        <v>#N/A</v>
      </c>
      <c r="I740" s="46" t="e">
        <f>H740+Calc!K740</f>
        <v>#N/A</v>
      </c>
      <c r="J740" s="46" t="e">
        <f>ABS(Show!$A$4-I740)/(Show!$A$4/100)</f>
        <v>#N/A</v>
      </c>
      <c r="K740" s="45">
        <f>INDEX(Calc!L740:P740,Show!$B$4)</f>
        <v>4220000</v>
      </c>
      <c r="L740" s="46">
        <f t="shared" si="604"/>
        <v>4420000</v>
      </c>
      <c r="M740" s="46">
        <f>L740</f>
        <v>4420000</v>
      </c>
      <c r="N740" s="46">
        <f>L738</f>
        <v>4220000</v>
      </c>
      <c r="O740" s="46">
        <f t="shared" si="605"/>
        <v>4700000</v>
      </c>
      <c r="P740" s="46">
        <f t="shared" ref="P740" si="667">O738</f>
        <v>4700000</v>
      </c>
    </row>
    <row r="741" spans="1:16" x14ac:dyDescent="0.25">
      <c r="A741" s="45">
        <f>1/((1/Show!$A$4)-(1/Calc!K741))</f>
        <v>40.00034483055888</v>
      </c>
      <c r="B741" s="45">
        <f>MATCH(A741*Calc!$R$12,Calc!$K$1:$K$774,1)</f>
        <v>256</v>
      </c>
      <c r="C741" s="45">
        <f>INDEX(Calc!$K$1:$K$774,B741)</f>
        <v>38.299999999999997</v>
      </c>
      <c r="D741" s="45">
        <f>1/(1/C741+1/Calc!K741)</f>
        <v>38.299683862523288</v>
      </c>
      <c r="E741" s="45">
        <f>ABS(Show!$A$4-D741)/(Show!$A$4/100)</f>
        <v>4.2507903436917793</v>
      </c>
      <c r="F741" s="46">
        <f>Show!$A$4-Calc!L741</f>
        <v>-4529960</v>
      </c>
      <c r="G741" s="46" t="e">
        <f>MATCH(F741*Calc!$R$12,Calc!$K$1:$K$774,1)</f>
        <v>#N/A</v>
      </c>
      <c r="H741" s="46" t="e">
        <f>INDEX(Calc!$K$1:$K$774,G741)</f>
        <v>#N/A</v>
      </c>
      <c r="I741" s="46" t="e">
        <f>H741+Calc!K741</f>
        <v>#N/A</v>
      </c>
      <c r="J741" s="46" t="e">
        <f>ABS(Show!$A$4-I741)/(Show!$A$4/100)</f>
        <v>#N/A</v>
      </c>
      <c r="K741" s="45">
        <f>INDEX(Calc!L741:P741,Show!$B$4)</f>
        <v>4640000</v>
      </c>
      <c r="L741" s="46">
        <f t="shared" si="604"/>
        <v>4530000</v>
      </c>
      <c r="M741" s="46">
        <f>L740</f>
        <v>4420000</v>
      </c>
      <c r="N741" s="46">
        <f>L742</f>
        <v>4640000</v>
      </c>
      <c r="O741" s="46">
        <f t="shared" si="605"/>
        <v>4700000</v>
      </c>
      <c r="P741" s="46">
        <f t="shared" ref="P741" si="668">O738</f>
        <v>4700000</v>
      </c>
    </row>
    <row r="742" spans="1:16" x14ac:dyDescent="0.25">
      <c r="A742" s="45">
        <f>1/((1/Show!$A$4)-(1/Calc!K742))</f>
        <v>40.00034483055888</v>
      </c>
      <c r="B742" s="45">
        <f>MATCH(A742*Calc!$R$12,Calc!$K$1:$K$774,1)</f>
        <v>256</v>
      </c>
      <c r="C742" s="45">
        <f>INDEX(Calc!$K$1:$K$774,B742)</f>
        <v>38.299999999999997</v>
      </c>
      <c r="D742" s="45">
        <f>1/(1/C742+1/Calc!K742)</f>
        <v>38.299683862523288</v>
      </c>
      <c r="E742" s="45">
        <f>ABS(Show!$A$4-D742)/(Show!$A$4/100)</f>
        <v>4.2507903436917793</v>
      </c>
      <c r="F742" s="46">
        <f>Show!$A$4-Calc!L742</f>
        <v>-4639960</v>
      </c>
      <c r="G742" s="46" t="e">
        <f>MATCH(F742*Calc!$R$12,Calc!$K$1:$K$774,1)</f>
        <v>#N/A</v>
      </c>
      <c r="H742" s="46" t="e">
        <f>INDEX(Calc!$K$1:$K$774,G742)</f>
        <v>#N/A</v>
      </c>
      <c r="I742" s="46" t="e">
        <f>H742+Calc!K742</f>
        <v>#N/A</v>
      </c>
      <c r="J742" s="46" t="e">
        <f>ABS(Show!$A$4-I742)/(Show!$A$4/100)</f>
        <v>#N/A</v>
      </c>
      <c r="K742" s="45">
        <f>INDEX(Calc!L742:P742,Show!$B$4)</f>
        <v>4640000</v>
      </c>
      <c r="L742" s="46">
        <f t="shared" si="604"/>
        <v>4640000</v>
      </c>
      <c r="M742" s="46">
        <f>L742</f>
        <v>4640000</v>
      </c>
      <c r="N742" s="46">
        <f>L742</f>
        <v>4640000</v>
      </c>
      <c r="O742" s="46">
        <f t="shared" si="605"/>
        <v>4700000</v>
      </c>
      <c r="P742" s="46">
        <f t="shared" ref="P742" si="669">O738</f>
        <v>4700000</v>
      </c>
    </row>
    <row r="743" spans="1:16" x14ac:dyDescent="0.25">
      <c r="A743" s="45">
        <f>1/((1/Show!$A$4)-(1/Calc!K743))</f>
        <v>40.00034483055888</v>
      </c>
      <c r="B743" s="45">
        <f>MATCH(A743*Calc!$R$12,Calc!$K$1:$K$774,1)</f>
        <v>256</v>
      </c>
      <c r="C743" s="45">
        <f>INDEX(Calc!$K$1:$K$774,B743)</f>
        <v>38.299999999999997</v>
      </c>
      <c r="D743" s="45">
        <f>1/(1/C743+1/Calc!K743)</f>
        <v>38.299683862523288</v>
      </c>
      <c r="E743" s="45">
        <f>ABS(Show!$A$4-D743)/(Show!$A$4/100)</f>
        <v>4.2507903436917793</v>
      </c>
      <c r="F743" s="46">
        <f>Show!$A$4-Calc!L743</f>
        <v>-4749960</v>
      </c>
      <c r="G743" s="46" t="e">
        <f>MATCH(F743*Calc!$R$12,Calc!$K$1:$K$774,1)</f>
        <v>#N/A</v>
      </c>
      <c r="H743" s="46" t="e">
        <f>INDEX(Calc!$K$1:$K$774,G743)</f>
        <v>#N/A</v>
      </c>
      <c r="I743" s="46" t="e">
        <f>H743+Calc!K743</f>
        <v>#N/A</v>
      </c>
      <c r="J743" s="46" t="e">
        <f>ABS(Show!$A$4-I743)/(Show!$A$4/100)</f>
        <v>#N/A</v>
      </c>
      <c r="K743" s="45">
        <f>INDEX(Calc!L743:P743,Show!$B$4)</f>
        <v>4640000</v>
      </c>
      <c r="L743" s="46">
        <f t="shared" ref="L743:L773" si="670">L71*10000000</f>
        <v>4750000</v>
      </c>
      <c r="M743" s="46">
        <f>L742</f>
        <v>4640000</v>
      </c>
      <c r="N743" s="46">
        <f>L742</f>
        <v>4640000</v>
      </c>
      <c r="O743" s="46">
        <f t="shared" ref="O743:O773" si="671">O71*10000000</f>
        <v>4700000</v>
      </c>
      <c r="P743" s="46">
        <f t="shared" ref="P743" si="672">O738</f>
        <v>4700000</v>
      </c>
    </row>
    <row r="744" spans="1:16" x14ac:dyDescent="0.25">
      <c r="A744" s="45">
        <f>1/((1/Show!$A$4)-(1/Calc!K744))</f>
        <v>40.00034483055888</v>
      </c>
      <c r="B744" s="45">
        <f>MATCH(A744*Calc!$R$12,Calc!$K$1:$K$774,1)</f>
        <v>256</v>
      </c>
      <c r="C744" s="45">
        <f>INDEX(Calc!$K$1:$K$774,B744)</f>
        <v>38.299999999999997</v>
      </c>
      <c r="D744" s="45">
        <f>1/(1/C744+1/Calc!K744)</f>
        <v>38.299683862523288</v>
      </c>
      <c r="E744" s="45">
        <f>ABS(Show!$A$4-D744)/(Show!$A$4/100)</f>
        <v>4.2507903436917793</v>
      </c>
      <c r="F744" s="46">
        <f>Show!$A$4-Calc!L744</f>
        <v>-4869960</v>
      </c>
      <c r="G744" s="46" t="e">
        <f>MATCH(F744*Calc!$R$12,Calc!$K$1:$K$774,1)</f>
        <v>#N/A</v>
      </c>
      <c r="H744" s="46" t="e">
        <f>INDEX(Calc!$K$1:$K$774,G744)</f>
        <v>#N/A</v>
      </c>
      <c r="I744" s="46" t="e">
        <f>H744+Calc!K744</f>
        <v>#N/A</v>
      </c>
      <c r="J744" s="46" t="e">
        <f>ABS(Show!$A$4-I744)/(Show!$A$4/100)</f>
        <v>#N/A</v>
      </c>
      <c r="K744" s="45">
        <f>INDEX(Calc!L744:P744,Show!$B$4)</f>
        <v>4640000</v>
      </c>
      <c r="L744" s="46">
        <f t="shared" si="670"/>
        <v>4870000</v>
      </c>
      <c r="M744" s="46">
        <f>L744</f>
        <v>4870000</v>
      </c>
      <c r="N744" s="46">
        <f>L742</f>
        <v>4640000</v>
      </c>
      <c r="O744" s="46">
        <f t="shared" si="671"/>
        <v>4700000</v>
      </c>
      <c r="P744" s="46">
        <f t="shared" ref="P744" si="673">O738</f>
        <v>4700000</v>
      </c>
    </row>
    <row r="745" spans="1:16" x14ac:dyDescent="0.25">
      <c r="A745" s="45">
        <f>1/((1/Show!$A$4)-(1/Calc!K745))</f>
        <v>40.000313113996981</v>
      </c>
      <c r="B745" s="45">
        <f>MATCH(A745*Calc!$R$12,Calc!$K$1:$K$774,1)</f>
        <v>256</v>
      </c>
      <c r="C745" s="45">
        <f>INDEX(Calc!$K$1:$K$774,B745)</f>
        <v>38.299999999999997</v>
      </c>
      <c r="D745" s="45">
        <f>1/(1/C745+1/Calc!K745)</f>
        <v>38.299712939529236</v>
      </c>
      <c r="E745" s="45">
        <f>ABS(Show!$A$4-D745)/(Show!$A$4/100)</f>
        <v>4.2507176511769096</v>
      </c>
      <c r="F745" s="46">
        <f>Show!$A$4-Calc!L745</f>
        <v>-4989960</v>
      </c>
      <c r="G745" s="46" t="e">
        <f>MATCH(F745*Calc!$R$12,Calc!$K$1:$K$774,1)</f>
        <v>#N/A</v>
      </c>
      <c r="H745" s="46" t="e">
        <f>INDEX(Calc!$K$1:$K$774,G745)</f>
        <v>#N/A</v>
      </c>
      <c r="I745" s="46" t="e">
        <f>H745+Calc!K745</f>
        <v>#N/A</v>
      </c>
      <c r="J745" s="46" t="e">
        <f>ABS(Show!$A$4-I745)/(Show!$A$4/100)</f>
        <v>#N/A</v>
      </c>
      <c r="K745" s="45">
        <f>INDEX(Calc!L745:P745,Show!$B$4)</f>
        <v>5110000</v>
      </c>
      <c r="L745" s="46">
        <f t="shared" si="670"/>
        <v>4990000</v>
      </c>
      <c r="M745" s="46">
        <f>L744</f>
        <v>4870000</v>
      </c>
      <c r="N745" s="46">
        <f>L746</f>
        <v>5110000</v>
      </c>
      <c r="O745" s="46">
        <f t="shared" si="671"/>
        <v>4700000</v>
      </c>
      <c r="P745" s="46">
        <f t="shared" ref="P745" si="674">O738</f>
        <v>4700000</v>
      </c>
    </row>
    <row r="746" spans="1:16" x14ac:dyDescent="0.25">
      <c r="A746" s="45">
        <f>1/((1/Show!$A$4)-(1/Calc!K746))</f>
        <v>40.000313113996981</v>
      </c>
      <c r="B746" s="45">
        <f>MATCH(A746*Calc!$R$12,Calc!$K$1:$K$774,1)</f>
        <v>256</v>
      </c>
      <c r="C746" s="45">
        <f>INDEX(Calc!$K$1:$K$774,B746)</f>
        <v>38.299999999999997</v>
      </c>
      <c r="D746" s="45">
        <f>1/(1/C746+1/Calc!K746)</f>
        <v>38.299712939529236</v>
      </c>
      <c r="E746" s="45">
        <f>ABS(Show!$A$4-D746)/(Show!$A$4/100)</f>
        <v>4.2507176511769096</v>
      </c>
      <c r="F746" s="46">
        <f>Show!$A$4-Calc!L746</f>
        <v>-5109960</v>
      </c>
      <c r="G746" s="46" t="e">
        <f>MATCH(F746*Calc!$R$12,Calc!$K$1:$K$774,1)</f>
        <v>#N/A</v>
      </c>
      <c r="H746" s="46" t="e">
        <f>INDEX(Calc!$K$1:$K$774,G746)</f>
        <v>#N/A</v>
      </c>
      <c r="I746" s="46" t="e">
        <f>H746+Calc!K746</f>
        <v>#N/A</v>
      </c>
      <c r="J746" s="46" t="e">
        <f>ABS(Show!$A$4-I746)/(Show!$A$4/100)</f>
        <v>#N/A</v>
      </c>
      <c r="K746" s="45">
        <f>INDEX(Calc!L746:P746,Show!$B$4)</f>
        <v>5110000</v>
      </c>
      <c r="L746" s="46">
        <f t="shared" si="670"/>
        <v>5110000</v>
      </c>
      <c r="M746" s="46">
        <f>L746</f>
        <v>5110000</v>
      </c>
      <c r="N746" s="46">
        <f>L746</f>
        <v>5110000</v>
      </c>
      <c r="O746" s="46">
        <f t="shared" si="671"/>
        <v>5600000.0000000009</v>
      </c>
      <c r="P746" s="46">
        <f t="shared" ref="P746" si="675">O738</f>
        <v>4700000</v>
      </c>
    </row>
    <row r="747" spans="1:16" x14ac:dyDescent="0.25">
      <c r="A747" s="45">
        <f>1/((1/Show!$A$4)-(1/Calc!K747))</f>
        <v>40.000313113996981</v>
      </c>
      <c r="B747" s="45">
        <f>MATCH(A747*Calc!$R$12,Calc!$K$1:$K$774,1)</f>
        <v>256</v>
      </c>
      <c r="C747" s="45">
        <f>INDEX(Calc!$K$1:$K$774,B747)</f>
        <v>38.299999999999997</v>
      </c>
      <c r="D747" s="45">
        <f>1/(1/C747+1/Calc!K747)</f>
        <v>38.299712939529236</v>
      </c>
      <c r="E747" s="45">
        <f>ABS(Show!$A$4-D747)/(Show!$A$4/100)</f>
        <v>4.2507176511769096</v>
      </c>
      <c r="F747" s="46">
        <f>Show!$A$4-Calc!L747</f>
        <v>-5229960</v>
      </c>
      <c r="G747" s="46" t="e">
        <f>MATCH(F747*Calc!$R$12,Calc!$K$1:$K$774,1)</f>
        <v>#N/A</v>
      </c>
      <c r="H747" s="46" t="e">
        <f>INDEX(Calc!$K$1:$K$774,G747)</f>
        <v>#N/A</v>
      </c>
      <c r="I747" s="46" t="e">
        <f>H747+Calc!K747</f>
        <v>#N/A</v>
      </c>
      <c r="J747" s="46" t="e">
        <f>ABS(Show!$A$4-I747)/(Show!$A$4/100)</f>
        <v>#N/A</v>
      </c>
      <c r="K747" s="45">
        <f>INDEX(Calc!L747:P747,Show!$B$4)</f>
        <v>5110000</v>
      </c>
      <c r="L747" s="46">
        <f t="shared" si="670"/>
        <v>5230000</v>
      </c>
      <c r="M747" s="46">
        <f>L746</f>
        <v>5110000</v>
      </c>
      <c r="N747" s="46">
        <f>L746</f>
        <v>5110000</v>
      </c>
      <c r="O747" s="46">
        <f t="shared" si="671"/>
        <v>5600000.0000000009</v>
      </c>
      <c r="P747" s="46">
        <f t="shared" ref="P747" si="676">O738</f>
        <v>4700000</v>
      </c>
    </row>
    <row r="748" spans="1:16" x14ac:dyDescent="0.25">
      <c r="A748" s="45">
        <f>1/((1/Show!$A$4)-(1/Calc!K748))</f>
        <v>40.000313113996981</v>
      </c>
      <c r="B748" s="45">
        <f>MATCH(A748*Calc!$R$12,Calc!$K$1:$K$774,1)</f>
        <v>256</v>
      </c>
      <c r="C748" s="45">
        <f>INDEX(Calc!$K$1:$K$774,B748)</f>
        <v>38.299999999999997</v>
      </c>
      <c r="D748" s="45">
        <f>1/(1/C748+1/Calc!K748)</f>
        <v>38.299712939529236</v>
      </c>
      <c r="E748" s="45">
        <f>ABS(Show!$A$4-D748)/(Show!$A$4/100)</f>
        <v>4.2507176511769096</v>
      </c>
      <c r="F748" s="46">
        <f>Show!$A$4-Calc!L748</f>
        <v>-5359960</v>
      </c>
      <c r="G748" s="46" t="e">
        <f>MATCH(F748*Calc!$R$12,Calc!$K$1:$K$774,1)</f>
        <v>#N/A</v>
      </c>
      <c r="H748" s="46" t="e">
        <f>INDEX(Calc!$K$1:$K$774,G748)</f>
        <v>#N/A</v>
      </c>
      <c r="I748" s="46" t="e">
        <f>H748+Calc!K748</f>
        <v>#N/A</v>
      </c>
      <c r="J748" s="46" t="e">
        <f>ABS(Show!$A$4-I748)/(Show!$A$4/100)</f>
        <v>#N/A</v>
      </c>
      <c r="K748" s="45">
        <f>INDEX(Calc!L748:P748,Show!$B$4)</f>
        <v>5110000</v>
      </c>
      <c r="L748" s="46">
        <f t="shared" si="670"/>
        <v>5360000</v>
      </c>
      <c r="M748" s="46">
        <f>L748</f>
        <v>5360000</v>
      </c>
      <c r="N748" s="46">
        <f>L746</f>
        <v>5110000</v>
      </c>
      <c r="O748" s="46">
        <f t="shared" si="671"/>
        <v>5600000.0000000009</v>
      </c>
      <c r="P748" s="46">
        <f t="shared" ref="P748" si="677">O738</f>
        <v>4700000</v>
      </c>
    </row>
    <row r="749" spans="1:16" x14ac:dyDescent="0.25">
      <c r="A749" s="45">
        <f>1/((1/Show!$A$4)-(1/Calc!K749))</f>
        <v>40.000284699535221</v>
      </c>
      <c r="B749" s="45">
        <f>MATCH(A749*Calc!$R$12,Calc!$K$1:$K$774,1)</f>
        <v>256</v>
      </c>
      <c r="C749" s="45">
        <f>INDEX(Calc!$K$1:$K$774,B749)</f>
        <v>38.299999999999997</v>
      </c>
      <c r="D749" s="45">
        <f>1/(1/C749+1/Calc!K749)</f>
        <v>38.299738989323259</v>
      </c>
      <c r="E749" s="45">
        <f>ABS(Show!$A$4-D749)/(Show!$A$4/100)</f>
        <v>4.2506525266918516</v>
      </c>
      <c r="F749" s="46">
        <f>Show!$A$4-Calc!L749</f>
        <v>-5489959.9999999991</v>
      </c>
      <c r="G749" s="46" t="e">
        <f>MATCH(F749*Calc!$R$12,Calc!$K$1:$K$774,1)</f>
        <v>#N/A</v>
      </c>
      <c r="H749" s="46" t="e">
        <f>INDEX(Calc!$K$1:$K$774,G749)</f>
        <v>#N/A</v>
      </c>
      <c r="I749" s="46" t="e">
        <f>H749+Calc!K749</f>
        <v>#N/A</v>
      </c>
      <c r="J749" s="46" t="e">
        <f>ABS(Show!$A$4-I749)/(Show!$A$4/100)</f>
        <v>#N/A</v>
      </c>
      <c r="K749" s="45">
        <f>INDEX(Calc!L749:P749,Show!$B$4)</f>
        <v>5620000.0000000009</v>
      </c>
      <c r="L749" s="46">
        <f t="shared" si="670"/>
        <v>5489999.9999999991</v>
      </c>
      <c r="M749" s="46">
        <f>L748</f>
        <v>5360000</v>
      </c>
      <c r="N749" s="46">
        <f>L750</f>
        <v>5620000.0000000009</v>
      </c>
      <c r="O749" s="46">
        <f t="shared" si="671"/>
        <v>5600000.0000000009</v>
      </c>
      <c r="P749" s="46">
        <f t="shared" ref="P749" si="678">O738</f>
        <v>4700000</v>
      </c>
    </row>
    <row r="750" spans="1:16" x14ac:dyDescent="0.25">
      <c r="A750" s="45">
        <f>1/((1/Show!$A$4)-(1/Calc!K750))</f>
        <v>40.000284699535221</v>
      </c>
      <c r="B750" s="45">
        <f>MATCH(A750*Calc!$R$12,Calc!$K$1:$K$774,1)</f>
        <v>256</v>
      </c>
      <c r="C750" s="45">
        <f>INDEX(Calc!$K$1:$K$774,B750)</f>
        <v>38.299999999999997</v>
      </c>
      <c r="D750" s="45">
        <f>1/(1/C750+1/Calc!K750)</f>
        <v>38.299738989323259</v>
      </c>
      <c r="E750" s="45">
        <f>ABS(Show!$A$4-D750)/(Show!$A$4/100)</f>
        <v>4.2506525266918516</v>
      </c>
      <c r="F750" s="46">
        <f>Show!$A$4-Calc!L750</f>
        <v>-5619960.0000000009</v>
      </c>
      <c r="G750" s="46" t="e">
        <f>MATCH(F750*Calc!$R$12,Calc!$K$1:$K$774,1)</f>
        <v>#N/A</v>
      </c>
      <c r="H750" s="46" t="e">
        <f>INDEX(Calc!$K$1:$K$774,G750)</f>
        <v>#N/A</v>
      </c>
      <c r="I750" s="46" t="e">
        <f>H750+Calc!K750</f>
        <v>#N/A</v>
      </c>
      <c r="J750" s="46" t="e">
        <f>ABS(Show!$A$4-I750)/(Show!$A$4/100)</f>
        <v>#N/A</v>
      </c>
      <c r="K750" s="45">
        <f>INDEX(Calc!L750:P750,Show!$B$4)</f>
        <v>5620000.0000000009</v>
      </c>
      <c r="L750" s="46">
        <f t="shared" si="670"/>
        <v>5620000.0000000009</v>
      </c>
      <c r="M750" s="46">
        <f>L750</f>
        <v>5620000.0000000009</v>
      </c>
      <c r="N750" s="46">
        <f>L750</f>
        <v>5620000.0000000009</v>
      </c>
      <c r="O750" s="46">
        <f t="shared" si="671"/>
        <v>5600000.0000000009</v>
      </c>
      <c r="P750" s="46">
        <f t="shared" ref="P750" si="679">O754</f>
        <v>6800000.0000000009</v>
      </c>
    </row>
    <row r="751" spans="1:16" x14ac:dyDescent="0.25">
      <c r="A751" s="45">
        <f>1/((1/Show!$A$4)-(1/Calc!K751))</f>
        <v>40.000284699535221</v>
      </c>
      <c r="B751" s="45">
        <f>MATCH(A751*Calc!$R$12,Calc!$K$1:$K$774,1)</f>
        <v>256</v>
      </c>
      <c r="C751" s="45">
        <f>INDEX(Calc!$K$1:$K$774,B751)</f>
        <v>38.299999999999997</v>
      </c>
      <c r="D751" s="45">
        <f>1/(1/C751+1/Calc!K751)</f>
        <v>38.299738989323259</v>
      </c>
      <c r="E751" s="45">
        <f>ABS(Show!$A$4-D751)/(Show!$A$4/100)</f>
        <v>4.2506525266918516</v>
      </c>
      <c r="F751" s="46">
        <f>Show!$A$4-Calc!L751</f>
        <v>-5759960.0000000009</v>
      </c>
      <c r="G751" s="46" t="e">
        <f>MATCH(F751*Calc!$R$12,Calc!$K$1:$K$774,1)</f>
        <v>#N/A</v>
      </c>
      <c r="H751" s="46" t="e">
        <f>INDEX(Calc!$K$1:$K$774,G751)</f>
        <v>#N/A</v>
      </c>
      <c r="I751" s="46" t="e">
        <f>H751+Calc!K751</f>
        <v>#N/A</v>
      </c>
      <c r="J751" s="46" t="e">
        <f>ABS(Show!$A$4-I751)/(Show!$A$4/100)</f>
        <v>#N/A</v>
      </c>
      <c r="K751" s="45">
        <f>INDEX(Calc!L751:P751,Show!$B$4)</f>
        <v>5620000.0000000009</v>
      </c>
      <c r="L751" s="46">
        <f t="shared" si="670"/>
        <v>5760000.0000000009</v>
      </c>
      <c r="M751" s="46">
        <f>L750</f>
        <v>5620000.0000000009</v>
      </c>
      <c r="N751" s="46">
        <f>L750</f>
        <v>5620000.0000000009</v>
      </c>
      <c r="O751" s="46">
        <f t="shared" si="671"/>
        <v>5600000.0000000009</v>
      </c>
      <c r="P751" s="46">
        <f t="shared" ref="P751" si="680">O754</f>
        <v>6800000.0000000009</v>
      </c>
    </row>
    <row r="752" spans="1:16" x14ac:dyDescent="0.25">
      <c r="A752" s="45">
        <f>1/((1/Show!$A$4)-(1/Calc!K752))</f>
        <v>40.000284699535221</v>
      </c>
      <c r="B752" s="45">
        <f>MATCH(A752*Calc!$R$12,Calc!$K$1:$K$774,1)</f>
        <v>256</v>
      </c>
      <c r="C752" s="45">
        <f>INDEX(Calc!$K$1:$K$774,B752)</f>
        <v>38.299999999999997</v>
      </c>
      <c r="D752" s="45">
        <f>1/(1/C752+1/Calc!K752)</f>
        <v>38.299738989323259</v>
      </c>
      <c r="E752" s="45">
        <f>ABS(Show!$A$4-D752)/(Show!$A$4/100)</f>
        <v>4.2506525266918516</v>
      </c>
      <c r="F752" s="46">
        <f>Show!$A$4-Calc!L752</f>
        <v>-5899960</v>
      </c>
      <c r="G752" s="46" t="e">
        <f>MATCH(F752*Calc!$R$12,Calc!$K$1:$K$774,1)</f>
        <v>#N/A</v>
      </c>
      <c r="H752" s="46" t="e">
        <f>INDEX(Calc!$K$1:$K$774,G752)</f>
        <v>#N/A</v>
      </c>
      <c r="I752" s="46" t="e">
        <f>H752+Calc!K752</f>
        <v>#N/A</v>
      </c>
      <c r="J752" s="46" t="e">
        <f>ABS(Show!$A$4-I752)/(Show!$A$4/100)</f>
        <v>#N/A</v>
      </c>
      <c r="K752" s="45">
        <f>INDEX(Calc!L752:P752,Show!$B$4)</f>
        <v>5620000.0000000009</v>
      </c>
      <c r="L752" s="46">
        <f t="shared" si="670"/>
        <v>5900000</v>
      </c>
      <c r="M752" s="46">
        <f>L752</f>
        <v>5900000</v>
      </c>
      <c r="N752" s="46">
        <f>L750</f>
        <v>5620000.0000000009</v>
      </c>
      <c r="O752" s="46">
        <f t="shared" si="671"/>
        <v>5600000.0000000009</v>
      </c>
      <c r="P752" s="46">
        <f t="shared" ref="P752" si="681">O754</f>
        <v>6800000.0000000009</v>
      </c>
    </row>
    <row r="753" spans="1:16" x14ac:dyDescent="0.25">
      <c r="A753" s="45">
        <f>1/((1/Show!$A$4)-(1/Calc!K753))</f>
        <v>40.000258483091976</v>
      </c>
      <c r="B753" s="45">
        <f>MATCH(A753*Calc!$R$12,Calc!$K$1:$K$774,1)</f>
        <v>256</v>
      </c>
      <c r="C753" s="45">
        <f>INDEX(Calc!$K$1:$K$774,B753)</f>
        <v>38.299999999999997</v>
      </c>
      <c r="D753" s="45">
        <f>1/(1/C753+1/Calc!K753)</f>
        <v>38.299763024083383</v>
      </c>
      <c r="E753" s="45">
        <f>ABS(Show!$A$4-D753)/(Show!$A$4/100)</f>
        <v>4.2505924397915429</v>
      </c>
      <c r="F753" s="46">
        <f>Show!$A$4-Calc!L753</f>
        <v>-6039960</v>
      </c>
      <c r="G753" s="46" t="e">
        <f>MATCH(F753*Calc!$R$12,Calc!$K$1:$K$774,1)</f>
        <v>#N/A</v>
      </c>
      <c r="H753" s="46" t="e">
        <f>INDEX(Calc!$K$1:$K$774,G753)</f>
        <v>#N/A</v>
      </c>
      <c r="I753" s="46" t="e">
        <f>H753+Calc!K753</f>
        <v>#N/A</v>
      </c>
      <c r="J753" s="46" t="e">
        <f>ABS(Show!$A$4-I753)/(Show!$A$4/100)</f>
        <v>#N/A</v>
      </c>
      <c r="K753" s="45">
        <f>INDEX(Calc!L753:P753,Show!$B$4)</f>
        <v>6190000</v>
      </c>
      <c r="L753" s="46">
        <f t="shared" si="670"/>
        <v>6040000</v>
      </c>
      <c r="M753" s="46">
        <f>L752</f>
        <v>5900000</v>
      </c>
      <c r="N753" s="46">
        <f>L754</f>
        <v>6190000</v>
      </c>
      <c r="O753" s="46">
        <f t="shared" si="671"/>
        <v>5600000.0000000009</v>
      </c>
      <c r="P753" s="46">
        <f t="shared" ref="P753" si="682">O754</f>
        <v>6800000.0000000009</v>
      </c>
    </row>
    <row r="754" spans="1:16" x14ac:dyDescent="0.25">
      <c r="A754" s="45">
        <f>1/((1/Show!$A$4)-(1/Calc!K754))</f>
        <v>40.000258483091976</v>
      </c>
      <c r="B754" s="45">
        <f>MATCH(A754*Calc!$R$12,Calc!$K$1:$K$774,1)</f>
        <v>256</v>
      </c>
      <c r="C754" s="45">
        <f>INDEX(Calc!$K$1:$K$774,B754)</f>
        <v>38.299999999999997</v>
      </c>
      <c r="D754" s="45">
        <f>1/(1/C754+1/Calc!K754)</f>
        <v>38.299763024083383</v>
      </c>
      <c r="E754" s="45">
        <f>ABS(Show!$A$4-D754)/(Show!$A$4/100)</f>
        <v>4.2505924397915429</v>
      </c>
      <c r="F754" s="46">
        <f>Show!$A$4-Calc!L754</f>
        <v>-6189960</v>
      </c>
      <c r="G754" s="46" t="e">
        <f>MATCH(F754*Calc!$R$12,Calc!$K$1:$K$774,1)</f>
        <v>#N/A</v>
      </c>
      <c r="H754" s="46" t="e">
        <f>INDEX(Calc!$K$1:$K$774,G754)</f>
        <v>#N/A</v>
      </c>
      <c r="I754" s="46" t="e">
        <f>H754+Calc!K754</f>
        <v>#N/A</v>
      </c>
      <c r="J754" s="46" t="e">
        <f>ABS(Show!$A$4-I754)/(Show!$A$4/100)</f>
        <v>#N/A</v>
      </c>
      <c r="K754" s="45">
        <f>INDEX(Calc!L754:P754,Show!$B$4)</f>
        <v>6190000</v>
      </c>
      <c r="L754" s="46">
        <f t="shared" si="670"/>
        <v>6190000</v>
      </c>
      <c r="M754" s="46">
        <f>L754</f>
        <v>6190000</v>
      </c>
      <c r="N754" s="46">
        <f>L754</f>
        <v>6190000</v>
      </c>
      <c r="O754" s="46">
        <f t="shared" si="671"/>
        <v>6800000.0000000009</v>
      </c>
      <c r="P754" s="46">
        <f t="shared" ref="P754" si="683">O754</f>
        <v>6800000.0000000009</v>
      </c>
    </row>
    <row r="755" spans="1:16" x14ac:dyDescent="0.25">
      <c r="A755" s="45">
        <f>1/((1/Show!$A$4)-(1/Calc!K755))</f>
        <v>40.000258483091976</v>
      </c>
      <c r="B755" s="45">
        <f>MATCH(A755*Calc!$R$12,Calc!$K$1:$K$774,1)</f>
        <v>256</v>
      </c>
      <c r="C755" s="45">
        <f>INDEX(Calc!$K$1:$K$774,B755)</f>
        <v>38.299999999999997</v>
      </c>
      <c r="D755" s="45">
        <f>1/(1/C755+1/Calc!K755)</f>
        <v>38.299763024083383</v>
      </c>
      <c r="E755" s="45">
        <f>ABS(Show!$A$4-D755)/(Show!$A$4/100)</f>
        <v>4.2505924397915429</v>
      </c>
      <c r="F755" s="46">
        <f>Show!$A$4-Calc!L755</f>
        <v>-6339960</v>
      </c>
      <c r="G755" s="46" t="e">
        <f>MATCH(F755*Calc!$R$12,Calc!$K$1:$K$774,1)</f>
        <v>#N/A</v>
      </c>
      <c r="H755" s="46" t="e">
        <f>INDEX(Calc!$K$1:$K$774,G755)</f>
        <v>#N/A</v>
      </c>
      <c r="I755" s="46" t="e">
        <f>H755+Calc!K755</f>
        <v>#N/A</v>
      </c>
      <c r="J755" s="46" t="e">
        <f>ABS(Show!$A$4-I755)/(Show!$A$4/100)</f>
        <v>#N/A</v>
      </c>
      <c r="K755" s="45">
        <f>INDEX(Calc!L755:P755,Show!$B$4)</f>
        <v>6190000</v>
      </c>
      <c r="L755" s="46">
        <f t="shared" si="670"/>
        <v>6340000</v>
      </c>
      <c r="M755" s="46">
        <f>L754</f>
        <v>6190000</v>
      </c>
      <c r="N755" s="46">
        <f>L754</f>
        <v>6190000</v>
      </c>
      <c r="O755" s="46">
        <f t="shared" si="671"/>
        <v>6800000.0000000009</v>
      </c>
      <c r="P755" s="46">
        <f t="shared" ref="P755" si="684">O754</f>
        <v>6800000.0000000009</v>
      </c>
    </row>
    <row r="756" spans="1:16" x14ac:dyDescent="0.25">
      <c r="A756" s="45">
        <f>1/((1/Show!$A$4)-(1/Calc!K756))</f>
        <v>40.000258483091976</v>
      </c>
      <c r="B756" s="45">
        <f>MATCH(A756*Calc!$R$12,Calc!$K$1:$K$774,1)</f>
        <v>256</v>
      </c>
      <c r="C756" s="45">
        <f>INDEX(Calc!$K$1:$K$774,B756)</f>
        <v>38.299999999999997</v>
      </c>
      <c r="D756" s="45">
        <f>1/(1/C756+1/Calc!K756)</f>
        <v>38.299763024083383</v>
      </c>
      <c r="E756" s="45">
        <f>ABS(Show!$A$4-D756)/(Show!$A$4/100)</f>
        <v>4.2505924397915429</v>
      </c>
      <c r="F756" s="46">
        <f>Show!$A$4-Calc!L756</f>
        <v>-6489960</v>
      </c>
      <c r="G756" s="46" t="e">
        <f>MATCH(F756*Calc!$R$12,Calc!$K$1:$K$774,1)</f>
        <v>#N/A</v>
      </c>
      <c r="H756" s="46" t="e">
        <f>INDEX(Calc!$K$1:$K$774,G756)</f>
        <v>#N/A</v>
      </c>
      <c r="I756" s="46" t="e">
        <f>H756+Calc!K756</f>
        <v>#N/A</v>
      </c>
      <c r="J756" s="46" t="e">
        <f>ABS(Show!$A$4-I756)/(Show!$A$4/100)</f>
        <v>#N/A</v>
      </c>
      <c r="K756" s="45">
        <f>INDEX(Calc!L756:P756,Show!$B$4)</f>
        <v>6190000</v>
      </c>
      <c r="L756" s="46">
        <f t="shared" si="670"/>
        <v>6490000</v>
      </c>
      <c r="M756" s="46">
        <f>L756</f>
        <v>6490000</v>
      </c>
      <c r="N756" s="46">
        <f>L754</f>
        <v>6190000</v>
      </c>
      <c r="O756" s="46">
        <f t="shared" si="671"/>
        <v>6800000.0000000009</v>
      </c>
      <c r="P756" s="46">
        <f t="shared" ref="P756" si="685">O754</f>
        <v>6800000.0000000009</v>
      </c>
    </row>
    <row r="757" spans="1:16" x14ac:dyDescent="0.25">
      <c r="A757" s="45">
        <f>1/((1/Show!$A$4)-(1/Calc!K757))</f>
        <v>40.000234949985021</v>
      </c>
      <c r="B757" s="45">
        <f>MATCH(A757*Calc!$R$12,Calc!$K$1:$K$774,1)</f>
        <v>256</v>
      </c>
      <c r="C757" s="45">
        <f>INDEX(Calc!$K$1:$K$774,B757)</f>
        <v>38.299999999999997</v>
      </c>
      <c r="D757" s="45">
        <f>1/(1/C757+1/Calc!K757)</f>
        <v>38.29978459886194</v>
      </c>
      <c r="E757" s="45">
        <f>ABS(Show!$A$4-D757)/(Show!$A$4/100)</f>
        <v>4.2505385028451492</v>
      </c>
      <c r="F757" s="46">
        <f>Show!$A$4-Calc!L757</f>
        <v>-6649960</v>
      </c>
      <c r="G757" s="46" t="e">
        <f>MATCH(F757*Calc!$R$12,Calc!$K$1:$K$774,1)</f>
        <v>#N/A</v>
      </c>
      <c r="H757" s="46" t="e">
        <f>INDEX(Calc!$K$1:$K$774,G757)</f>
        <v>#N/A</v>
      </c>
      <c r="I757" s="46" t="e">
        <f>H757+Calc!K757</f>
        <v>#N/A</v>
      </c>
      <c r="J757" s="46" t="e">
        <f>ABS(Show!$A$4-I757)/(Show!$A$4/100)</f>
        <v>#N/A</v>
      </c>
      <c r="K757" s="45">
        <f>INDEX(Calc!L757:P757,Show!$B$4)</f>
        <v>6809999.9999999991</v>
      </c>
      <c r="L757" s="46">
        <f t="shared" si="670"/>
        <v>6650000</v>
      </c>
      <c r="M757" s="46">
        <f>L756</f>
        <v>6490000</v>
      </c>
      <c r="N757" s="46">
        <f>L758</f>
        <v>6809999.9999999991</v>
      </c>
      <c r="O757" s="46">
        <f t="shared" si="671"/>
        <v>6800000.0000000009</v>
      </c>
      <c r="P757" s="46">
        <f t="shared" ref="P757" si="686">O754</f>
        <v>6800000.0000000009</v>
      </c>
    </row>
    <row r="758" spans="1:16" x14ac:dyDescent="0.25">
      <c r="A758" s="45">
        <f>1/((1/Show!$A$4)-(1/Calc!K758))</f>
        <v>40.000234949985021</v>
      </c>
      <c r="B758" s="45">
        <f>MATCH(A758*Calc!$R$12,Calc!$K$1:$K$774,1)</f>
        <v>256</v>
      </c>
      <c r="C758" s="45">
        <f>INDEX(Calc!$K$1:$K$774,B758)</f>
        <v>38.299999999999997</v>
      </c>
      <c r="D758" s="45">
        <f>1/(1/C758+1/Calc!K758)</f>
        <v>38.29978459886194</v>
      </c>
      <c r="E758" s="45">
        <f>ABS(Show!$A$4-D758)/(Show!$A$4/100)</f>
        <v>4.2505385028451492</v>
      </c>
      <c r="F758" s="46">
        <f>Show!$A$4-Calc!L758</f>
        <v>-6809959.9999999991</v>
      </c>
      <c r="G758" s="46" t="e">
        <f>MATCH(F758*Calc!$R$12,Calc!$K$1:$K$774,1)</f>
        <v>#N/A</v>
      </c>
      <c r="H758" s="46" t="e">
        <f>INDEX(Calc!$K$1:$K$774,G758)</f>
        <v>#N/A</v>
      </c>
      <c r="I758" s="46" t="e">
        <f>H758+Calc!K758</f>
        <v>#N/A</v>
      </c>
      <c r="J758" s="46" t="e">
        <f>ABS(Show!$A$4-I758)/(Show!$A$4/100)</f>
        <v>#N/A</v>
      </c>
      <c r="K758" s="45">
        <f>INDEX(Calc!L758:P758,Show!$B$4)</f>
        <v>6809999.9999999991</v>
      </c>
      <c r="L758" s="46">
        <f t="shared" si="670"/>
        <v>6809999.9999999991</v>
      </c>
      <c r="M758" s="46">
        <f>L758</f>
        <v>6809999.9999999991</v>
      </c>
      <c r="N758" s="46">
        <f>L758</f>
        <v>6809999.9999999991</v>
      </c>
      <c r="O758" s="46">
        <f t="shared" si="671"/>
        <v>6800000.0000000009</v>
      </c>
      <c r="P758" s="46">
        <f t="shared" ref="P758" si="687">O754</f>
        <v>6800000.0000000009</v>
      </c>
    </row>
    <row r="759" spans="1:16" x14ac:dyDescent="0.25">
      <c r="A759" s="45">
        <f>1/((1/Show!$A$4)-(1/Calc!K759))</f>
        <v>40.000234949985021</v>
      </c>
      <c r="B759" s="45">
        <f>MATCH(A759*Calc!$R$12,Calc!$K$1:$K$774,1)</f>
        <v>256</v>
      </c>
      <c r="C759" s="45">
        <f>INDEX(Calc!$K$1:$K$774,B759)</f>
        <v>38.299999999999997</v>
      </c>
      <c r="D759" s="45">
        <f>1/(1/C759+1/Calc!K759)</f>
        <v>38.29978459886194</v>
      </c>
      <c r="E759" s="45">
        <f>ABS(Show!$A$4-D759)/(Show!$A$4/100)</f>
        <v>4.2505385028451492</v>
      </c>
      <c r="F759" s="46">
        <f>Show!$A$4-Calc!L759</f>
        <v>-6979960</v>
      </c>
      <c r="G759" s="46" t="e">
        <f>MATCH(F759*Calc!$R$12,Calc!$K$1:$K$774,1)</f>
        <v>#N/A</v>
      </c>
      <c r="H759" s="46" t="e">
        <f>INDEX(Calc!$K$1:$K$774,G759)</f>
        <v>#N/A</v>
      </c>
      <c r="I759" s="46" t="e">
        <f>H759+Calc!K759</f>
        <v>#N/A</v>
      </c>
      <c r="J759" s="46" t="e">
        <f>ABS(Show!$A$4-I759)/(Show!$A$4/100)</f>
        <v>#N/A</v>
      </c>
      <c r="K759" s="45">
        <f>INDEX(Calc!L759:P759,Show!$B$4)</f>
        <v>6809999.9999999991</v>
      </c>
      <c r="L759" s="46">
        <f t="shared" si="670"/>
        <v>6980000</v>
      </c>
      <c r="M759" s="46">
        <f>L758</f>
        <v>6809999.9999999991</v>
      </c>
      <c r="N759" s="46">
        <f>L758</f>
        <v>6809999.9999999991</v>
      </c>
      <c r="O759" s="46">
        <f t="shared" si="671"/>
        <v>6800000.0000000009</v>
      </c>
      <c r="P759" s="46">
        <f t="shared" ref="P759" si="688">O754</f>
        <v>6800000.0000000009</v>
      </c>
    </row>
    <row r="760" spans="1:16" x14ac:dyDescent="0.25">
      <c r="A760" s="45">
        <f>1/((1/Show!$A$4)-(1/Calc!K760))</f>
        <v>40.000234949985021</v>
      </c>
      <c r="B760" s="45">
        <f>MATCH(A760*Calc!$R$12,Calc!$K$1:$K$774,1)</f>
        <v>256</v>
      </c>
      <c r="C760" s="45">
        <f>INDEX(Calc!$K$1:$K$774,B760)</f>
        <v>38.299999999999997</v>
      </c>
      <c r="D760" s="45">
        <f>1/(1/C760+1/Calc!K760)</f>
        <v>38.29978459886194</v>
      </c>
      <c r="E760" s="45">
        <f>ABS(Show!$A$4-D760)/(Show!$A$4/100)</f>
        <v>4.2505385028451492</v>
      </c>
      <c r="F760" s="46">
        <f>Show!$A$4-Calc!L760</f>
        <v>-7149960</v>
      </c>
      <c r="G760" s="46" t="e">
        <f>MATCH(F760*Calc!$R$12,Calc!$K$1:$K$774,1)</f>
        <v>#N/A</v>
      </c>
      <c r="H760" s="46" t="e">
        <f>INDEX(Calc!$K$1:$K$774,G760)</f>
        <v>#N/A</v>
      </c>
      <c r="I760" s="46" t="e">
        <f>H760+Calc!K760</f>
        <v>#N/A</v>
      </c>
      <c r="J760" s="46" t="e">
        <f>ABS(Show!$A$4-I760)/(Show!$A$4/100)</f>
        <v>#N/A</v>
      </c>
      <c r="K760" s="45">
        <f>INDEX(Calc!L760:P760,Show!$B$4)</f>
        <v>6809999.9999999991</v>
      </c>
      <c r="L760" s="46">
        <f t="shared" si="670"/>
        <v>7150000</v>
      </c>
      <c r="M760" s="46">
        <f>L760</f>
        <v>7150000</v>
      </c>
      <c r="N760" s="46">
        <f>L758</f>
        <v>6809999.9999999991</v>
      </c>
      <c r="O760" s="46">
        <f t="shared" si="671"/>
        <v>6800000.0000000009</v>
      </c>
      <c r="P760" s="46">
        <f t="shared" ref="P760" si="689">O754</f>
        <v>6800000.0000000009</v>
      </c>
    </row>
    <row r="761" spans="1:16" x14ac:dyDescent="0.25">
      <c r="A761" s="45">
        <f>1/((1/Show!$A$4)-(1/Calc!K761))</f>
        <v>40.000213334471113</v>
      </c>
      <c r="B761" s="45">
        <f>MATCH(A761*Calc!$R$12,Calc!$K$1:$K$774,1)</f>
        <v>256</v>
      </c>
      <c r="C761" s="45">
        <f>INDEX(Calc!$K$1:$K$774,B761)</f>
        <v>38.299999999999997</v>
      </c>
      <c r="D761" s="45">
        <f>1/(1/C761+1/Calc!K761)</f>
        <v>38.299804415665449</v>
      </c>
      <c r="E761" s="45">
        <f>ABS(Show!$A$4-D761)/(Show!$A$4/100)</f>
        <v>4.2504889608363783</v>
      </c>
      <c r="F761" s="46">
        <f>Show!$A$4-Calc!L761</f>
        <v>-7319960</v>
      </c>
      <c r="G761" s="46" t="e">
        <f>MATCH(F761*Calc!$R$12,Calc!$K$1:$K$774,1)</f>
        <v>#N/A</v>
      </c>
      <c r="H761" s="46" t="e">
        <f>INDEX(Calc!$K$1:$K$774,G761)</f>
        <v>#N/A</v>
      </c>
      <c r="I761" s="46" t="e">
        <f>H761+Calc!K761</f>
        <v>#N/A</v>
      </c>
      <c r="J761" s="46" t="e">
        <f>ABS(Show!$A$4-I761)/(Show!$A$4/100)</f>
        <v>#N/A</v>
      </c>
      <c r="K761" s="45">
        <f>INDEX(Calc!L761:P761,Show!$B$4)</f>
        <v>7500000</v>
      </c>
      <c r="L761" s="46">
        <f t="shared" si="670"/>
        <v>7320000</v>
      </c>
      <c r="M761" s="46">
        <f>L760</f>
        <v>7150000</v>
      </c>
      <c r="N761" s="46">
        <f>L762</f>
        <v>7500000</v>
      </c>
      <c r="O761" s="46">
        <f t="shared" si="671"/>
        <v>6800000.0000000009</v>
      </c>
      <c r="P761" s="46">
        <f t="shared" ref="P761" si="690">O754</f>
        <v>6800000.0000000009</v>
      </c>
    </row>
    <row r="762" spans="1:16" x14ac:dyDescent="0.25">
      <c r="A762" s="45">
        <f>1/((1/Show!$A$4)-(1/Calc!K762))</f>
        <v>40.000213334471113</v>
      </c>
      <c r="B762" s="45">
        <f>MATCH(A762*Calc!$R$12,Calc!$K$1:$K$774,1)</f>
        <v>256</v>
      </c>
      <c r="C762" s="45">
        <f>INDEX(Calc!$K$1:$K$774,B762)</f>
        <v>38.299999999999997</v>
      </c>
      <c r="D762" s="45">
        <f>1/(1/C762+1/Calc!K762)</f>
        <v>38.299804415665449</v>
      </c>
      <c r="E762" s="45">
        <f>ABS(Show!$A$4-D762)/(Show!$A$4/100)</f>
        <v>4.2504889608363783</v>
      </c>
      <c r="F762" s="46">
        <f>Show!$A$4-Calc!L762</f>
        <v>-7499960</v>
      </c>
      <c r="G762" s="46" t="e">
        <f>MATCH(F762*Calc!$R$12,Calc!$K$1:$K$774,1)</f>
        <v>#N/A</v>
      </c>
      <c r="H762" s="46" t="e">
        <f>INDEX(Calc!$K$1:$K$774,G762)</f>
        <v>#N/A</v>
      </c>
      <c r="I762" s="46" t="e">
        <f>H762+Calc!K762</f>
        <v>#N/A</v>
      </c>
      <c r="J762" s="46" t="e">
        <f>ABS(Show!$A$4-I762)/(Show!$A$4/100)</f>
        <v>#N/A</v>
      </c>
      <c r="K762" s="45">
        <f>INDEX(Calc!L762:P762,Show!$B$4)</f>
        <v>7500000</v>
      </c>
      <c r="L762" s="46">
        <f t="shared" si="670"/>
        <v>7500000</v>
      </c>
      <c r="M762" s="46">
        <f>L762</f>
        <v>7500000</v>
      </c>
      <c r="N762" s="46">
        <f>L762</f>
        <v>7500000</v>
      </c>
      <c r="O762" s="46">
        <f t="shared" si="671"/>
        <v>8199999.9999999991</v>
      </c>
      <c r="P762" s="46">
        <f t="shared" ref="P762" si="691">O754</f>
        <v>6800000.0000000009</v>
      </c>
    </row>
    <row r="763" spans="1:16" x14ac:dyDescent="0.25">
      <c r="A763" s="45">
        <f>1/((1/Show!$A$4)-(1/Calc!K763))</f>
        <v>40.000213334471113</v>
      </c>
      <c r="B763" s="45">
        <f>MATCH(A763*Calc!$R$12,Calc!$K$1:$K$774,1)</f>
        <v>256</v>
      </c>
      <c r="C763" s="45">
        <f>INDEX(Calc!$K$1:$K$774,B763)</f>
        <v>38.299999999999997</v>
      </c>
      <c r="D763" s="45">
        <f>1/(1/C763+1/Calc!K763)</f>
        <v>38.299804415665449</v>
      </c>
      <c r="E763" s="45">
        <f>ABS(Show!$A$4-D763)/(Show!$A$4/100)</f>
        <v>4.2504889608363783</v>
      </c>
      <c r="F763" s="46">
        <f>Show!$A$4-Calc!L763</f>
        <v>-7679960</v>
      </c>
      <c r="G763" s="46" t="e">
        <f>MATCH(F763*Calc!$R$12,Calc!$K$1:$K$774,1)</f>
        <v>#N/A</v>
      </c>
      <c r="H763" s="46" t="e">
        <f>INDEX(Calc!$K$1:$K$774,G763)</f>
        <v>#N/A</v>
      </c>
      <c r="I763" s="46" t="e">
        <f>H763+Calc!K763</f>
        <v>#N/A</v>
      </c>
      <c r="J763" s="46" t="e">
        <f>ABS(Show!$A$4-I763)/(Show!$A$4/100)</f>
        <v>#N/A</v>
      </c>
      <c r="K763" s="45">
        <f>INDEX(Calc!L763:P763,Show!$B$4)</f>
        <v>7500000</v>
      </c>
      <c r="L763" s="46">
        <f t="shared" si="670"/>
        <v>7680000</v>
      </c>
      <c r="M763" s="46">
        <f>L762</f>
        <v>7500000</v>
      </c>
      <c r="N763" s="46">
        <f>L762</f>
        <v>7500000</v>
      </c>
      <c r="O763" s="46">
        <f t="shared" si="671"/>
        <v>8199999.9999999991</v>
      </c>
      <c r="P763" s="46">
        <f t="shared" ref="P763" si="692">O754</f>
        <v>6800000.0000000009</v>
      </c>
    </row>
    <row r="764" spans="1:16" x14ac:dyDescent="0.25">
      <c r="A764" s="45">
        <f>1/((1/Show!$A$4)-(1/Calc!K764))</f>
        <v>40.000213334471113</v>
      </c>
      <c r="B764" s="45">
        <f>MATCH(A764*Calc!$R$12,Calc!$K$1:$K$774,1)</f>
        <v>256</v>
      </c>
      <c r="C764" s="45">
        <f>INDEX(Calc!$K$1:$K$774,B764)</f>
        <v>38.299999999999997</v>
      </c>
      <c r="D764" s="45">
        <f>1/(1/C764+1/Calc!K764)</f>
        <v>38.299804415665449</v>
      </c>
      <c r="E764" s="45">
        <f>ABS(Show!$A$4-D764)/(Show!$A$4/100)</f>
        <v>4.2504889608363783</v>
      </c>
      <c r="F764" s="46">
        <f>Show!$A$4-Calc!L764</f>
        <v>-7869960</v>
      </c>
      <c r="G764" s="46" t="e">
        <f>MATCH(F764*Calc!$R$12,Calc!$K$1:$K$774,1)</f>
        <v>#N/A</v>
      </c>
      <c r="H764" s="46" t="e">
        <f>INDEX(Calc!$K$1:$K$774,G764)</f>
        <v>#N/A</v>
      </c>
      <c r="I764" s="46" t="e">
        <f>H764+Calc!K764</f>
        <v>#N/A</v>
      </c>
      <c r="J764" s="46" t="e">
        <f>ABS(Show!$A$4-I764)/(Show!$A$4/100)</f>
        <v>#N/A</v>
      </c>
      <c r="K764" s="45">
        <f>INDEX(Calc!L764:P764,Show!$B$4)</f>
        <v>7500000</v>
      </c>
      <c r="L764" s="46">
        <f t="shared" si="670"/>
        <v>7870000</v>
      </c>
      <c r="M764" s="46">
        <f>L764</f>
        <v>7870000</v>
      </c>
      <c r="N764" s="46">
        <f>L762</f>
        <v>7500000</v>
      </c>
      <c r="O764" s="46">
        <f t="shared" si="671"/>
        <v>8199999.9999999991</v>
      </c>
      <c r="P764" s="46">
        <f t="shared" ref="P764" si="693">O754</f>
        <v>6800000.0000000009</v>
      </c>
    </row>
    <row r="765" spans="1:16" x14ac:dyDescent="0.25">
      <c r="A765" s="45">
        <f>1/((1/Show!$A$4)-(1/Calc!K765))</f>
        <v>40.000193940334256</v>
      </c>
      <c r="B765" s="45">
        <f>MATCH(A765*Calc!$R$12,Calc!$K$1:$K$774,1)</f>
        <v>256</v>
      </c>
      <c r="C765" s="45">
        <f>INDEX(Calc!$K$1:$K$774,B765)</f>
        <v>38.299999999999997</v>
      </c>
      <c r="D765" s="45">
        <f>1/(1/C765+1/Calc!K765)</f>
        <v>38.299822195976951</v>
      </c>
      <c r="E765" s="45">
        <f>ABS(Show!$A$4-D765)/(Show!$A$4/100)</f>
        <v>4.2504445100576227</v>
      </c>
      <c r="F765" s="46">
        <f>Show!$A$4-Calc!L765</f>
        <v>-8059959.9999999991</v>
      </c>
      <c r="G765" s="46" t="e">
        <f>MATCH(F765*Calc!$R$12,Calc!$K$1:$K$774,1)</f>
        <v>#N/A</v>
      </c>
      <c r="H765" s="46" t="e">
        <f>INDEX(Calc!$K$1:$K$774,G765)</f>
        <v>#N/A</v>
      </c>
      <c r="I765" s="46" t="e">
        <f>H765+Calc!K765</f>
        <v>#N/A</v>
      </c>
      <c r="J765" s="46" t="e">
        <f>ABS(Show!$A$4-I765)/(Show!$A$4/100)</f>
        <v>#N/A</v>
      </c>
      <c r="K765" s="45">
        <f>INDEX(Calc!L765:P765,Show!$B$4)</f>
        <v>8250000</v>
      </c>
      <c r="L765" s="46">
        <f t="shared" si="670"/>
        <v>8059999.9999999991</v>
      </c>
      <c r="M765" s="46">
        <f>L764</f>
        <v>7870000</v>
      </c>
      <c r="N765" s="46">
        <f>L766</f>
        <v>8250000</v>
      </c>
      <c r="O765" s="46">
        <f t="shared" si="671"/>
        <v>8199999.9999999991</v>
      </c>
      <c r="P765" s="46">
        <f t="shared" ref="P765" si="694">O754</f>
        <v>6800000.0000000009</v>
      </c>
    </row>
    <row r="766" spans="1:16" x14ac:dyDescent="0.25">
      <c r="A766" s="45">
        <f>1/((1/Show!$A$4)-(1/Calc!K766))</f>
        <v>40.000193940334256</v>
      </c>
      <c r="B766" s="45">
        <f>MATCH(A766*Calc!$R$12,Calc!$K$1:$K$774,1)</f>
        <v>256</v>
      </c>
      <c r="C766" s="45">
        <f>INDEX(Calc!$K$1:$K$774,B766)</f>
        <v>38.299999999999997</v>
      </c>
      <c r="D766" s="45">
        <f>1/(1/C766+1/Calc!K766)</f>
        <v>38.299822195976951</v>
      </c>
      <c r="E766" s="45">
        <f>ABS(Show!$A$4-D766)/(Show!$A$4/100)</f>
        <v>4.2504445100576227</v>
      </c>
      <c r="F766" s="46">
        <f>Show!$A$4-Calc!L766</f>
        <v>-8249960</v>
      </c>
      <c r="G766" s="46" t="e">
        <f>MATCH(F766*Calc!$R$12,Calc!$K$1:$K$774,1)</f>
        <v>#N/A</v>
      </c>
      <c r="H766" s="46" t="e">
        <f>INDEX(Calc!$K$1:$K$774,G766)</f>
        <v>#N/A</v>
      </c>
      <c r="I766" s="46" t="e">
        <f>H766+Calc!K766</f>
        <v>#N/A</v>
      </c>
      <c r="J766" s="46" t="e">
        <f>ABS(Show!$A$4-I766)/(Show!$A$4/100)</f>
        <v>#N/A</v>
      </c>
      <c r="K766" s="45">
        <f>INDEX(Calc!L766:P766,Show!$B$4)</f>
        <v>8250000</v>
      </c>
      <c r="L766" s="46">
        <f t="shared" si="670"/>
        <v>8250000</v>
      </c>
      <c r="M766" s="46">
        <f>L766</f>
        <v>8250000</v>
      </c>
      <c r="N766" s="46">
        <f>L766</f>
        <v>8250000</v>
      </c>
      <c r="O766" s="46">
        <f t="shared" si="671"/>
        <v>8199999.9999999991</v>
      </c>
      <c r="P766" s="46">
        <f t="shared" ref="P766" si="695">O770</f>
        <v>10000000</v>
      </c>
    </row>
    <row r="767" spans="1:16" x14ac:dyDescent="0.25">
      <c r="A767" s="45">
        <f>1/((1/Show!$A$4)-(1/Calc!K767))</f>
        <v>40.000193940334256</v>
      </c>
      <c r="B767" s="45">
        <f>MATCH(A767*Calc!$R$12,Calc!$K$1:$K$774,1)</f>
        <v>256</v>
      </c>
      <c r="C767" s="45">
        <f>INDEX(Calc!$K$1:$K$774,B767)</f>
        <v>38.299999999999997</v>
      </c>
      <c r="D767" s="45">
        <f>1/(1/C767+1/Calc!K767)</f>
        <v>38.299822195976951</v>
      </c>
      <c r="E767" s="45">
        <f>ABS(Show!$A$4-D767)/(Show!$A$4/100)</f>
        <v>4.2504445100576227</v>
      </c>
      <c r="F767" s="46">
        <f>Show!$A$4-Calc!L767</f>
        <v>-8449960</v>
      </c>
      <c r="G767" s="46" t="e">
        <f>MATCH(F767*Calc!$R$12,Calc!$K$1:$K$774,1)</f>
        <v>#N/A</v>
      </c>
      <c r="H767" s="46" t="e">
        <f>INDEX(Calc!$K$1:$K$774,G767)</f>
        <v>#N/A</v>
      </c>
      <c r="I767" s="46" t="e">
        <f>H767+Calc!K767</f>
        <v>#N/A</v>
      </c>
      <c r="J767" s="46" t="e">
        <f>ABS(Show!$A$4-I767)/(Show!$A$4/100)</f>
        <v>#N/A</v>
      </c>
      <c r="K767" s="45">
        <f>INDEX(Calc!L767:P767,Show!$B$4)</f>
        <v>8250000</v>
      </c>
      <c r="L767" s="46">
        <f t="shared" si="670"/>
        <v>8450000</v>
      </c>
      <c r="M767" s="46">
        <f>L766</f>
        <v>8250000</v>
      </c>
      <c r="N767" s="46">
        <f>L766</f>
        <v>8250000</v>
      </c>
      <c r="O767" s="46">
        <f t="shared" si="671"/>
        <v>8199999.9999999991</v>
      </c>
      <c r="P767" s="46">
        <f t="shared" ref="P767" si="696">O770</f>
        <v>10000000</v>
      </c>
    </row>
    <row r="768" spans="1:16" x14ac:dyDescent="0.25">
      <c r="A768" s="45">
        <f>1/((1/Show!$A$4)-(1/Calc!K768))</f>
        <v>40.000193940334256</v>
      </c>
      <c r="B768" s="45">
        <f>MATCH(A768*Calc!$R$12,Calc!$K$1:$K$774,1)</f>
        <v>256</v>
      </c>
      <c r="C768" s="45">
        <f>INDEX(Calc!$K$1:$K$774,B768)</f>
        <v>38.299999999999997</v>
      </c>
      <c r="D768" s="45">
        <f>1/(1/C768+1/Calc!K768)</f>
        <v>38.299822195976951</v>
      </c>
      <c r="E768" s="45">
        <f>ABS(Show!$A$4-D768)/(Show!$A$4/100)</f>
        <v>4.2504445100576227</v>
      </c>
      <c r="F768" s="46">
        <f>Show!$A$4-Calc!L768</f>
        <v>-8659960</v>
      </c>
      <c r="G768" s="46" t="e">
        <f>MATCH(F768*Calc!$R$12,Calc!$K$1:$K$774,1)</f>
        <v>#N/A</v>
      </c>
      <c r="H768" s="46" t="e">
        <f>INDEX(Calc!$K$1:$K$774,G768)</f>
        <v>#N/A</v>
      </c>
      <c r="I768" s="46" t="e">
        <f>H768+Calc!K768</f>
        <v>#N/A</v>
      </c>
      <c r="J768" s="46" t="e">
        <f>ABS(Show!$A$4-I768)/(Show!$A$4/100)</f>
        <v>#N/A</v>
      </c>
      <c r="K768" s="45">
        <f>INDEX(Calc!L768:P768,Show!$B$4)</f>
        <v>8250000</v>
      </c>
      <c r="L768" s="46">
        <f t="shared" si="670"/>
        <v>8660000</v>
      </c>
      <c r="M768" s="46">
        <f>L768</f>
        <v>8660000</v>
      </c>
      <c r="N768" s="46">
        <f>L766</f>
        <v>8250000</v>
      </c>
      <c r="O768" s="46">
        <f t="shared" si="671"/>
        <v>8199999.9999999991</v>
      </c>
      <c r="P768" s="46">
        <f t="shared" ref="P768" si="697">O770</f>
        <v>10000000</v>
      </c>
    </row>
    <row r="769" spans="1:18" x14ac:dyDescent="0.25">
      <c r="A769" s="45">
        <f>1/((1/Show!$A$4)-(1/Calc!K769))</f>
        <v>40.000176018376315</v>
      </c>
      <c r="B769" s="45">
        <f>MATCH(A769*Calc!$R$12,Calc!$K$1:$K$774,1)</f>
        <v>256</v>
      </c>
      <c r="C769" s="45">
        <f>INDEX(Calc!$K$1:$K$774,B769)</f>
        <v>38.299999999999997</v>
      </c>
      <c r="D769" s="45">
        <f>1/(1/C769+1/Calc!K769)</f>
        <v>38.299838626642526</v>
      </c>
      <c r="E769" s="45">
        <f>ABS(Show!$A$4-D769)/(Show!$A$4/100)</f>
        <v>4.2504034333936858</v>
      </c>
      <c r="F769" s="46">
        <f>Show!$A$4-Calc!L769</f>
        <v>-8869960</v>
      </c>
      <c r="G769" s="46" t="e">
        <f>MATCH(F769*Calc!$R$12,Calc!$K$1:$K$774,1)</f>
        <v>#N/A</v>
      </c>
      <c r="H769" s="46" t="e">
        <f>INDEX(Calc!$K$1:$K$774,G769)</f>
        <v>#N/A</v>
      </c>
      <c r="I769" s="46" t="e">
        <f>H769+Calc!K769</f>
        <v>#N/A</v>
      </c>
      <c r="J769" s="46" t="e">
        <f>ABS(Show!$A$4-I769)/(Show!$A$4/100)</f>
        <v>#N/A</v>
      </c>
      <c r="K769" s="45">
        <f>INDEX(Calc!L769:P769,Show!$B$4)</f>
        <v>9090000</v>
      </c>
      <c r="L769" s="46">
        <f t="shared" si="670"/>
        <v>8870000</v>
      </c>
      <c r="M769" s="46">
        <f>L768</f>
        <v>8660000</v>
      </c>
      <c r="N769" s="46">
        <f>L770</f>
        <v>9090000</v>
      </c>
      <c r="O769" s="46">
        <f t="shared" si="671"/>
        <v>8199999.9999999991</v>
      </c>
      <c r="P769" s="46">
        <f t="shared" ref="P769" si="698">O770</f>
        <v>10000000</v>
      </c>
    </row>
    <row r="770" spans="1:18" x14ac:dyDescent="0.25">
      <c r="A770" s="45">
        <f>1/((1/Show!$A$4)-(1/Calc!K770))</f>
        <v>40.000176018376315</v>
      </c>
      <c r="B770" s="45">
        <f>MATCH(A770*Calc!$R$12,Calc!$K$1:$K$774,1)</f>
        <v>256</v>
      </c>
      <c r="C770" s="45">
        <f>INDEX(Calc!$K$1:$K$774,B770)</f>
        <v>38.299999999999997</v>
      </c>
      <c r="D770" s="45">
        <f>1/(1/C770+1/Calc!K770)</f>
        <v>38.299838626642526</v>
      </c>
      <c r="E770" s="45">
        <f>ABS(Show!$A$4-D770)/(Show!$A$4/100)</f>
        <v>4.2504034333936858</v>
      </c>
      <c r="F770" s="46">
        <f>Show!$A$4-Calc!L770</f>
        <v>-9089960</v>
      </c>
      <c r="G770" s="46" t="e">
        <f>MATCH(F770*Calc!$R$12,Calc!$K$1:$K$774,1)</f>
        <v>#N/A</v>
      </c>
      <c r="H770" s="46" t="e">
        <f>INDEX(Calc!$K$1:$K$774,G770)</f>
        <v>#N/A</v>
      </c>
      <c r="I770" s="46" t="e">
        <f>H770+Calc!K770</f>
        <v>#N/A</v>
      </c>
      <c r="J770" s="46" t="e">
        <f>ABS(Show!$A$4-I770)/(Show!$A$4/100)</f>
        <v>#N/A</v>
      </c>
      <c r="K770" s="45">
        <f>INDEX(Calc!L770:P770,Show!$B$4)</f>
        <v>9090000</v>
      </c>
      <c r="L770" s="46">
        <f t="shared" si="670"/>
        <v>9090000</v>
      </c>
      <c r="M770" s="46">
        <f>L770</f>
        <v>9090000</v>
      </c>
      <c r="N770" s="46">
        <f>L770</f>
        <v>9090000</v>
      </c>
      <c r="O770" s="46">
        <f t="shared" si="671"/>
        <v>10000000</v>
      </c>
      <c r="P770" s="46">
        <f t="shared" ref="P770" si="699">O770</f>
        <v>10000000</v>
      </c>
    </row>
    <row r="771" spans="1:18" x14ac:dyDescent="0.25">
      <c r="A771" s="45">
        <f>1/((1/Show!$A$4)-(1/Calc!K771))</f>
        <v>40.000176018376315</v>
      </c>
      <c r="B771" s="45">
        <f>MATCH(A771*Calc!$R$12,Calc!$K$1:$K$774,1)</f>
        <v>256</v>
      </c>
      <c r="C771" s="45">
        <f>INDEX(Calc!$K$1:$K$774,B771)</f>
        <v>38.299999999999997</v>
      </c>
      <c r="D771" s="45">
        <f>1/(1/C771+1/Calc!K771)</f>
        <v>38.299838626642526</v>
      </c>
      <c r="E771" s="45">
        <f>ABS(Show!$A$4-D771)/(Show!$A$4/100)</f>
        <v>4.2504034333936858</v>
      </c>
      <c r="F771" s="46">
        <f>Show!$A$4-Calc!L771</f>
        <v>-9309960</v>
      </c>
      <c r="G771" s="46" t="e">
        <f>MATCH(F771*Calc!$R$12,Calc!$K$1:$K$774,1)</f>
        <v>#N/A</v>
      </c>
      <c r="H771" s="46" t="e">
        <f>INDEX(Calc!$K$1:$K$774,G771)</f>
        <v>#N/A</v>
      </c>
      <c r="I771" s="46" t="e">
        <f>H771+Calc!K771</f>
        <v>#N/A</v>
      </c>
      <c r="J771" s="46" t="e">
        <f>ABS(Show!$A$4-I771)/(Show!$A$4/100)</f>
        <v>#N/A</v>
      </c>
      <c r="K771" s="45">
        <f>INDEX(Calc!L771:P771,Show!$B$4)</f>
        <v>9090000</v>
      </c>
      <c r="L771" s="46">
        <f t="shared" si="670"/>
        <v>9310000</v>
      </c>
      <c r="M771" s="46">
        <f>L770</f>
        <v>9090000</v>
      </c>
      <c r="N771" s="46">
        <f>L770</f>
        <v>9090000</v>
      </c>
      <c r="O771" s="46">
        <f t="shared" si="671"/>
        <v>10000000</v>
      </c>
      <c r="P771" s="46">
        <f t="shared" ref="P771" si="700">O770</f>
        <v>10000000</v>
      </c>
    </row>
    <row r="772" spans="1:18" x14ac:dyDescent="0.25">
      <c r="A772" s="45">
        <f>1/((1/Show!$A$4)-(1/Calc!K772))</f>
        <v>40.000176018376315</v>
      </c>
      <c r="B772" s="45">
        <f>MATCH(A772*Calc!$R$12,Calc!$K$1:$K$774,1)</f>
        <v>256</v>
      </c>
      <c r="C772" s="45">
        <f>INDEX(Calc!$K$1:$K$774,B772)</f>
        <v>38.299999999999997</v>
      </c>
      <c r="D772" s="45">
        <f>1/(1/C772+1/Calc!K772)</f>
        <v>38.299838626642526</v>
      </c>
      <c r="E772" s="45">
        <f>ABS(Show!$A$4-D772)/(Show!$A$4/100)</f>
        <v>4.2504034333936858</v>
      </c>
      <c r="F772" s="46">
        <f>Show!$A$4-Calc!L772</f>
        <v>-9529960</v>
      </c>
      <c r="G772" s="46" t="e">
        <f>MATCH(F772*Calc!$R$12,Calc!$K$1:$K$774,1)</f>
        <v>#N/A</v>
      </c>
      <c r="H772" s="46" t="e">
        <f>INDEX(Calc!$K$1:$K$774,G772)</f>
        <v>#N/A</v>
      </c>
      <c r="I772" s="46" t="e">
        <f>H772+Calc!K772</f>
        <v>#N/A</v>
      </c>
      <c r="J772" s="46" t="e">
        <f>ABS(Show!$A$4-I772)/(Show!$A$4/100)</f>
        <v>#N/A</v>
      </c>
      <c r="K772" s="45">
        <f>INDEX(Calc!L772:P772,Show!$B$4)</f>
        <v>9090000</v>
      </c>
      <c r="L772" s="46">
        <f t="shared" si="670"/>
        <v>9530000</v>
      </c>
      <c r="M772" s="46">
        <f>L772</f>
        <v>9530000</v>
      </c>
      <c r="N772" s="46">
        <f>L770</f>
        <v>9090000</v>
      </c>
      <c r="O772" s="46">
        <f t="shared" si="671"/>
        <v>10000000</v>
      </c>
      <c r="P772" s="46">
        <f t="shared" ref="P772" si="701">O770</f>
        <v>10000000</v>
      </c>
    </row>
    <row r="773" spans="1:18" s="43" customFormat="1" ht="15.75" thickBot="1" x14ac:dyDescent="0.3">
      <c r="A773" s="47">
        <f>1/((1/Show!$A$4)-(1/Calc!K773))</f>
        <v>40.000160000640001</v>
      </c>
      <c r="B773" s="47">
        <f>MATCH(A773*Calc!$R$12,Calc!$K$1:$K$774,1)</f>
        <v>256</v>
      </c>
      <c r="C773" s="47">
        <f>INDEX(Calc!$K$1:$K$774,B773)</f>
        <v>38.299999999999997</v>
      </c>
      <c r="D773" s="47">
        <f>1/(1/C773+1/Calc!K773)</f>
        <v>38.299853311561812</v>
      </c>
      <c r="E773" s="47">
        <f>ABS(Show!$A$4-D773)/(Show!$A$4/100)</f>
        <v>4.250366721095471</v>
      </c>
      <c r="F773" s="48">
        <f>Show!$A$4-Calc!L773</f>
        <v>-9759960</v>
      </c>
      <c r="G773" s="48" t="e">
        <f>MATCH(F773*Calc!$R$12,Calc!$K$1:$K$774,1)</f>
        <v>#N/A</v>
      </c>
      <c r="H773" s="48" t="e">
        <f>INDEX(Calc!$K$1:$K$774,G773)</f>
        <v>#N/A</v>
      </c>
      <c r="I773" s="48" t="e">
        <f>H773+Calc!K773</f>
        <v>#N/A</v>
      </c>
      <c r="J773" s="48" t="e">
        <f>ABS(Show!$A$4-I773)/(Show!$A$4/100)</f>
        <v>#N/A</v>
      </c>
      <c r="K773" s="47">
        <f>INDEX(Calc!L773:P773,Show!$B$4)</f>
        <v>10000000</v>
      </c>
      <c r="L773" s="48">
        <f t="shared" si="670"/>
        <v>9760000</v>
      </c>
      <c r="M773" s="48">
        <f>L772</f>
        <v>9530000</v>
      </c>
      <c r="N773" s="48">
        <f>L774</f>
        <v>10000000</v>
      </c>
      <c r="O773" s="48">
        <f t="shared" si="671"/>
        <v>10000000</v>
      </c>
      <c r="P773" s="48">
        <f t="shared" ref="P773" si="702">O770</f>
        <v>10000000</v>
      </c>
      <c r="Q773" s="47"/>
      <c r="R773" s="47"/>
    </row>
    <row r="774" spans="1:18" ht="15.75" thickTop="1" x14ac:dyDescent="0.25">
      <c r="A774" s="45">
        <f>1/((1/Show!$A$4)-(1/Calc!K774))</f>
        <v>40.000160000640001</v>
      </c>
      <c r="B774" s="45">
        <f>MATCH(A774*Calc!$R$12,Calc!$K$1:$K$774,1)</f>
        <v>256</v>
      </c>
      <c r="C774" s="45">
        <f>INDEX(Calc!$K$1:$K$774,B774)</f>
        <v>38.299999999999997</v>
      </c>
      <c r="D774" s="45">
        <f>1/(1/C774+1/Calc!K774)</f>
        <v>38.299853311561812</v>
      </c>
      <c r="E774" s="45">
        <f>ABS(Show!$A$4-D774)/(Show!$A$4/100)</f>
        <v>4.250366721095471</v>
      </c>
      <c r="F774" s="46">
        <f>Show!$A$4-Calc!L774</f>
        <v>-9999960</v>
      </c>
      <c r="G774" s="46" t="e">
        <f>MATCH(F774*Calc!$R$12,Calc!$K$1:$K$774,1)</f>
        <v>#N/A</v>
      </c>
      <c r="H774" s="46" t="e">
        <f>INDEX(Calc!$K$1:$K$774,G774)</f>
        <v>#N/A</v>
      </c>
      <c r="I774" s="46" t="e">
        <f>H774+Calc!K774</f>
        <v>#N/A</v>
      </c>
      <c r="J774" s="46" t="e">
        <f>ABS(Show!$A$4-I774)/(Show!$A$4/100)</f>
        <v>#N/A</v>
      </c>
      <c r="K774" s="45">
        <f>INDEX(Calc!L774:P774,Show!$B$4)</f>
        <v>10000000</v>
      </c>
      <c r="L774" s="46">
        <f>L6*100000000</f>
        <v>10000000</v>
      </c>
      <c r="M774" s="46">
        <f>L774</f>
        <v>10000000</v>
      </c>
      <c r="N774" s="46">
        <f>L774</f>
        <v>10000000</v>
      </c>
      <c r="O774" s="46">
        <f>O6*100000000</f>
        <v>10000000</v>
      </c>
      <c r="P774" s="46">
        <f t="shared" ref="P774" si="703">O774</f>
        <v>10000000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98E3C-4987-42F9-8898-5C7A3AD1A211}">
  <sheetPr codeName="Sheet1"/>
  <dimension ref="B2:AN32"/>
  <sheetViews>
    <sheetView tabSelected="1" topLeftCell="I1" zoomScale="70" zoomScaleNormal="70" workbookViewId="0">
      <selection activeCell="K11" sqref="K11"/>
    </sheetView>
  </sheetViews>
  <sheetFormatPr defaultRowHeight="15" x14ac:dyDescent="0.25"/>
  <cols>
    <col min="25" max="25" width="10.140625" bestFit="1" customWidth="1"/>
    <col min="26" max="26" width="12.5703125" bestFit="1" customWidth="1"/>
    <col min="27" max="27" width="12.42578125" bestFit="1" customWidth="1"/>
    <col min="28" max="28" width="12.85546875" bestFit="1" customWidth="1"/>
  </cols>
  <sheetData>
    <row r="2" spans="2:40" ht="15.75" thickBot="1" x14ac:dyDescent="0.3"/>
    <row r="3" spans="2:40" x14ac:dyDescent="0.25">
      <c r="B3" s="63" t="s">
        <v>19</v>
      </c>
    </row>
    <row r="4" spans="2:40" x14ac:dyDescent="0.25">
      <c r="B4" s="64" t="s">
        <v>20</v>
      </c>
      <c r="R4" t="s">
        <v>21</v>
      </c>
    </row>
    <row r="5" spans="2:40" x14ac:dyDescent="0.25">
      <c r="B5" s="64" t="s">
        <v>21</v>
      </c>
    </row>
    <row r="6" spans="2:40" x14ac:dyDescent="0.25">
      <c r="B6" s="64" t="s">
        <v>22</v>
      </c>
    </row>
    <row r="7" spans="2:40" ht="15.75" thickBot="1" x14ac:dyDescent="0.3">
      <c r="B7" s="65" t="s">
        <v>23</v>
      </c>
    </row>
    <row r="8" spans="2:40" ht="15.75" thickBot="1" x14ac:dyDescent="0.3">
      <c r="V8" t="s">
        <v>24</v>
      </c>
      <c r="W8" t="s">
        <v>25</v>
      </c>
    </row>
    <row r="9" spans="2:40" ht="15.75" thickBot="1" x14ac:dyDescent="0.3">
      <c r="B9" s="66" t="s">
        <v>26</v>
      </c>
      <c r="C9" s="67" t="s">
        <v>22</v>
      </c>
      <c r="D9" s="68" t="s">
        <v>20</v>
      </c>
      <c r="F9" s="69" t="s">
        <v>26</v>
      </c>
      <c r="G9" s="70" t="s">
        <v>20</v>
      </c>
      <c r="H9" s="68" t="s">
        <v>22</v>
      </c>
      <c r="J9" s="66" t="s">
        <v>22</v>
      </c>
      <c r="K9" s="67" t="s">
        <v>20</v>
      </c>
      <c r="L9" s="68" t="s">
        <v>26</v>
      </c>
      <c r="P9" s="66" t="s">
        <v>19</v>
      </c>
      <c r="Q9" s="71" t="s">
        <v>23</v>
      </c>
      <c r="R9" s="72" t="s">
        <v>26</v>
      </c>
      <c r="S9" s="73" t="s">
        <v>20</v>
      </c>
      <c r="T9" s="73" t="s">
        <v>22</v>
      </c>
      <c r="U9" s="74" t="s">
        <v>21</v>
      </c>
      <c r="V9">
        <v>0.9</v>
      </c>
      <c r="W9">
        <v>2</v>
      </c>
      <c r="Y9" s="75" t="s">
        <v>27</v>
      </c>
      <c r="Z9" s="76" t="s">
        <v>28</v>
      </c>
      <c r="AA9" s="77" t="s">
        <v>29</v>
      </c>
      <c r="AB9" s="78" t="s">
        <v>30</v>
      </c>
      <c r="AK9" t="s">
        <v>19</v>
      </c>
      <c r="AL9" t="s">
        <v>23</v>
      </c>
      <c r="AM9" t="s">
        <v>31</v>
      </c>
      <c r="AN9" t="s">
        <v>32</v>
      </c>
    </row>
    <row r="10" spans="2:40" x14ac:dyDescent="0.25">
      <c r="B10" s="79">
        <v>0.46</v>
      </c>
      <c r="C10" s="80">
        <v>91000</v>
      </c>
      <c r="D10" s="81">
        <f>C10*((1-B10)/B10)</f>
        <v>106826.08695652174</v>
      </c>
      <c r="F10" s="79">
        <v>0.46</v>
      </c>
      <c r="G10" s="80">
        <v>10000</v>
      </c>
      <c r="H10" s="81">
        <f>G10*(F10/(1-F10))</f>
        <v>8518.5185185185182</v>
      </c>
      <c r="J10" s="79">
        <v>10200</v>
      </c>
      <c r="K10" s="80">
        <v>1300</v>
      </c>
      <c r="L10" s="81">
        <f>J10/(J10+K10)</f>
        <v>0.88695652173913042</v>
      </c>
      <c r="P10" s="82">
        <v>5.6</v>
      </c>
      <c r="Q10" s="83">
        <v>0</v>
      </c>
      <c r="R10" s="84">
        <v>0.54</v>
      </c>
      <c r="S10" s="85">
        <v>10000</v>
      </c>
      <c r="T10" s="85">
        <f>S10*(R10/(1-R10))</f>
        <v>11739.13043478261</v>
      </c>
      <c r="U10" s="80">
        <f>( P10*(T10/(S10+T10)))+(Q10*(S10/(S10+T10)))</f>
        <v>3.024</v>
      </c>
      <c r="V10">
        <v>0.9</v>
      </c>
      <c r="W10">
        <v>2</v>
      </c>
      <c r="X10">
        <f>P10*0.55</f>
        <v>3.08</v>
      </c>
      <c r="Y10" s="86">
        <v>1023</v>
      </c>
      <c r="Z10" s="87">
        <v>3.3</v>
      </c>
      <c r="AA10" s="88">
        <v>0</v>
      </c>
      <c r="AB10" s="89">
        <f>U10*Y10/Z10</f>
        <v>937.44</v>
      </c>
    </row>
    <row r="11" spans="2:40" x14ac:dyDescent="0.25">
      <c r="B11" s="90">
        <v>0.22</v>
      </c>
      <c r="C11" s="91">
        <v>100000</v>
      </c>
      <c r="D11" s="92">
        <f t="shared" ref="D11:D32" si="0">C11*((1-B11)/B11)</f>
        <v>354545.45454545453</v>
      </c>
      <c r="F11" s="90">
        <v>0.22</v>
      </c>
      <c r="G11" s="91">
        <v>332000</v>
      </c>
      <c r="H11" s="92">
        <f t="shared" ref="H11:H32" si="1">G11*(F11/(1-F11))</f>
        <v>93641.025641025641</v>
      </c>
      <c r="J11" s="90">
        <v>100000</v>
      </c>
      <c r="K11" s="91">
        <v>332000</v>
      </c>
      <c r="L11" s="92">
        <f t="shared" ref="L11:L32" si="2">J11/(J11+K11)</f>
        <v>0.23148148148148148</v>
      </c>
      <c r="P11" s="93">
        <v>5.5</v>
      </c>
      <c r="Q11" s="94">
        <v>0</v>
      </c>
      <c r="R11" s="95">
        <v>0.54</v>
      </c>
      <c r="S11" s="96">
        <v>10000</v>
      </c>
      <c r="T11" s="96">
        <f t="shared" ref="T11:T32" si="3">S11*(R11/(1-R11))</f>
        <v>11739.13043478261</v>
      </c>
      <c r="U11" s="91">
        <f t="shared" ref="U11:U32" si="4">( P11*(T11/(S11+T11)))+(Q11*(S11/(S11+T11)))</f>
        <v>2.97</v>
      </c>
      <c r="V11">
        <v>0.9</v>
      </c>
      <c r="W11">
        <v>2</v>
      </c>
      <c r="X11">
        <f t="shared" ref="X11:X31" si="5">P11*0.55</f>
        <v>3.0250000000000004</v>
      </c>
      <c r="Y11" s="86">
        <v>1023</v>
      </c>
      <c r="Z11" s="87">
        <v>3.3</v>
      </c>
      <c r="AA11" s="88">
        <v>0</v>
      </c>
      <c r="AB11" s="89">
        <f t="shared" ref="AB11:AB32" si="6">U11*Y11/Z11</f>
        <v>920.70000000000016</v>
      </c>
    </row>
    <row r="12" spans="2:40" x14ac:dyDescent="0.25">
      <c r="B12" s="90">
        <v>0.372</v>
      </c>
      <c r="C12" s="91">
        <v>7500</v>
      </c>
      <c r="D12" s="92">
        <f t="shared" si="0"/>
        <v>12661.290322580646</v>
      </c>
      <c r="F12" s="90">
        <v>0.372</v>
      </c>
      <c r="G12" s="91">
        <v>5600</v>
      </c>
      <c r="H12" s="92">
        <f t="shared" si="1"/>
        <v>3317.1974522292994</v>
      </c>
      <c r="J12" s="90">
        <v>10200</v>
      </c>
      <c r="K12" s="91">
        <v>12000</v>
      </c>
      <c r="L12" s="92">
        <f t="shared" si="2"/>
        <v>0.45945945945945948</v>
      </c>
      <c r="P12" s="93">
        <v>5.4</v>
      </c>
      <c r="Q12" s="94">
        <v>0</v>
      </c>
      <c r="R12" s="95">
        <v>0.54</v>
      </c>
      <c r="S12" s="96">
        <v>10000</v>
      </c>
      <c r="T12" s="96">
        <f t="shared" si="3"/>
        <v>11739.13043478261</v>
      </c>
      <c r="U12" s="91">
        <f t="shared" si="4"/>
        <v>2.9160000000000004</v>
      </c>
      <c r="V12">
        <v>0.9</v>
      </c>
      <c r="W12">
        <v>2</v>
      </c>
      <c r="X12">
        <f t="shared" si="5"/>
        <v>2.9700000000000006</v>
      </c>
      <c r="Y12" s="86">
        <v>1023</v>
      </c>
      <c r="Z12" s="87">
        <v>3.3</v>
      </c>
      <c r="AA12" s="88">
        <v>0</v>
      </c>
      <c r="AB12" s="89">
        <f t="shared" si="6"/>
        <v>903.96000000000015</v>
      </c>
    </row>
    <row r="13" spans="2:40" x14ac:dyDescent="0.25">
      <c r="B13" s="90">
        <v>0.19500000000000001</v>
      </c>
      <c r="C13" s="91">
        <v>10000</v>
      </c>
      <c r="D13" s="92">
        <f t="shared" si="0"/>
        <v>41282.051282051274</v>
      </c>
      <c r="F13" s="90">
        <v>0.46500000000000002</v>
      </c>
      <c r="G13" s="91">
        <v>105000</v>
      </c>
      <c r="H13" s="92">
        <f t="shared" si="1"/>
        <v>91261.682242990675</v>
      </c>
      <c r="J13" s="90">
        <v>10200</v>
      </c>
      <c r="K13" s="91">
        <v>12000</v>
      </c>
      <c r="L13" s="92">
        <f t="shared" si="2"/>
        <v>0.45945945945945948</v>
      </c>
      <c r="P13" s="93">
        <v>5.3</v>
      </c>
      <c r="Q13" s="94">
        <v>0</v>
      </c>
      <c r="R13" s="95">
        <v>0.54</v>
      </c>
      <c r="S13" s="96">
        <v>10000</v>
      </c>
      <c r="T13" s="96">
        <f t="shared" si="3"/>
        <v>11739.13043478261</v>
      </c>
      <c r="U13" s="91">
        <f t="shared" si="4"/>
        <v>2.8620000000000001</v>
      </c>
      <c r="V13">
        <v>0.9</v>
      </c>
      <c r="W13">
        <v>2</v>
      </c>
      <c r="X13">
        <f t="shared" si="5"/>
        <v>2.915</v>
      </c>
      <c r="Y13" s="86">
        <v>1023</v>
      </c>
      <c r="Z13" s="87">
        <v>3.3</v>
      </c>
      <c r="AA13" s="88">
        <v>0</v>
      </c>
      <c r="AB13" s="89">
        <f t="shared" si="6"/>
        <v>887.22</v>
      </c>
    </row>
    <row r="14" spans="2:40" x14ac:dyDescent="0.25">
      <c r="B14" s="90">
        <v>0.27500000000000002</v>
      </c>
      <c r="C14" s="91">
        <v>91000</v>
      </c>
      <c r="D14" s="92">
        <f t="shared" si="0"/>
        <v>239909.09090909091</v>
      </c>
      <c r="F14" s="90">
        <v>0.22</v>
      </c>
      <c r="G14" s="91">
        <v>10000</v>
      </c>
      <c r="H14" s="92">
        <f t="shared" si="1"/>
        <v>2820.5128205128203</v>
      </c>
      <c r="J14" s="90">
        <v>3300</v>
      </c>
      <c r="K14" s="91">
        <v>10000</v>
      </c>
      <c r="L14" s="92">
        <f t="shared" si="2"/>
        <v>0.24812030075187969</v>
      </c>
      <c r="P14" s="93">
        <v>5.2</v>
      </c>
      <c r="Q14" s="94">
        <v>0</v>
      </c>
      <c r="R14" s="95">
        <v>0.54</v>
      </c>
      <c r="S14" s="96">
        <v>10000</v>
      </c>
      <c r="T14" s="96">
        <f t="shared" si="3"/>
        <v>11739.13043478261</v>
      </c>
      <c r="U14" s="91">
        <f t="shared" si="4"/>
        <v>2.8080000000000003</v>
      </c>
      <c r="V14">
        <v>0.9</v>
      </c>
      <c r="W14">
        <v>2</v>
      </c>
      <c r="X14">
        <f t="shared" si="5"/>
        <v>2.8600000000000003</v>
      </c>
      <c r="Y14" s="86">
        <v>1023</v>
      </c>
      <c r="Z14" s="87">
        <v>3.3</v>
      </c>
      <c r="AA14" s="88">
        <v>0</v>
      </c>
      <c r="AB14" s="89">
        <f t="shared" si="6"/>
        <v>870.48000000000013</v>
      </c>
    </row>
    <row r="15" spans="2:40" x14ac:dyDescent="0.25">
      <c r="B15" s="90">
        <v>1</v>
      </c>
      <c r="C15" s="91">
        <v>0</v>
      </c>
      <c r="D15" s="92">
        <f t="shared" si="0"/>
        <v>0</v>
      </c>
      <c r="F15" s="90">
        <v>0</v>
      </c>
      <c r="G15" s="91">
        <v>1</v>
      </c>
      <c r="H15" s="92">
        <f t="shared" si="1"/>
        <v>0</v>
      </c>
      <c r="J15" s="90">
        <v>18</v>
      </c>
      <c r="K15" s="91">
        <v>15</v>
      </c>
      <c r="L15" s="92">
        <f t="shared" si="2"/>
        <v>0.54545454545454541</v>
      </c>
      <c r="P15" s="93">
        <v>5.0999999999999996</v>
      </c>
      <c r="Q15" s="94">
        <v>0</v>
      </c>
      <c r="R15" s="95">
        <v>0.54</v>
      </c>
      <c r="S15" s="96">
        <v>10000</v>
      </c>
      <c r="T15" s="96">
        <f t="shared" si="3"/>
        <v>11739.13043478261</v>
      </c>
      <c r="U15" s="91">
        <f t="shared" si="4"/>
        <v>2.754</v>
      </c>
      <c r="V15">
        <v>0.9</v>
      </c>
      <c r="W15">
        <v>2</v>
      </c>
      <c r="X15">
        <f t="shared" si="5"/>
        <v>2.8050000000000002</v>
      </c>
      <c r="Y15" s="86">
        <v>1023</v>
      </c>
      <c r="Z15" s="87">
        <v>3.3</v>
      </c>
      <c r="AA15" s="88">
        <v>0</v>
      </c>
      <c r="AB15" s="89">
        <f t="shared" si="6"/>
        <v>853.74000000000012</v>
      </c>
    </row>
    <row r="16" spans="2:40" x14ac:dyDescent="0.25">
      <c r="B16" s="90">
        <v>1</v>
      </c>
      <c r="C16" s="91">
        <v>0</v>
      </c>
      <c r="D16" s="92">
        <f t="shared" si="0"/>
        <v>0</v>
      </c>
      <c r="F16" s="90">
        <v>0</v>
      </c>
      <c r="G16" s="91">
        <v>1</v>
      </c>
      <c r="H16" s="92">
        <f t="shared" si="1"/>
        <v>0</v>
      </c>
      <c r="J16" s="90">
        <v>10</v>
      </c>
      <c r="K16" s="91">
        <v>8.1999999999999993</v>
      </c>
      <c r="L16" s="92">
        <f t="shared" si="2"/>
        <v>0.5494505494505495</v>
      </c>
      <c r="P16" s="93">
        <v>5</v>
      </c>
      <c r="Q16" s="94">
        <v>0</v>
      </c>
      <c r="R16" s="95">
        <v>0.54</v>
      </c>
      <c r="S16" s="96">
        <v>10000</v>
      </c>
      <c r="T16" s="96">
        <f t="shared" si="3"/>
        <v>11739.13043478261</v>
      </c>
      <c r="U16" s="91">
        <f t="shared" si="4"/>
        <v>2.7</v>
      </c>
      <c r="V16">
        <v>0.9</v>
      </c>
      <c r="W16">
        <v>2</v>
      </c>
      <c r="X16">
        <f t="shared" si="5"/>
        <v>2.75</v>
      </c>
      <c r="Y16" s="86">
        <v>1023</v>
      </c>
      <c r="Z16" s="87">
        <v>3.3</v>
      </c>
      <c r="AA16" s="88">
        <v>0</v>
      </c>
      <c r="AB16" s="89">
        <f t="shared" si="6"/>
        <v>837.00000000000011</v>
      </c>
    </row>
    <row r="17" spans="2:28" x14ac:dyDescent="0.25">
      <c r="B17" s="90">
        <v>1</v>
      </c>
      <c r="C17" s="91">
        <v>0</v>
      </c>
      <c r="D17" s="92">
        <f t="shared" si="0"/>
        <v>0</v>
      </c>
      <c r="F17" s="90">
        <v>0</v>
      </c>
      <c r="G17" s="91">
        <v>1</v>
      </c>
      <c r="H17" s="92">
        <f t="shared" si="1"/>
        <v>0</v>
      </c>
      <c r="J17" s="90">
        <v>0</v>
      </c>
      <c r="K17" s="91">
        <v>1</v>
      </c>
      <c r="L17" s="92">
        <f t="shared" si="2"/>
        <v>0</v>
      </c>
      <c r="P17" s="93">
        <v>4.9000000000000004</v>
      </c>
      <c r="Q17" s="94">
        <v>0</v>
      </c>
      <c r="R17" s="95">
        <v>0.54</v>
      </c>
      <c r="S17" s="96">
        <v>10000</v>
      </c>
      <c r="T17" s="96">
        <f t="shared" si="3"/>
        <v>11739.13043478261</v>
      </c>
      <c r="U17" s="91">
        <f t="shared" si="4"/>
        <v>2.6460000000000004</v>
      </c>
      <c r="V17">
        <v>0.9</v>
      </c>
      <c r="W17">
        <v>2</v>
      </c>
      <c r="X17">
        <f t="shared" si="5"/>
        <v>2.6950000000000003</v>
      </c>
      <c r="Y17" s="86">
        <v>1023</v>
      </c>
      <c r="Z17" s="87">
        <v>3.3</v>
      </c>
      <c r="AA17" s="88">
        <v>0</v>
      </c>
      <c r="AB17" s="89">
        <f t="shared" si="6"/>
        <v>820.2600000000001</v>
      </c>
    </row>
    <row r="18" spans="2:28" x14ac:dyDescent="0.25">
      <c r="B18" s="90">
        <v>1</v>
      </c>
      <c r="C18" s="91">
        <v>0</v>
      </c>
      <c r="D18" s="92">
        <f t="shared" si="0"/>
        <v>0</v>
      </c>
      <c r="F18" s="90">
        <v>0</v>
      </c>
      <c r="G18" s="91">
        <v>1</v>
      </c>
      <c r="H18" s="92">
        <f t="shared" si="1"/>
        <v>0</v>
      </c>
      <c r="J18" s="90">
        <v>0</v>
      </c>
      <c r="K18" s="91">
        <v>1</v>
      </c>
      <c r="L18" s="92">
        <f t="shared" si="2"/>
        <v>0</v>
      </c>
      <c r="P18" s="93">
        <v>4.8</v>
      </c>
      <c r="Q18" s="94">
        <v>0</v>
      </c>
      <c r="R18" s="95">
        <v>0.54</v>
      </c>
      <c r="S18" s="96">
        <v>10000</v>
      </c>
      <c r="T18" s="96">
        <f t="shared" si="3"/>
        <v>11739.13043478261</v>
      </c>
      <c r="U18" s="91">
        <f t="shared" si="4"/>
        <v>2.5920000000000001</v>
      </c>
      <c r="V18">
        <v>0.9</v>
      </c>
      <c r="W18">
        <v>2</v>
      </c>
      <c r="X18">
        <f>P18*0.55</f>
        <v>2.64</v>
      </c>
      <c r="Y18" s="86">
        <v>1023</v>
      </c>
      <c r="Z18" s="87">
        <v>3.3</v>
      </c>
      <c r="AA18" s="88">
        <v>0</v>
      </c>
      <c r="AB18" s="89">
        <f t="shared" si="6"/>
        <v>803.5200000000001</v>
      </c>
    </row>
    <row r="19" spans="2:28" x14ac:dyDescent="0.25">
      <c r="B19" s="90">
        <v>1</v>
      </c>
      <c r="C19" s="91">
        <v>0</v>
      </c>
      <c r="D19" s="92">
        <f t="shared" si="0"/>
        <v>0</v>
      </c>
      <c r="F19" s="90">
        <v>0</v>
      </c>
      <c r="G19" s="91">
        <v>1</v>
      </c>
      <c r="H19" s="92">
        <f t="shared" si="1"/>
        <v>0</v>
      </c>
      <c r="J19" s="90">
        <v>0</v>
      </c>
      <c r="K19" s="91">
        <v>1</v>
      </c>
      <c r="L19" s="92">
        <f t="shared" si="2"/>
        <v>0</v>
      </c>
      <c r="P19" s="93">
        <v>4.7</v>
      </c>
      <c r="Q19" s="94">
        <v>0</v>
      </c>
      <c r="R19" s="95">
        <v>0.54</v>
      </c>
      <c r="S19" s="96">
        <v>10000</v>
      </c>
      <c r="T19" s="96">
        <f t="shared" si="3"/>
        <v>11739.13043478261</v>
      </c>
      <c r="U19" s="91">
        <f t="shared" si="4"/>
        <v>2.5380000000000003</v>
      </c>
      <c r="V19">
        <v>0.9</v>
      </c>
      <c r="W19">
        <v>2</v>
      </c>
      <c r="X19">
        <f t="shared" si="5"/>
        <v>2.5850000000000004</v>
      </c>
      <c r="Y19" s="86">
        <v>1023</v>
      </c>
      <c r="Z19" s="87">
        <v>3.3</v>
      </c>
      <c r="AA19" s="88">
        <v>0</v>
      </c>
      <c r="AB19" s="89">
        <f t="shared" si="6"/>
        <v>786.78000000000009</v>
      </c>
    </row>
    <row r="20" spans="2:28" x14ac:dyDescent="0.25">
      <c r="B20" s="90">
        <v>1</v>
      </c>
      <c r="C20" s="91">
        <v>0</v>
      </c>
      <c r="D20" s="92">
        <f t="shared" si="0"/>
        <v>0</v>
      </c>
      <c r="F20" s="90">
        <v>0</v>
      </c>
      <c r="G20" s="91">
        <v>1</v>
      </c>
      <c r="H20" s="92">
        <f t="shared" si="1"/>
        <v>0</v>
      </c>
      <c r="J20" s="90">
        <v>0</v>
      </c>
      <c r="K20" s="91">
        <v>1</v>
      </c>
      <c r="L20" s="92">
        <f t="shared" si="2"/>
        <v>0</v>
      </c>
      <c r="P20" s="93">
        <v>4.5999999999999996</v>
      </c>
      <c r="Q20" s="94">
        <v>0</v>
      </c>
      <c r="R20" s="95">
        <v>0.54</v>
      </c>
      <c r="S20" s="96">
        <v>10000</v>
      </c>
      <c r="T20" s="96">
        <f t="shared" si="3"/>
        <v>11739.13043478261</v>
      </c>
      <c r="U20" s="91">
        <f t="shared" si="4"/>
        <v>2.484</v>
      </c>
      <c r="V20">
        <v>0.9</v>
      </c>
      <c r="W20">
        <v>2</v>
      </c>
      <c r="X20">
        <f t="shared" si="5"/>
        <v>2.5299999999999998</v>
      </c>
      <c r="Y20" s="86">
        <v>1023</v>
      </c>
      <c r="Z20" s="87">
        <v>3.3</v>
      </c>
      <c r="AA20" s="88">
        <v>0</v>
      </c>
      <c r="AB20" s="89">
        <f t="shared" si="6"/>
        <v>770.04000000000008</v>
      </c>
    </row>
    <row r="21" spans="2:28" x14ac:dyDescent="0.25">
      <c r="B21" s="90">
        <v>1</v>
      </c>
      <c r="C21" s="91">
        <v>0</v>
      </c>
      <c r="D21" s="92">
        <f t="shared" si="0"/>
        <v>0</v>
      </c>
      <c r="F21" s="90">
        <v>0</v>
      </c>
      <c r="G21" s="91">
        <v>1</v>
      </c>
      <c r="H21" s="92">
        <f t="shared" si="1"/>
        <v>0</v>
      </c>
      <c r="J21" s="90">
        <v>0</v>
      </c>
      <c r="K21" s="91">
        <v>1</v>
      </c>
      <c r="L21" s="92">
        <f t="shared" si="2"/>
        <v>0</v>
      </c>
      <c r="P21" s="93">
        <v>4.5</v>
      </c>
      <c r="Q21" s="94">
        <v>0</v>
      </c>
      <c r="R21" s="95">
        <v>0.54</v>
      </c>
      <c r="S21" s="96">
        <v>10000</v>
      </c>
      <c r="T21" s="96">
        <f t="shared" si="3"/>
        <v>11739.13043478261</v>
      </c>
      <c r="U21" s="91">
        <f t="shared" si="4"/>
        <v>2.4300000000000002</v>
      </c>
      <c r="V21">
        <v>0.9</v>
      </c>
      <c r="W21">
        <v>2</v>
      </c>
      <c r="X21">
        <f t="shared" si="5"/>
        <v>2.4750000000000001</v>
      </c>
      <c r="Y21" s="86">
        <v>1023</v>
      </c>
      <c r="Z21" s="87">
        <v>3.3</v>
      </c>
      <c r="AA21" s="88">
        <v>0</v>
      </c>
      <c r="AB21" s="89">
        <f t="shared" si="6"/>
        <v>753.30000000000018</v>
      </c>
    </row>
    <row r="22" spans="2:28" x14ac:dyDescent="0.25">
      <c r="B22" s="90">
        <v>1</v>
      </c>
      <c r="C22" s="91">
        <v>0</v>
      </c>
      <c r="D22" s="92">
        <f t="shared" si="0"/>
        <v>0</v>
      </c>
      <c r="F22" s="90">
        <v>0</v>
      </c>
      <c r="G22" s="91">
        <v>1</v>
      </c>
      <c r="H22" s="92">
        <f t="shared" si="1"/>
        <v>0</v>
      </c>
      <c r="J22" s="90">
        <v>0</v>
      </c>
      <c r="K22" s="91">
        <v>1</v>
      </c>
      <c r="L22" s="92">
        <f t="shared" si="2"/>
        <v>0</v>
      </c>
      <c r="P22" s="93">
        <v>4.4000000000000004</v>
      </c>
      <c r="Q22" s="94">
        <v>3.3</v>
      </c>
      <c r="R22" s="95">
        <v>0.54</v>
      </c>
      <c r="S22" s="96">
        <v>10000</v>
      </c>
      <c r="T22" s="96">
        <f t="shared" si="3"/>
        <v>11739.13043478261</v>
      </c>
      <c r="U22" s="91">
        <f t="shared" si="4"/>
        <v>3.8940000000000001</v>
      </c>
      <c r="V22">
        <v>0.9</v>
      </c>
      <c r="W22">
        <v>2</v>
      </c>
      <c r="X22">
        <f t="shared" si="5"/>
        <v>2.4200000000000004</v>
      </c>
      <c r="Y22" s="86">
        <v>1023</v>
      </c>
      <c r="Z22" s="87">
        <v>3.3</v>
      </c>
      <c r="AA22" s="88">
        <v>0</v>
      </c>
      <c r="AB22" s="89">
        <f t="shared" si="6"/>
        <v>1207.1400000000001</v>
      </c>
    </row>
    <row r="23" spans="2:28" x14ac:dyDescent="0.25">
      <c r="B23" s="90">
        <v>1</v>
      </c>
      <c r="C23" s="91">
        <v>0</v>
      </c>
      <c r="D23" s="92">
        <f t="shared" si="0"/>
        <v>0</v>
      </c>
      <c r="F23" s="90">
        <v>0</v>
      </c>
      <c r="G23" s="91">
        <v>1</v>
      </c>
      <c r="H23" s="92">
        <f t="shared" si="1"/>
        <v>0</v>
      </c>
      <c r="J23" s="90">
        <v>0</v>
      </c>
      <c r="K23" s="91">
        <v>1</v>
      </c>
      <c r="L23" s="92">
        <f t="shared" si="2"/>
        <v>0</v>
      </c>
      <c r="P23" s="93">
        <v>4.3</v>
      </c>
      <c r="Q23" s="94">
        <v>3.3</v>
      </c>
      <c r="R23" s="95">
        <v>0.54</v>
      </c>
      <c r="S23" s="96">
        <v>10000</v>
      </c>
      <c r="T23" s="96">
        <f t="shared" si="3"/>
        <v>11739.13043478261</v>
      </c>
      <c r="U23" s="91">
        <f t="shared" si="4"/>
        <v>3.84</v>
      </c>
      <c r="V23">
        <v>0.9</v>
      </c>
      <c r="W23">
        <v>2</v>
      </c>
      <c r="X23">
        <f t="shared" si="5"/>
        <v>2.3650000000000002</v>
      </c>
      <c r="Y23" s="86">
        <v>1023</v>
      </c>
      <c r="Z23" s="87">
        <v>3.3</v>
      </c>
      <c r="AA23" s="88">
        <v>0</v>
      </c>
      <c r="AB23" s="89">
        <f t="shared" si="6"/>
        <v>1190.3999999999999</v>
      </c>
    </row>
    <row r="24" spans="2:28" x14ac:dyDescent="0.25">
      <c r="B24" s="90">
        <v>1</v>
      </c>
      <c r="C24" s="91">
        <v>0</v>
      </c>
      <c r="D24" s="92">
        <f t="shared" si="0"/>
        <v>0</v>
      </c>
      <c r="F24" s="90">
        <v>0</v>
      </c>
      <c r="G24" s="91">
        <v>1</v>
      </c>
      <c r="H24" s="92">
        <f t="shared" si="1"/>
        <v>0</v>
      </c>
      <c r="J24" s="90">
        <v>0</v>
      </c>
      <c r="K24" s="91">
        <v>1</v>
      </c>
      <c r="L24" s="92">
        <f t="shared" si="2"/>
        <v>0</v>
      </c>
      <c r="P24" s="93">
        <v>4.2</v>
      </c>
      <c r="Q24" s="94">
        <v>3.25</v>
      </c>
      <c r="R24" s="95">
        <v>0.54</v>
      </c>
      <c r="S24" s="96">
        <v>10000</v>
      </c>
      <c r="T24" s="96">
        <f t="shared" si="3"/>
        <v>11739.13043478261</v>
      </c>
      <c r="U24" s="91">
        <f t="shared" si="4"/>
        <v>3.7630000000000003</v>
      </c>
      <c r="V24">
        <v>0.9</v>
      </c>
      <c r="W24">
        <v>2</v>
      </c>
      <c r="X24">
        <f t="shared" si="5"/>
        <v>2.3100000000000005</v>
      </c>
      <c r="Y24" s="86">
        <v>1023</v>
      </c>
      <c r="Z24" s="87">
        <v>3.3</v>
      </c>
      <c r="AA24" s="88">
        <v>0</v>
      </c>
      <c r="AB24" s="89">
        <f t="shared" si="6"/>
        <v>1166.5300000000002</v>
      </c>
    </row>
    <row r="25" spans="2:28" x14ac:dyDescent="0.25">
      <c r="B25" s="90">
        <v>1</v>
      </c>
      <c r="C25" s="91">
        <v>0</v>
      </c>
      <c r="D25" s="92">
        <f t="shared" si="0"/>
        <v>0</v>
      </c>
      <c r="F25" s="90">
        <v>0</v>
      </c>
      <c r="G25" s="91">
        <v>1</v>
      </c>
      <c r="H25" s="92">
        <f t="shared" si="1"/>
        <v>0</v>
      </c>
      <c r="J25" s="90">
        <v>0</v>
      </c>
      <c r="K25" s="91">
        <v>1</v>
      </c>
      <c r="L25" s="92">
        <f t="shared" si="2"/>
        <v>0</v>
      </c>
      <c r="P25" s="93">
        <v>4.1000000000000103</v>
      </c>
      <c r="Q25" s="94">
        <v>3.2</v>
      </c>
      <c r="R25" s="95">
        <v>0.54</v>
      </c>
      <c r="S25" s="96">
        <v>10000</v>
      </c>
      <c r="T25" s="96">
        <f t="shared" si="3"/>
        <v>11739.13043478261</v>
      </c>
      <c r="U25" s="91">
        <f t="shared" si="4"/>
        <v>3.6860000000000062</v>
      </c>
      <c r="V25">
        <v>0.9</v>
      </c>
      <c r="W25">
        <v>2</v>
      </c>
      <c r="X25">
        <f t="shared" si="5"/>
        <v>2.2550000000000057</v>
      </c>
      <c r="Y25" s="86">
        <v>1023</v>
      </c>
      <c r="Z25" s="87">
        <v>3.3</v>
      </c>
      <c r="AA25" s="88">
        <v>0</v>
      </c>
      <c r="AB25" s="89">
        <f t="shared" si="6"/>
        <v>1142.6600000000019</v>
      </c>
    </row>
    <row r="26" spans="2:28" x14ac:dyDescent="0.25">
      <c r="B26" s="90">
        <v>1</v>
      </c>
      <c r="C26" s="91">
        <v>0</v>
      </c>
      <c r="D26" s="92">
        <f t="shared" si="0"/>
        <v>0</v>
      </c>
      <c r="F26" s="90">
        <v>0</v>
      </c>
      <c r="G26" s="91">
        <v>1</v>
      </c>
      <c r="H26" s="92">
        <f t="shared" si="1"/>
        <v>0</v>
      </c>
      <c r="J26" s="90">
        <v>0</v>
      </c>
      <c r="K26" s="91">
        <v>1</v>
      </c>
      <c r="L26" s="92">
        <f t="shared" si="2"/>
        <v>0</v>
      </c>
      <c r="P26" s="93">
        <v>4.0000000000000098</v>
      </c>
      <c r="Q26" s="94">
        <v>3.15</v>
      </c>
      <c r="R26" s="95">
        <v>0.54</v>
      </c>
      <c r="S26" s="96">
        <v>10000</v>
      </c>
      <c r="T26" s="96">
        <f t="shared" si="3"/>
        <v>11739.13043478261</v>
      </c>
      <c r="U26" s="91">
        <f t="shared" si="4"/>
        <v>3.6090000000000053</v>
      </c>
      <c r="V26">
        <v>0.9</v>
      </c>
      <c r="W26">
        <v>2</v>
      </c>
      <c r="X26">
        <f t="shared" si="5"/>
        <v>2.2000000000000055</v>
      </c>
      <c r="Y26" s="86">
        <v>1023</v>
      </c>
      <c r="Z26" s="87">
        <v>3.3</v>
      </c>
      <c r="AA26" s="88">
        <v>0</v>
      </c>
      <c r="AB26" s="89">
        <f t="shared" si="6"/>
        <v>1118.7900000000018</v>
      </c>
    </row>
    <row r="27" spans="2:28" x14ac:dyDescent="0.25">
      <c r="B27" s="90">
        <v>1</v>
      </c>
      <c r="C27" s="91">
        <v>0</v>
      </c>
      <c r="D27" s="92">
        <f t="shared" si="0"/>
        <v>0</v>
      </c>
      <c r="F27" s="90">
        <v>0</v>
      </c>
      <c r="G27" s="91">
        <v>1</v>
      </c>
      <c r="H27" s="92">
        <f t="shared" si="1"/>
        <v>0</v>
      </c>
      <c r="J27" s="90">
        <v>0</v>
      </c>
      <c r="K27" s="91">
        <v>1</v>
      </c>
      <c r="L27" s="92">
        <f t="shared" si="2"/>
        <v>0</v>
      </c>
      <c r="P27" s="93">
        <v>3.9000000000000101</v>
      </c>
      <c r="Q27" s="94">
        <v>3.1</v>
      </c>
      <c r="R27" s="95">
        <v>0.54</v>
      </c>
      <c r="S27" s="96">
        <v>10000</v>
      </c>
      <c r="T27" s="96">
        <f t="shared" si="3"/>
        <v>11739.13043478261</v>
      </c>
      <c r="U27" s="91">
        <f t="shared" si="4"/>
        <v>3.5320000000000058</v>
      </c>
      <c r="V27">
        <v>0.9</v>
      </c>
      <c r="W27">
        <v>2</v>
      </c>
      <c r="X27">
        <f t="shared" si="5"/>
        <v>2.1450000000000058</v>
      </c>
      <c r="Y27" s="86">
        <v>1023</v>
      </c>
      <c r="Z27" s="87">
        <v>3.3</v>
      </c>
      <c r="AA27" s="88">
        <v>0</v>
      </c>
      <c r="AB27" s="89">
        <f t="shared" si="6"/>
        <v>1094.9200000000019</v>
      </c>
    </row>
    <row r="28" spans="2:28" x14ac:dyDescent="0.25">
      <c r="B28" s="90">
        <v>1</v>
      </c>
      <c r="C28" s="91">
        <v>0</v>
      </c>
      <c r="D28" s="92">
        <f t="shared" si="0"/>
        <v>0</v>
      </c>
      <c r="F28" s="90">
        <v>0</v>
      </c>
      <c r="G28" s="91">
        <v>1</v>
      </c>
      <c r="H28" s="92">
        <f t="shared" si="1"/>
        <v>0</v>
      </c>
      <c r="J28" s="90">
        <v>0</v>
      </c>
      <c r="K28" s="91">
        <v>1</v>
      </c>
      <c r="L28" s="92">
        <f t="shared" si="2"/>
        <v>0</v>
      </c>
      <c r="P28" s="93">
        <v>3.80000000000001</v>
      </c>
      <c r="Q28" s="94">
        <v>3.05</v>
      </c>
      <c r="R28" s="95">
        <v>0.5</v>
      </c>
      <c r="S28" s="96">
        <v>10000</v>
      </c>
      <c r="T28" s="96">
        <f t="shared" si="3"/>
        <v>10000</v>
      </c>
      <c r="U28" s="91">
        <f t="shared" si="4"/>
        <v>3.4250000000000052</v>
      </c>
      <c r="V28">
        <v>0.9</v>
      </c>
      <c r="W28">
        <v>2</v>
      </c>
      <c r="X28">
        <f t="shared" si="5"/>
        <v>2.0900000000000056</v>
      </c>
      <c r="Y28" s="86">
        <v>1023</v>
      </c>
      <c r="Z28" s="87">
        <v>3.3</v>
      </c>
      <c r="AA28" s="88">
        <v>0</v>
      </c>
      <c r="AB28" s="89">
        <f t="shared" si="6"/>
        <v>1061.7500000000016</v>
      </c>
    </row>
    <row r="29" spans="2:28" x14ac:dyDescent="0.25">
      <c r="B29" s="90">
        <v>1</v>
      </c>
      <c r="C29" s="91">
        <v>0</v>
      </c>
      <c r="D29" s="92">
        <f t="shared" si="0"/>
        <v>0</v>
      </c>
      <c r="F29" s="90">
        <v>0</v>
      </c>
      <c r="G29" s="91">
        <v>1</v>
      </c>
      <c r="H29" s="92">
        <f t="shared" si="1"/>
        <v>0</v>
      </c>
      <c r="J29" s="90">
        <v>0</v>
      </c>
      <c r="K29" s="91">
        <v>1</v>
      </c>
      <c r="L29" s="92">
        <f t="shared" si="2"/>
        <v>0</v>
      </c>
      <c r="P29" s="93">
        <v>3.7000000000000099</v>
      </c>
      <c r="Q29" s="94">
        <v>3</v>
      </c>
      <c r="R29" s="95">
        <v>0.5</v>
      </c>
      <c r="S29" s="96">
        <v>10000</v>
      </c>
      <c r="T29" s="96">
        <f t="shared" si="3"/>
        <v>10000</v>
      </c>
      <c r="U29" s="91">
        <f t="shared" si="4"/>
        <v>3.350000000000005</v>
      </c>
      <c r="V29">
        <v>0.9</v>
      </c>
      <c r="W29">
        <v>2</v>
      </c>
      <c r="X29">
        <f t="shared" si="5"/>
        <v>2.0350000000000055</v>
      </c>
      <c r="Y29" s="86">
        <v>1023</v>
      </c>
      <c r="Z29" s="87">
        <v>3.3</v>
      </c>
      <c r="AA29" s="88">
        <v>0</v>
      </c>
      <c r="AB29" s="89">
        <f t="shared" si="6"/>
        <v>1038.5000000000016</v>
      </c>
    </row>
    <row r="30" spans="2:28" x14ac:dyDescent="0.25">
      <c r="B30" s="90">
        <v>1</v>
      </c>
      <c r="C30" s="91">
        <v>0</v>
      </c>
      <c r="D30" s="92">
        <f t="shared" si="0"/>
        <v>0</v>
      </c>
      <c r="F30" s="90">
        <v>0</v>
      </c>
      <c r="G30" s="91">
        <v>1</v>
      </c>
      <c r="H30" s="92">
        <f t="shared" si="1"/>
        <v>0</v>
      </c>
      <c r="J30" s="90">
        <v>0</v>
      </c>
      <c r="K30" s="91">
        <v>1</v>
      </c>
      <c r="L30" s="92">
        <f t="shared" si="2"/>
        <v>0</v>
      </c>
      <c r="P30" s="93">
        <v>3.6000000000000099</v>
      </c>
      <c r="Q30" s="94">
        <v>2.95</v>
      </c>
      <c r="R30" s="95">
        <v>0.5</v>
      </c>
      <c r="S30" s="96">
        <v>10000</v>
      </c>
      <c r="T30" s="96">
        <f t="shared" si="3"/>
        <v>10000</v>
      </c>
      <c r="U30" s="91">
        <f t="shared" si="4"/>
        <v>3.2750000000000048</v>
      </c>
      <c r="V30">
        <v>0.9</v>
      </c>
      <c r="W30">
        <v>2</v>
      </c>
      <c r="X30">
        <f t="shared" si="5"/>
        <v>1.9800000000000055</v>
      </c>
      <c r="Y30" s="86">
        <v>1023</v>
      </c>
      <c r="Z30" s="87">
        <v>3.3</v>
      </c>
      <c r="AA30" s="88">
        <v>0</v>
      </c>
      <c r="AB30" s="89">
        <f t="shared" si="6"/>
        <v>1015.2500000000015</v>
      </c>
    </row>
    <row r="31" spans="2:28" x14ac:dyDescent="0.25">
      <c r="B31" s="90">
        <v>1</v>
      </c>
      <c r="C31" s="91">
        <v>0</v>
      </c>
      <c r="D31" s="92">
        <f t="shared" si="0"/>
        <v>0</v>
      </c>
      <c r="F31" s="90">
        <v>0</v>
      </c>
      <c r="G31" s="91">
        <v>1</v>
      </c>
      <c r="H31" s="92">
        <f t="shared" si="1"/>
        <v>0</v>
      </c>
      <c r="J31" s="90">
        <v>0</v>
      </c>
      <c r="K31" s="91">
        <v>1</v>
      </c>
      <c r="L31" s="92">
        <f t="shared" si="2"/>
        <v>0</v>
      </c>
      <c r="P31" s="93">
        <v>3.5000000000000102</v>
      </c>
      <c r="Q31" s="94">
        <v>2.9</v>
      </c>
      <c r="R31" s="95">
        <v>0.5</v>
      </c>
      <c r="S31" s="96">
        <v>10000</v>
      </c>
      <c r="T31" s="96">
        <f t="shared" si="3"/>
        <v>10000</v>
      </c>
      <c r="U31" s="91">
        <f t="shared" si="4"/>
        <v>3.2000000000000051</v>
      </c>
      <c r="V31">
        <v>0.9</v>
      </c>
      <c r="W31">
        <v>2</v>
      </c>
      <c r="X31">
        <f t="shared" si="5"/>
        <v>1.9250000000000058</v>
      </c>
      <c r="Y31" s="86">
        <v>1023</v>
      </c>
      <c r="Z31" s="87">
        <v>3.3</v>
      </c>
      <c r="AA31" s="88">
        <v>0</v>
      </c>
      <c r="AB31" s="89">
        <f t="shared" si="6"/>
        <v>992.00000000000171</v>
      </c>
    </row>
    <row r="32" spans="2:28" ht="15.75" thickBot="1" x14ac:dyDescent="0.3">
      <c r="B32" s="90">
        <v>1</v>
      </c>
      <c r="C32" s="91">
        <v>0</v>
      </c>
      <c r="D32" s="92">
        <f t="shared" si="0"/>
        <v>0</v>
      </c>
      <c r="F32" s="90">
        <v>0</v>
      </c>
      <c r="G32" s="91">
        <v>1</v>
      </c>
      <c r="H32" s="92">
        <f t="shared" si="1"/>
        <v>0</v>
      </c>
      <c r="J32" s="90">
        <v>0</v>
      </c>
      <c r="K32" s="91">
        <v>1</v>
      </c>
      <c r="L32" s="92">
        <f t="shared" si="2"/>
        <v>0</v>
      </c>
      <c r="P32" s="97">
        <v>3.4000000000000101</v>
      </c>
      <c r="Q32" s="98">
        <v>2.85</v>
      </c>
      <c r="R32" s="99">
        <v>0.5</v>
      </c>
      <c r="S32" s="100">
        <v>10000</v>
      </c>
      <c r="T32" s="100">
        <f t="shared" si="3"/>
        <v>10000</v>
      </c>
      <c r="U32" s="101">
        <f t="shared" si="4"/>
        <v>3.1250000000000053</v>
      </c>
      <c r="V32">
        <v>0.9</v>
      </c>
      <c r="W32">
        <v>2</v>
      </c>
      <c r="X32">
        <f>P32*0.55</f>
        <v>1.8700000000000057</v>
      </c>
      <c r="Y32" s="102">
        <v>1023</v>
      </c>
      <c r="Z32" s="103">
        <v>3.3</v>
      </c>
      <c r="AA32" s="104">
        <v>0</v>
      </c>
      <c r="AB32" s="105">
        <f t="shared" si="6"/>
        <v>968.75000000000171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Show</vt:lpstr>
      <vt:lpstr>README</vt:lpstr>
      <vt:lpstr>Calc</vt:lpstr>
      <vt:lpstr>FromRatioCalculator</vt:lpstr>
      <vt:lpstr>Show!Criteria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FdW</dc:creator>
  <cp:lastModifiedBy>Adrian Moreno</cp:lastModifiedBy>
  <dcterms:created xsi:type="dcterms:W3CDTF">2017-02-03T12:00:23Z</dcterms:created>
  <dcterms:modified xsi:type="dcterms:W3CDTF">2024-07-12T13:23:01Z</dcterms:modified>
</cp:coreProperties>
</file>